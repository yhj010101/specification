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3669F7B-0515-4A91-B8EF-9B605124268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54" l="1"/>
  <c r="G56" i="54"/>
  <c r="G57" i="54"/>
  <c r="G58" i="54"/>
  <c r="H58" i="54" s="1"/>
  <c r="I58" i="54" s="1"/>
  <c r="G59" i="54"/>
  <c r="H59" i="54" s="1"/>
  <c r="I59" i="54" s="1"/>
  <c r="G60" i="54"/>
  <c r="H60" i="54" s="1"/>
  <c r="I60" i="54" s="1"/>
  <c r="J1" i="52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8" i="54"/>
  <c r="J148" i="54"/>
  <c r="H148" i="54"/>
  <c r="I148" i="54" s="1"/>
  <c r="G148" i="54"/>
  <c r="J147" i="54"/>
  <c r="I147" i="54"/>
  <c r="G147" i="54"/>
  <c r="H147" i="54" s="1"/>
  <c r="J146" i="54"/>
  <c r="I146" i="54"/>
  <c r="G146" i="54"/>
  <c r="H146" i="54" s="1"/>
  <c r="J145" i="54"/>
  <c r="H145" i="54"/>
  <c r="I145" i="54" s="1"/>
  <c r="G145" i="54"/>
  <c r="J144" i="54"/>
  <c r="I144" i="54"/>
  <c r="G144" i="54"/>
  <c r="H144" i="54" s="1"/>
  <c r="J143" i="54"/>
  <c r="I143" i="54"/>
  <c r="G143" i="54"/>
  <c r="H143" i="54" s="1"/>
  <c r="J142" i="54"/>
  <c r="K142" i="54" s="1"/>
  <c r="I142" i="54"/>
  <c r="H142" i="54"/>
  <c r="G142" i="54"/>
  <c r="J141" i="54"/>
  <c r="G141" i="54"/>
  <c r="H141" i="54" s="1"/>
  <c r="I141" i="54" s="1"/>
  <c r="J140" i="54"/>
  <c r="H140" i="54"/>
  <c r="I140" i="54" s="1"/>
  <c r="G140" i="54"/>
  <c r="J139" i="54"/>
  <c r="I139" i="54"/>
  <c r="H139" i="54"/>
  <c r="G139" i="54"/>
  <c r="J138" i="54"/>
  <c r="G138" i="54"/>
  <c r="H138" i="54" s="1"/>
  <c r="I138" i="54" s="1"/>
  <c r="J137" i="54"/>
  <c r="H137" i="54"/>
  <c r="I137" i="54" s="1"/>
  <c r="G137" i="54"/>
  <c r="J136" i="54"/>
  <c r="K136" i="54" s="1"/>
  <c r="I136" i="54"/>
  <c r="G136" i="54"/>
  <c r="H136" i="54" s="1"/>
  <c r="J135" i="54"/>
  <c r="H135" i="54"/>
  <c r="I135" i="54" s="1"/>
  <c r="G135" i="54"/>
  <c r="J134" i="54"/>
  <c r="I134" i="54"/>
  <c r="G134" i="54"/>
  <c r="H134" i="54" s="1"/>
  <c r="J133" i="54"/>
  <c r="I133" i="54"/>
  <c r="G133" i="54"/>
  <c r="H133" i="54" s="1"/>
  <c r="J132" i="54"/>
  <c r="H132" i="54"/>
  <c r="I132" i="54" s="1"/>
  <c r="G132" i="54"/>
  <c r="J131" i="54"/>
  <c r="I131" i="54"/>
  <c r="G131" i="54"/>
  <c r="H131" i="54" s="1"/>
  <c r="J130" i="54"/>
  <c r="K130" i="54" s="1"/>
  <c r="H130" i="54"/>
  <c r="I130" i="54" s="1"/>
  <c r="G130" i="54"/>
  <c r="J129" i="54"/>
  <c r="I129" i="54"/>
  <c r="H129" i="54"/>
  <c r="G129" i="54"/>
  <c r="J128" i="54"/>
  <c r="G128" i="54"/>
  <c r="H128" i="54" s="1"/>
  <c r="I128" i="54" s="1"/>
  <c r="J127" i="54"/>
  <c r="H127" i="54"/>
  <c r="I127" i="54" s="1"/>
  <c r="G127" i="54"/>
  <c r="J126" i="54"/>
  <c r="I126" i="54"/>
  <c r="H126" i="54"/>
  <c r="G126" i="54"/>
  <c r="J125" i="54"/>
  <c r="G125" i="54"/>
  <c r="H125" i="54" s="1"/>
  <c r="I125" i="54" s="1"/>
  <c r="K124" i="54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K118" i="54" s="1"/>
  <c r="G118" i="54"/>
  <c r="H118" i="54" s="1"/>
  <c r="I118" i="54" s="1"/>
  <c r="J117" i="54"/>
  <c r="H117" i="54"/>
  <c r="I117" i="54" s="1"/>
  <c r="G117" i="54"/>
  <c r="J116" i="54"/>
  <c r="I116" i="54"/>
  <c r="H116" i="54"/>
  <c r="G116" i="54"/>
  <c r="J115" i="54"/>
  <c r="G115" i="54"/>
  <c r="H115" i="54" s="1"/>
  <c r="I115" i="54" s="1"/>
  <c r="J114" i="54"/>
  <c r="H114" i="54"/>
  <c r="I114" i="54" s="1"/>
  <c r="G114" i="54"/>
  <c r="J113" i="54"/>
  <c r="I113" i="54"/>
  <c r="H113" i="54"/>
  <c r="G113" i="54"/>
  <c r="K112" i="54"/>
  <c r="J112" i="54"/>
  <c r="H112" i="54"/>
  <c r="I112" i="54" s="1"/>
  <c r="G112" i="54"/>
  <c r="J111" i="54"/>
  <c r="G111" i="54"/>
  <c r="H111" i="54" s="1"/>
  <c r="I111" i="54" s="1"/>
  <c r="J110" i="54"/>
  <c r="I110" i="54"/>
  <c r="G110" i="54"/>
  <c r="H110" i="54" s="1"/>
  <c r="J109" i="54"/>
  <c r="G109" i="54"/>
  <c r="H109" i="54" s="1"/>
  <c r="I109" i="54" s="1"/>
  <c r="J108" i="54"/>
  <c r="I108" i="54"/>
  <c r="G108" i="54"/>
  <c r="H108" i="54" s="1"/>
  <c r="J107" i="54"/>
  <c r="G107" i="54"/>
  <c r="H107" i="54" s="1"/>
  <c r="I107" i="54" s="1"/>
  <c r="J106" i="54"/>
  <c r="K106" i="54" s="1"/>
  <c r="I106" i="54"/>
  <c r="H106" i="54"/>
  <c r="G106" i="54"/>
  <c r="J105" i="54"/>
  <c r="G105" i="54"/>
  <c r="H105" i="54" s="1"/>
  <c r="I105" i="54" s="1"/>
  <c r="J104" i="54"/>
  <c r="H104" i="54"/>
  <c r="I104" i="54" s="1"/>
  <c r="G104" i="54"/>
  <c r="J103" i="54"/>
  <c r="H103" i="54"/>
  <c r="I103" i="54" s="1"/>
  <c r="G103" i="54"/>
  <c r="J102" i="54"/>
  <c r="G102" i="54"/>
  <c r="H102" i="54" s="1"/>
  <c r="I102" i="54" s="1"/>
  <c r="J101" i="54"/>
  <c r="H101" i="54"/>
  <c r="I101" i="54" s="1"/>
  <c r="G101" i="54"/>
  <c r="J100" i="54"/>
  <c r="K100" i="54" s="1"/>
  <c r="I100" i="54"/>
  <c r="G100" i="54"/>
  <c r="H100" i="54" s="1"/>
  <c r="J99" i="54"/>
  <c r="G99" i="54"/>
  <c r="H99" i="54" s="1"/>
  <c r="I99" i="54" s="1"/>
  <c r="J98" i="54"/>
  <c r="I98" i="54"/>
  <c r="G98" i="54"/>
  <c r="H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H94" i="54"/>
  <c r="I94" i="54" s="1"/>
  <c r="G94" i="54"/>
  <c r="J93" i="54"/>
  <c r="I93" i="54"/>
  <c r="H93" i="54"/>
  <c r="G93" i="54"/>
  <c r="J92" i="54"/>
  <c r="G92" i="54"/>
  <c r="H92" i="54" s="1"/>
  <c r="I92" i="54" s="1"/>
  <c r="J91" i="54"/>
  <c r="H91" i="54"/>
  <c r="I91" i="54" s="1"/>
  <c r="G91" i="54"/>
  <c r="J90" i="54"/>
  <c r="I90" i="54"/>
  <c r="H90" i="54"/>
  <c r="G90" i="54"/>
  <c r="J89" i="54"/>
  <c r="G89" i="54"/>
  <c r="H89" i="54" s="1"/>
  <c r="I89" i="54" s="1"/>
  <c r="K88" i="54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H81" i="54"/>
  <c r="I81" i="54" s="1"/>
  <c r="G81" i="54"/>
  <c r="J80" i="54"/>
  <c r="I80" i="54"/>
  <c r="H80" i="54"/>
  <c r="G80" i="54"/>
  <c r="J79" i="54"/>
  <c r="G79" i="54"/>
  <c r="H79" i="54" s="1"/>
  <c r="I79" i="54" s="1"/>
  <c r="J78" i="54"/>
  <c r="H78" i="54"/>
  <c r="I78" i="54" s="1"/>
  <c r="G78" i="54"/>
  <c r="J77" i="54"/>
  <c r="I77" i="54"/>
  <c r="H77" i="54"/>
  <c r="G77" i="54"/>
  <c r="K76" i="54"/>
  <c r="J76" i="54"/>
  <c r="G76" i="54"/>
  <c r="H76" i="54" s="1"/>
  <c r="I76" i="54" s="1"/>
  <c r="J75" i="54"/>
  <c r="I75" i="54"/>
  <c r="G75" i="54"/>
  <c r="H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I71" i="54"/>
  <c r="G71" i="54"/>
  <c r="H71" i="54" s="1"/>
  <c r="J70" i="54"/>
  <c r="K70" i="54" s="1"/>
  <c r="H70" i="54"/>
  <c r="I70" i="54" s="1"/>
  <c r="G70" i="54"/>
  <c r="J69" i="54"/>
  <c r="G69" i="54"/>
  <c r="H69" i="54" s="1"/>
  <c r="I69" i="54" s="1"/>
  <c r="J68" i="54"/>
  <c r="H68" i="54"/>
  <c r="I68" i="54" s="1"/>
  <c r="G68" i="54"/>
  <c r="J67" i="54"/>
  <c r="I67" i="54"/>
  <c r="H67" i="54"/>
  <c r="G67" i="54"/>
  <c r="J66" i="54"/>
  <c r="H66" i="54"/>
  <c r="I66" i="54" s="1"/>
  <c r="G66" i="54"/>
  <c r="J65" i="54"/>
  <c r="H65" i="54"/>
  <c r="I65" i="54" s="1"/>
  <c r="G65" i="54"/>
  <c r="J64" i="54"/>
  <c r="K64" i="54" s="1"/>
  <c r="G64" i="54"/>
  <c r="H64" i="54" s="1"/>
  <c r="I64" i="54" s="1"/>
  <c r="J63" i="54"/>
  <c r="G63" i="54"/>
  <c r="H63" i="54" s="1"/>
  <c r="I63" i="54" s="1"/>
  <c r="J62" i="54"/>
  <c r="I62" i="54"/>
  <c r="G62" i="54"/>
  <c r="H62" i="54" s="1"/>
  <c r="J61" i="54"/>
  <c r="G61" i="54"/>
  <c r="H61" i="54" s="1"/>
  <c r="I61" i="54" s="1"/>
  <c r="J60" i="54"/>
  <c r="J59" i="54"/>
  <c r="K59" i="54" s="1"/>
  <c r="J58" i="54"/>
  <c r="J57" i="54"/>
  <c r="H57" i="54"/>
  <c r="I57" i="54" s="1"/>
  <c r="J56" i="54"/>
  <c r="H56" i="54"/>
  <c r="I56" i="54" s="1"/>
  <c r="J55" i="54"/>
  <c r="H55" i="54"/>
  <c r="I55" i="54" s="1"/>
  <c r="J54" i="54"/>
  <c r="G54" i="54"/>
  <c r="H54" i="54" s="1"/>
  <c r="I54" i="54" s="1"/>
  <c r="J53" i="54"/>
  <c r="H53" i="54"/>
  <c r="I53" i="54" s="1"/>
  <c r="G53" i="54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G49" i="54"/>
  <c r="H49" i="54" s="1"/>
  <c r="J48" i="54"/>
  <c r="K48" i="54" s="1"/>
  <c r="H48" i="54"/>
  <c r="I48" i="54" s="1"/>
  <c r="G48" i="54"/>
  <c r="K47" i="54"/>
  <c r="J47" i="54"/>
  <c r="G47" i="54"/>
  <c r="H47" i="54" s="1"/>
  <c r="I47" i="54" s="1"/>
  <c r="K46" i="54"/>
  <c r="J46" i="54"/>
  <c r="H46" i="54"/>
  <c r="I46" i="54" s="1"/>
  <c r="G46" i="54"/>
  <c r="J45" i="54"/>
  <c r="K45" i="54" s="1"/>
  <c r="I45" i="54"/>
  <c r="G45" i="54"/>
  <c r="H45" i="54" s="1"/>
  <c r="J44" i="54"/>
  <c r="K44" i="54" s="1"/>
  <c r="I44" i="54"/>
  <c r="H44" i="54"/>
  <c r="G44" i="54"/>
  <c r="K43" i="54"/>
  <c r="J43" i="54"/>
  <c r="H43" i="54"/>
  <c r="I43" i="54" s="1"/>
  <c r="G43" i="54"/>
  <c r="J42" i="54"/>
  <c r="K42" i="54" s="1"/>
  <c r="H42" i="54"/>
  <c r="I42" i="54" s="1"/>
  <c r="G42" i="54"/>
  <c r="K41" i="54"/>
  <c r="J41" i="54"/>
  <c r="G41" i="54"/>
  <c r="H41" i="54" s="1"/>
  <c r="I41" i="54" s="1"/>
  <c r="K40" i="54"/>
  <c r="J40" i="54"/>
  <c r="H40" i="54"/>
  <c r="I40" i="54" s="1"/>
  <c r="G40" i="54"/>
  <c r="J39" i="54"/>
  <c r="K39" i="54" s="1"/>
  <c r="I39" i="54"/>
  <c r="G39" i="54"/>
  <c r="H39" i="54" s="1"/>
  <c r="J38" i="54"/>
  <c r="K38" i="54" s="1"/>
  <c r="I38" i="54"/>
  <c r="H38" i="54"/>
  <c r="G38" i="54"/>
  <c r="K37" i="54"/>
  <c r="J37" i="54"/>
  <c r="H37" i="54"/>
  <c r="I37" i="54" s="1"/>
  <c r="G37" i="54"/>
  <c r="J36" i="54"/>
  <c r="K36" i="54" s="1"/>
  <c r="H36" i="54"/>
  <c r="I36" i="54" s="1"/>
  <c r="G36" i="54"/>
  <c r="K35" i="54"/>
  <c r="J35" i="54"/>
  <c r="G35" i="54"/>
  <c r="H35" i="54" s="1"/>
  <c r="I35" i="54" s="1"/>
  <c r="K34" i="54"/>
  <c r="J34" i="54"/>
  <c r="H34" i="54"/>
  <c r="I34" i="54" s="1"/>
  <c r="G34" i="54"/>
  <c r="J33" i="54"/>
  <c r="K33" i="54" s="1"/>
  <c r="I33" i="54"/>
  <c r="G33" i="54"/>
  <c r="H33" i="54" s="1"/>
  <c r="J32" i="54"/>
  <c r="K32" i="54" s="1"/>
  <c r="I32" i="54"/>
  <c r="H32" i="54"/>
  <c r="G32" i="54"/>
  <c r="K31" i="54"/>
  <c r="J31" i="54"/>
  <c r="H31" i="54"/>
  <c r="I31" i="54" s="1"/>
  <c r="G31" i="54"/>
  <c r="J30" i="54"/>
  <c r="K30" i="54" s="1"/>
  <c r="H30" i="54"/>
  <c r="I30" i="54" s="1"/>
  <c r="G30" i="54"/>
  <c r="K29" i="54"/>
  <c r="J29" i="54"/>
  <c r="G29" i="54"/>
  <c r="H29" i="54" s="1"/>
  <c r="I29" i="54" s="1"/>
  <c r="K28" i="54"/>
  <c r="J28" i="54"/>
  <c r="H28" i="54"/>
  <c r="I28" i="54" s="1"/>
  <c r="G28" i="54"/>
  <c r="J27" i="54"/>
  <c r="K27" i="54" s="1"/>
  <c r="I27" i="54"/>
  <c r="G27" i="54"/>
  <c r="H27" i="54" s="1"/>
  <c r="J26" i="54"/>
  <c r="K26" i="54" s="1"/>
  <c r="I26" i="54"/>
  <c r="H26" i="54"/>
  <c r="G26" i="54"/>
  <c r="K25" i="54"/>
  <c r="J25" i="54"/>
  <c r="H25" i="54"/>
  <c r="I25" i="54" s="1"/>
  <c r="G25" i="54"/>
  <c r="J24" i="54"/>
  <c r="K24" i="54" s="1"/>
  <c r="H24" i="54"/>
  <c r="I24" i="54" s="1"/>
  <c r="G24" i="54"/>
  <c r="K23" i="54"/>
  <c r="J23" i="54"/>
  <c r="G23" i="54"/>
  <c r="H23" i="54" s="1"/>
  <c r="I23" i="54" s="1"/>
  <c r="K22" i="54"/>
  <c r="J22" i="54"/>
  <c r="H22" i="54"/>
  <c r="I22" i="54" s="1"/>
  <c r="G22" i="54"/>
  <c r="J21" i="54"/>
  <c r="K21" i="54" s="1"/>
  <c r="I21" i="54"/>
  <c r="G21" i="54"/>
  <c r="H21" i="54" s="1"/>
  <c r="J20" i="54"/>
  <c r="K20" i="54" s="1"/>
  <c r="I20" i="54"/>
  <c r="H20" i="54"/>
  <c r="G20" i="54"/>
  <c r="K19" i="54"/>
  <c r="J19" i="54"/>
  <c r="H19" i="54"/>
  <c r="I19" i="54" s="1"/>
  <c r="G19" i="54"/>
  <c r="J18" i="54"/>
  <c r="K18" i="54" s="1"/>
  <c r="H18" i="54"/>
  <c r="I18" i="54" s="1"/>
  <c r="G18" i="54"/>
  <c r="K17" i="54"/>
  <c r="J17" i="54"/>
  <c r="G17" i="54"/>
  <c r="H17" i="54" s="1"/>
  <c r="I17" i="54" s="1"/>
  <c r="K16" i="54"/>
  <c r="J16" i="54"/>
  <c r="H16" i="54"/>
  <c r="I16" i="54" s="1"/>
  <c r="G16" i="54"/>
  <c r="J15" i="54"/>
  <c r="K15" i="54" s="1"/>
  <c r="I15" i="54"/>
  <c r="G15" i="54"/>
  <c r="H15" i="54" s="1"/>
  <c r="J14" i="54"/>
  <c r="K14" i="54" s="1"/>
  <c r="I14" i="54"/>
  <c r="H14" i="54"/>
  <c r="G14" i="54"/>
  <c r="K13" i="54"/>
  <c r="J13" i="54"/>
  <c r="H13" i="54"/>
  <c r="I13" i="54" s="1"/>
  <c r="G13" i="54"/>
  <c r="J12" i="54"/>
  <c r="K12" i="54" s="1"/>
  <c r="H12" i="54"/>
  <c r="I12" i="54" s="1"/>
  <c r="G12" i="54"/>
  <c r="K11" i="54"/>
  <c r="J11" i="54"/>
  <c r="G11" i="54"/>
  <c r="H11" i="54" s="1"/>
  <c r="I11" i="54" s="1"/>
  <c r="K10" i="54"/>
  <c r="J10" i="54"/>
  <c r="H10" i="54"/>
  <c r="I10" i="54" s="1"/>
  <c r="G10" i="54"/>
  <c r="J9" i="54"/>
  <c r="K9" i="54" s="1"/>
  <c r="I9" i="54"/>
  <c r="G9" i="54"/>
  <c r="H9" i="54" s="1"/>
  <c r="J8" i="54"/>
  <c r="K8" i="54" s="1"/>
  <c r="I8" i="54"/>
  <c r="H8" i="54"/>
  <c r="G8" i="54"/>
  <c r="K7" i="54"/>
  <c r="J7" i="54"/>
  <c r="H7" i="54"/>
  <c r="I7" i="54" s="1"/>
  <c r="G7" i="54"/>
  <c r="J6" i="54"/>
  <c r="K6" i="54" s="1"/>
  <c r="H6" i="54"/>
  <c r="I6" i="54" s="1"/>
  <c r="G6" i="54"/>
  <c r="K5" i="54"/>
  <c r="J5" i="54"/>
  <c r="G5" i="54"/>
  <c r="H5" i="54" s="1"/>
  <c r="I5" i="54" s="1"/>
  <c r="K4" i="54"/>
  <c r="J4" i="54"/>
  <c r="H4" i="54"/>
  <c r="I4" i="54" s="1"/>
  <c r="G4" i="54"/>
  <c r="J3" i="54"/>
  <c r="K3" i="54" s="1"/>
  <c r="I3" i="54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49" i="54"/>
  <c r="H149" i="54"/>
  <c r="I49" i="54"/>
  <c r="I149" i="54" s="1"/>
  <c r="K49" i="54"/>
  <c r="K149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<sst xmlns="http://schemas.openxmlformats.org/spreadsheetml/2006/main" count="9220" uniqueCount="3388">
  <si>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</si>
  <si>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</si>
  <si>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</si>
  <si>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</si>
  <si>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</si>
  <si>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</si>
  <si>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</si>
  <si>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</si>
  <si>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</si>
  <si>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</si>
  <si>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</si>
  <si>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</si>
  <si>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</si>
  <si>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</si>
  <si>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</si>
  <si>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</si>
  <si>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</si>
  <si>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</si>
  <si>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</si>
  <si>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</si>
  <si>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</si>
  <si>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</si>
  <si>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</si>
  <si>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</si>
  <si>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</si>
  <si>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</si>
  <si>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</si>
  <si>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</si>
  <si>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</si>
  <si>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</si>
  <si>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</si>
  <si>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</si>
  <si>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</si>
  <si>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</si>
  <si>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</si>
  <si>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</si>
  <si>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</si>
  <si>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</si>
  <si>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</si>
  <si>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</si>
  <si>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</si>
  <si>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</si>
  <si>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</si>
  <si>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</si>
  <si>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</si>
  <si>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</si>
  <si>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</si>
  <si>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</si>
  <si>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</si>
  <si>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</si>
  <si>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</si>
  <si>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</si>
  <si>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</si>
  <si>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</si>
  <si>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</si>
  <si>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</si>
  <si>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</si>
  <si>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</si>
  <si>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</si>
  <si>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</si>
  <si>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</si>
  <si>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</si>
  <si>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</si>
  <si>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</si>
  <si>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</si>
  <si>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</si>
  <si>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</si>
  <si>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</si>
  <si>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</si>
  <si>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</si>
  <si>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</si>
  <si>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</si>
  <si>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</si>
  <si>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</si>
  <si>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</si>
  <si>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</si>
  <si>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</si>
  <si>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</si>
  <si>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</si>
  <si>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</si>
  <si>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</si>
  <si>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</si>
  <si>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</si>
  <si>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</si>
  <si>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</si>
  <si>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</si>
  <si>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</si>
  <si>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</si>
  <si>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</si>
  <si>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</si>
  <si>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</si>
  <si>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</si>
  <si>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</si>
  <si>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</si>
  <si>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</si>
  <si>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</si>
  <si>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</si>
  <si>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</si>
  <si>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</si>
  <si>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</si>
  <si>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</si>
  <si>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</si>
  <si>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</si>
  <si>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</si>
  <si>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</si>
  <si>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</si>
  <si>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</si>
  <si>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</si>
  <si>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</si>
  <si>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</si>
  <si>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</si>
  <si>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</si>
  <si>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</si>
  <si>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</si>
  <si>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</si>
  <si>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</si>
  <si>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</si>
  <si>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</si>
  <si>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</si>
  <si>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</si>
  <si>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</si>
  <si>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</si>
  <si>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</si>
  <si>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</si>
  <si>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</si>
  <si>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</si>
  <si>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</si>
  <si>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</si>
  <si>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</si>
  <si>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</si>
  <si>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</si>
  <si>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</si>
  <si>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</si>
  <si>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</si>
  <si>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</si>
  <si>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</si>
  <si>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</si>
  <si>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</si>
  <si>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</si>
  <si>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</si>
  <si>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</si>
  <si>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</si>
  <si>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</si>
  <si>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</si>
  <si>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</si>
  <si>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</si>
  <si>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</si>
  <si>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</si>
  <si>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</si>
  <si>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</si>
  <si>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</si>
  <si>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</si>
  <si>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</si>
  <si>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</si>
  <si>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</si>
  <si>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</si>
  <si>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</si>
  <si>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</si>
  <si>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</si>
  <si>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</si>
  <si>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</si>
  <si>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</si>
  <si>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</si>
  <si>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</si>
  <si>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</si>
  <si>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</si>
  <si>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</si>
  <si>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</si>
  <si>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</si>
  <si>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</si>
  <si>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</si>
  <si>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</si>
  <si>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</si>
  <si>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</si>
  <si>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</si>
  <si>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</si>
  <si>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</si>
  <si>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</si>
  <si>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</si>
  <si>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</si>
  <si>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</si>
  <si>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</si>
  <si>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</si>
  <si>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</si>
  <si>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</si>
  <si>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</si>
  <si>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</si>
  <si>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</si>
  <si>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</si>
  <si>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</si>
  <si>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</si>
  <si>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</si>
  <si>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</si>
  <si>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</si>
  <si>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</si>
  <si>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</si>
  <si>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</si>
  <si>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</si>
  <si>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</si>
  <si>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</si>
  <si>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</si>
  <si>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</si>
  <si>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</si>
  <si>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</si>
  <si>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</si>
  <si>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</si>
  <si>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</si>
  <si>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</si>
  <si>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</si>
  <si>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</si>
  <si>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</si>
  <si>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</si>
  <si>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</si>
  <si>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</si>
  <si>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</si>
  <si>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</si>
  <si>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</si>
  <si>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</si>
  <si>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</si>
  <si>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</si>
  <si>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</si>
  <si>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</si>
  <si>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</si>
  <si>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</si>
  <si>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</si>
  <si>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</si>
  <si>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</si>
  <si>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</si>
  <si>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</si>
  <si>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</si>
  <si>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</si>
  <si>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</si>
  <si>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</si>
  <si>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</si>
  <si>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</si>
  <si>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</si>
  <si>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</si>
  <si>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</si>
  <si>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</si>
  <si>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</si>
  <si>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</si>
  <si>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</si>
  <si>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</si>
  <si>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</si>
  <si>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</si>
  <si>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</si>
  <si>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</si>
  <si>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</si>
  <si>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</si>
  <si>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</si>
  <si>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</si>
  <si>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</si>
  <si>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</si>
  <si>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</si>
  <si>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</si>
  <si>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</si>
  <si>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</si>
  <si>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</si>
  <si>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</si>
  <si>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</si>
  <si>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</si>
  <si>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</si>
  <si>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</si>
  <si>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</si>
  <si>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</si>
  <si>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</si>
  <si>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</si>
  <si>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</si>
  <si>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</si>
  <si>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</si>
  <si>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</si>
  <si>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</si>
  <si>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</si>
  <si>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</si>
  <si>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</si>
  <si>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</si>
  <si>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</si>
  <si>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</si>
  <si>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</si>
  <si>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</si>
  <si>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</si>
  <si>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</si>
  <si>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</si>
  <si>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</si>
  <si>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</si>
  <si>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</si>
  <si>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</si>
  <si>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</si>
  <si>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</si>
  <si>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</si>
  <si>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</si>
  <si>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</si>
  <si>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</si>
  <si>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</si>
  <si>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</si>
  <si>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</si>
  <si>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</si>
  <si>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</si>
  <si>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</si>
  <si>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</si>
  <si>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</si>
  <si>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</si>
  <si>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</si>
  <si>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</si>
  <si>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</si>
  <si>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</si>
  <si>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</si>
  <si>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</si>
  <si>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</si>
  <si>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</si>
  <si>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</si>
  <si>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</si>
  <si>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</si>
  <si>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</si>
  <si>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</si>
  <si>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</si>
  <si>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</si>
  <si>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</si>
  <si>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</si>
  <si>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</si>
  <si>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</si>
  <si>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</si>
  <si>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</si>
  <si>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</si>
  <si>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</si>
  <si>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</si>
  <si>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</si>
  <si>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</si>
  <si>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</si>
  <si>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</si>
  <si>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</si>
  <si>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</si>
  <si>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</si>
  <si>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</si>
  <si>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</si>
  <si>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</si>
  <si>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</si>
  <si>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</si>
  <si>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</si>
  <si>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</si>
  <si>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</si>
  <si>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</si>
  <si>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</si>
  <si>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</si>
  <si>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</si>
  <si>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</si>
  <si>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</si>
  <si>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</si>
  <si>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</si>
  <si>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</si>
  <si>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</si>
  <si>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</si>
  <si>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</si>
  <si>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</si>
  <si>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</si>
  <si>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</si>
  <si>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</si>
  <si>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</si>
  <si>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</si>
  <si>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</si>
  <si>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</si>
  <si>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</si>
  <si>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</si>
  <si>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</si>
  <si>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</si>
  <si>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</si>
  <si>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</si>
  <si>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</si>
  <si>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</si>
  <si>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</si>
  <si>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</si>
  <si>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</si>
  <si>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</si>
  <si>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</si>
  <si>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</si>
  <si>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</si>
  <si>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</si>
  <si>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</si>
  <si>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</si>
  <si>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</si>
  <si>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</si>
  <si>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</si>
  <si>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</si>
  <si>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</si>
  <si>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</si>
  <si>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</si>
  <si>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</si>
  <si>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</si>
  <si>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</si>
  <si>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</si>
  <si>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</si>
  <si>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</si>
  <si>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</si>
  <si>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</si>
  <si>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</si>
  <si>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</si>
  <si>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</si>
  <si>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</si>
  <si>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</si>
  <si>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</si>
  <si>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</si>
  <si>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</si>
  <si>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</si>
  <si>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</si>
  <si>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</si>
  <si>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</si>
  <si>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</si>
  <si>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</si>
  <si>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</si>
  <si>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</si>
  <si>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</si>
  <si>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</si>
  <si>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</si>
  <si>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</si>
  <si>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</si>
  <si>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</si>
  <si>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</si>
  <si>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</si>
  <si>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</si>
  <si>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</si>
  <si>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</si>
  <si>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</si>
  <si>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</si>
  <si>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</si>
  <si>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</si>
  <si>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</si>
  <si>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</si>
  <si>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</si>
  <si>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</si>
  <si>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</si>
  <si>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</si>
  <si>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</si>
  <si>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</si>
  <si>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</si>
  <si>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</si>
  <si>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</si>
  <si>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</si>
  <si>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</si>
  <si>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</si>
  <si>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</si>
  <si>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</si>
  <si>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</si>
  <si>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</si>
  <si>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</si>
  <si>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</si>
  <si>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</si>
  <si>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</si>
  <si>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</si>
  <si>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</si>
  <si>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</si>
  <si>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</si>
  <si>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</si>
  <si>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</si>
  <si>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</si>
  <si>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</si>
  <si>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</si>
  <si>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</si>
  <si>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</si>
  <si>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</si>
  <si>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</si>
  <si>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</si>
  <si>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</si>
  <si>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</si>
  <si>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</si>
  <si>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</si>
  <si>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</si>
  <si>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</si>
  <si>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</si>
  <si>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</si>
  <si>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</si>
  <si>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</si>
  <si>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</si>
  <si>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</si>
  <si>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</si>
  <si>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</si>
  <si>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</si>
  <si>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</si>
  <si>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</si>
  <si>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</si>
  <si>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</si>
  <si>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</si>
  <si>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</si>
  <si>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</si>
  <si>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</si>
  <si>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</si>
  <si>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</si>
  <si>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</si>
  <si>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</si>
  <si>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</si>
  <si>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</si>
  <si>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</si>
  <si>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</si>
  <si>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</si>
  <si>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</si>
  <si>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</si>
  <si>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</si>
  <si>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</si>
  <si>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</si>
  <si>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</si>
  <si>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</si>
  <si>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</si>
  <si>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</si>
  <si>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</si>
  <si>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</si>
  <si>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</si>
  <si>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</si>
  <si>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</si>
  <si>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</si>
  <si>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</si>
  <si>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</si>
  <si>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</si>
  <si>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</si>
  <si>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</si>
  <si>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</si>
  <si>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</si>
  <si>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</si>
  <si>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</si>
  <si>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</si>
  <si>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</si>
  <si>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</si>
  <si>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</si>
  <si>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</si>
  <si>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</si>
  <si>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</si>
  <si>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</si>
  <si>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</si>
  <si>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</si>
  <si>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</si>
  <si>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</si>
  <si>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</si>
  <si>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</si>
  <si>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</si>
  <si>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</si>
  <si>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</si>
  <si>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</si>
  <si>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</si>
  <si>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</si>
  <si>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</si>
  <si>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</si>
  <si>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</si>
  <si>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</si>
  <si>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</si>
  <si>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</si>
  <si>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</si>
  <si>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</si>
  <si>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</si>
  <si>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</si>
  <si>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</si>
  <si>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</si>
  <si>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</si>
  <si>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</si>
  <si>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</si>
  <si>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</si>
  <si>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</si>
  <si>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</si>
  <si>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</si>
  <si>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</si>
  <si>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</si>
  <si>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</si>
  <si>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</si>
  <si>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</si>
  <si>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</si>
  <si>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</si>
  <si>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</si>
  <si>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</si>
  <si>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</si>
  <si>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</si>
  <si>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</si>
  <si>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</si>
  <si>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</si>
  <si>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</si>
  <si>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</si>
  <si>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</si>
  <si>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</si>
  <si>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</si>
  <si>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</si>
  <si>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</si>
  <si>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</si>
  <si>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</si>
  <si>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</si>
  <si>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</si>
  <si>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</si>
  <si>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</si>
  <si>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</si>
  <si>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</si>
  <si>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</si>
  <si>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</si>
  <si>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</si>
  <si>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</si>
  <si>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</si>
  <si>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</si>
  <si>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</si>
  <si>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</si>
  <si>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</si>
  <si>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</si>
  <si>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</si>
  <si>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</si>
  <si>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</si>
  <si>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</si>
  <si>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</si>
  <si>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</si>
  <si>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</si>
  <si>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</si>
  <si>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</si>
  <si>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</si>
  <si>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</si>
  <si>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</si>
  <si>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</si>
  <si>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</si>
  <si>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</si>
  <si>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</si>
  <si>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</si>
  <si>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</si>
  <si>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</si>
  <si>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</si>
  <si>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</si>
  <si>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</si>
  <si>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</si>
  <si>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</si>
  <si>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</si>
  <si>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</si>
  <si>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</si>
  <si>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</si>
  <si>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</si>
  <si>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</si>
  <si>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</si>
  <si>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</si>
  <si>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</si>
  <si>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</si>
  <si>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</si>
  <si>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</si>
  <si>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</si>
  <si>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</si>
  <si>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</si>
  <si>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</si>
  <si>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</si>
  <si>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</si>
  <si>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</si>
  <si>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</si>
  <si>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</si>
  <si>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</si>
  <si>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</si>
  <si>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</si>
  <si>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</si>
  <si>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</si>
  <si>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</si>
  <si>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</si>
  <si>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</si>
  <si>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</si>
  <si>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</si>
  <si>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</si>
  <si>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</si>
  <si>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</si>
  <si>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</si>
  <si>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</si>
  <si>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</si>
  <si>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</si>
  <si>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</si>
  <si>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</si>
  <si>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</si>
  <si>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</si>
  <si>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</si>
  <si>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</si>
  <si>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</si>
  <si>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</si>
  <si>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</si>
  <si>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</si>
  <si>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</si>
  <si>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</si>
  <si>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</si>
  <si>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</si>
  <si>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</si>
  <si>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</si>
  <si>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</si>
  <si>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</si>
  <si>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</si>
  <si>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</si>
  <si>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</si>
  <si>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</si>
  <si>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</si>
  <si>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</si>
  <si>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</si>
  <si>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</si>
  <si>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</si>
  <si>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</si>
  <si>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</si>
  <si>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</si>
  <si>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</si>
  <si>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</si>
  <si>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</si>
  <si>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</si>
  <si>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</si>
  <si>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</si>
  <si>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</si>
  <si>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</si>
  <si>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</si>
  <si>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</si>
  <si>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</si>
  <si>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</si>
  <si>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</si>
  <si>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</si>
  <si>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</si>
  <si>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</si>
  <si>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</si>
  <si>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</si>
  <si>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</si>
  <si>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</si>
  <si>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</si>
  <si>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</si>
  <si>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</si>
  <si>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</si>
  <si>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</si>
  <si>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</si>
  <si>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</si>
  <si>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</si>
  <si>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</si>
  <si>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</si>
  <si>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</si>
  <si>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</si>
  <si>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</si>
  <si>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</si>
  <si>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</si>
  <si>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</si>
  <si>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</si>
  <si>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</si>
  <si>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</si>
  <si>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</si>
  <si>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</si>
  <si>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</si>
  <si>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</si>
  <si>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</si>
  <si>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</si>
  <si>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</si>
  <si>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</si>
  <si>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</si>
  <si>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</si>
  <si>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</si>
  <si>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</si>
  <si>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</si>
  <si>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</si>
  <si>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</si>
  <si>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</si>
  <si>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</si>
  <si>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</si>
  <si>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</si>
  <si>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</si>
  <si>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</si>
  <si>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</si>
  <si>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</si>
  <si>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</si>
  <si>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</si>
  <si>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</si>
  <si>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</si>
  <si>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</si>
  <si>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</si>
  <si>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</si>
  <si>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</si>
  <si>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</si>
  <si>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</si>
  <si>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</si>
  <si>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</si>
  <si>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</si>
  <si>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</si>
  <si>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</si>
  <si>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</si>
  <si>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</si>
  <si>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</si>
  <si>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</si>
  <si>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</si>
  <si>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</si>
  <si>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</si>
  <si>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</si>
  <si>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</si>
  <si>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</si>
  <si>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</si>
  <si>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</si>
  <si>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</si>
  <si>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</si>
  <si>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</si>
  <si>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</si>
  <si>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</si>
  <si>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</si>
  <si>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</si>
  <si>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</si>
  <si>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</si>
  <si>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</si>
  <si>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</si>
  <si>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</si>
  <si>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</si>
  <si>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</si>
  <si>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</si>
  <si>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</si>
  <si>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</si>
  <si>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</si>
  <si>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</si>
  <si>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</si>
  <si>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</si>
  <si>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</si>
  <si>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</si>
  <si>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</si>
  <si>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</si>
  <si>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</si>
  <si>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</si>
  <si>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</si>
  <si>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</si>
  <si>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</si>
  <si>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</si>
  <si>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</si>
  <si>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</si>
  <si>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</si>
  <si>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</si>
  <si>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</si>
  <si>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</si>
  <si>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</si>
  <si>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</si>
  <si>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</si>
  <si>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</si>
  <si>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</si>
  <si>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</si>
  <si>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</si>
  <si>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</si>
  <si>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</si>
  <si>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</si>
  <si>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</si>
  <si>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</si>
  <si>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</si>
  <si>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</si>
  <si>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</si>
  <si>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</si>
  <si>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</si>
  <si>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</si>
  <si>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</si>
  <si>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</si>
  <si>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</si>
  <si>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</si>
  <si>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</si>
  <si>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</si>
  <si>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</si>
  <si>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</si>
  <si>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</si>
  <si>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</si>
  <si>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</si>
  <si>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</si>
  <si>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</si>
  <si>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</si>
  <si>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</si>
  <si>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</si>
  <si>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</si>
  <si>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</si>
  <si>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</si>
  <si>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</si>
  <si>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</si>
  <si>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</si>
  <si>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</si>
  <si>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</si>
  <si>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</si>
  <si>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</si>
  <si>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</si>
  <si>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</si>
  <si>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</si>
  <si>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</si>
  <si>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</si>
  <si>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</si>
  <si>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</si>
  <si>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</si>
  <si>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</si>
  <si>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</si>
  <si>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</si>
  <si>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</si>
  <si>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</si>
  <si>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</si>
  <si>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</si>
  <si>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</si>
  <si>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</si>
  <si>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</si>
  <si>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</si>
  <si>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</si>
  <si>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</si>
  <si>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</si>
  <si>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</si>
  <si>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</si>
  <si>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</si>
  <si>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</si>
  <si>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</si>
  <si>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</si>
  <si>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</si>
  <si>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</si>
  <si>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</si>
  <si>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</si>
  <si>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</si>
  <si>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</si>
  <si>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</si>
  <si>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</si>
  <si>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</si>
  <si>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</si>
  <si>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</si>
  <si>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</si>
  <si>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</si>
  <si>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</si>
  <si>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</si>
  <si>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</si>
  <si>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</si>
  <si>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</si>
  <si>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</si>
  <si>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</si>
  <si>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</si>
  <si>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</si>
  <si>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</si>
  <si>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</si>
  <si>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</si>
  <si>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</si>
  <si>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</si>
  <si>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</si>
  <si>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</si>
  <si>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</si>
  <si>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</si>
  <si>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</si>
  <si>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</si>
  <si>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</si>
  <si>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</si>
  <si>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</si>
  <si>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</si>
  <si>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</si>
  <si>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</si>
  <si>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</si>
  <si>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</si>
  <si>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</si>
  <si>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</si>
  <si>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</si>
  <si>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</si>
  <si>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</si>
  <si>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</si>
  <si>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</si>
  <si>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</si>
  <si>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</si>
  <si>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</si>
  <si>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</si>
  <si>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</si>
  <si>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</si>
  <si>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</si>
  <si>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</si>
  <si>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</si>
  <si>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</si>
  <si>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</si>
  <si>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</si>
  <si>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</si>
  <si>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</si>
  <si>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</si>
  <si>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</si>
  <si>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</si>
  <si>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</si>
  <si>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</si>
  <si>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</si>
  <si>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</si>
  <si>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</si>
  <si>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</si>
  <si>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</si>
  <si>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</si>
  <si>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</si>
  <si>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</si>
  <si>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</si>
  <si>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</si>
  <si>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</si>
  <si>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</si>
  <si>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</si>
  <si>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</si>
  <si>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</si>
  <si>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</si>
  <si>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</si>
  <si>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</si>
  <si>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</si>
  <si>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</si>
  <si>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</si>
  <si>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</si>
  <si>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</si>
  <si>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</si>
  <si>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</si>
  <si>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</si>
  <si>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</si>
  <si>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</si>
  <si>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</si>
  <si>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</si>
  <si>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</si>
  <si>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</si>
  <si>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</si>
  <si>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</si>
  <si>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</si>
  <si>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</si>
  <si>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</si>
  <si>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</si>
  <si>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</si>
  <si>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</si>
  <si>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</si>
  <si>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</si>
  <si>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</si>
  <si>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</si>
  <si>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</si>
  <si>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</si>
  <si>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</si>
  <si>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</si>
  <si>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</si>
  <si>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</si>
  <si>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</si>
  <si>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</si>
  <si>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</si>
  <si>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</si>
  <si>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</si>
  <si>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</si>
  <si>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</si>
  <si>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</si>
  <si>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</si>
  <si>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</si>
  <si>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</si>
  <si>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</si>
  <si>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</si>
  <si>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</si>
  <si>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</si>
  <si>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</si>
  <si>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</si>
  <si>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</si>
  <si>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</si>
  <si>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</si>
  <si>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</si>
  <si>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</si>
  <si>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</si>
  <si>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</si>
  <si>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</si>
  <si>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</si>
  <si>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</si>
  <si>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</si>
  <si>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</si>
  <si>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</si>
  <si>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</si>
  <si>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</si>
  <si>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</si>
  <si>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</si>
  <si>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</si>
  <si>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</si>
  <si>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</si>
  <si>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</si>
  <si>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</si>
  <si>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</si>
  <si>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</si>
  <si>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</si>
  <si>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</si>
  <si>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</si>
  <si>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</si>
  <si>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</si>
  <si>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</si>
  <si>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</si>
  <si>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</si>
  <si>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</si>
  <si>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</si>
  <si>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</si>
  <si>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</si>
  <si>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</si>
  <si>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</si>
  <si>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</si>
  <si>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</si>
  <si>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</si>
  <si>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</si>
  <si>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</si>
  <si>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</si>
  <si>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</si>
  <si>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</si>
  <si>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</si>
  <si>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</si>
  <si>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</si>
  <si>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</si>
  <si>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</si>
  <si>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</si>
  <si>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</si>
  <si>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</si>
  <si>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</si>
  <si>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</si>
  <si>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</si>
  <si>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</si>
  <si>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</si>
  <si>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</si>
  <si>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</si>
  <si>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</si>
  <si>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</si>
  <si>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</si>
  <si>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</si>
  <si>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</si>
  <si>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</si>
  <si>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</si>
  <si>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</si>
  <si>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</si>
  <si>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</si>
  <si>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</si>
  <si>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</si>
  <si>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</si>
  <si>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</si>
  <si>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</si>
  <si>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</si>
  <si>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</si>
  <si>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</si>
  <si>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</si>
  <si>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</si>
  <si>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</si>
  <si>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</si>
  <si>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</si>
  <si>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</si>
  <si>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</si>
  <si>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</si>
  <si>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</si>
  <si>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</si>
  <si>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</si>
  <si>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</si>
  <si>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</si>
  <si>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</si>
  <si>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</si>
  <si>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</si>
  <si>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</si>
  <si>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</si>
  <si>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</si>
  <si>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</si>
  <si>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</si>
  <si>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</si>
  <si>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</si>
  <si>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</si>
  <si>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</si>
  <si>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</si>
  <si>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</si>
  <si>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</si>
  <si>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</si>
  <si>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</si>
  <si>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</si>
  <si>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</si>
  <si>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</si>
  <si>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</si>
  <si>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</si>
  <si>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</si>
  <si>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</si>
  <si>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</si>
  <si>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</si>
  <si>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</si>
  <si>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</si>
  <si>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</si>
  <si>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</si>
  <si>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</si>
  <si>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</si>
  <si>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</si>
  <si>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</si>
  <si>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</si>
  <si>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</si>
  <si>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</si>
  <si>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</si>
  <si>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</si>
  <si>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</si>
  <si>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</si>
  <si>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</si>
  <si>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</si>
  <si>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</si>
  <si>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</si>
  <si>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</si>
  <si>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</si>
  <si>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</si>
  <si>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</si>
  <si>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</si>
  <si>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</si>
  <si>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</si>
  <si>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</si>
  <si>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</si>
  <si>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</si>
  <si>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</si>
  <si>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</si>
  <si>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</si>
  <si>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</si>
  <si>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</si>
  <si>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</si>
  <si>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</si>
  <si>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</si>
  <si>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</si>
  <si>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</si>
  <si>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</si>
  <si>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</si>
  <si>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</si>
  <si>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</si>
  <si>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</si>
  <si>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</si>
  <si>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</si>
  <si>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</si>
  <si>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</si>
  <si>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</si>
  <si>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</si>
  <si>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</si>
  <si>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</si>
  <si>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</si>
  <si>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</si>
  <si>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</si>
  <si>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</si>
  <si>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</si>
  <si>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</si>
  <si>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</si>
  <si>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</si>
  <si>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</si>
  <si>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</si>
  <si>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</si>
  <si>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</si>
  <si>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</si>
  <si>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</si>
  <si>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</si>
  <si>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</si>
  <si>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</si>
  <si>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</si>
  <si>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</si>
  <si>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</si>
  <si>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</si>
  <si>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</si>
  <si>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</si>
  <si>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</si>
  <si>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</si>
  <si>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</si>
  <si>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</si>
  <si>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</si>
  <si>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</si>
  <si>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</si>
  <si>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</si>
  <si>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</si>
  <si>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</si>
  <si>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</si>
  <si>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</si>
  <si>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</si>
  <si>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</si>
  <si>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</si>
  <si>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</si>
  <si>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</si>
  <si>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</si>
  <si>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</si>
  <si>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</si>
  <si>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</si>
  <si>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</si>
  <si>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</si>
  <si>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</si>
  <si>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</si>
  <si>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</si>
  <si>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</si>
  <si>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</si>
  <si>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</si>
  <si>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</si>
  <si>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</si>
  <si>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</si>
  <si>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</si>
  <si>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</si>
  <si>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</si>
  <si>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</si>
  <si>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</si>
  <si>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</si>
  <si>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</si>
  <si>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</si>
  <si>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</si>
  <si>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</si>
  <si>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</si>
  <si>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</si>
  <si>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</si>
  <si>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</si>
  <si>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</si>
  <si>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</si>
  <si>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</si>
  <si>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</si>
  <si>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</si>
  <si>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</si>
  <si>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</si>
  <si>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</si>
  <si>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</si>
  <si>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</si>
  <si>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</si>
  <si>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</si>
  <si>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</si>
  <si>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</si>
  <si>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</si>
  <si>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</si>
  <si>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</si>
  <si>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</si>
  <si>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</si>
  <si>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</si>
  <si>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</si>
  <si>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</si>
  <si>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</si>
  <si>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</si>
  <si>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</si>
  <si>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</si>
  <si>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</si>
  <si>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</si>
  <si>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</si>
  <si>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</si>
  <si>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</si>
  <si>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</si>
  <si>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</si>
  <si>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</si>
  <si>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</si>
  <si>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</si>
  <si>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</si>
  <si>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</si>
  <si>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</si>
  <si>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</si>
  <si>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</si>
  <si>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</si>
  <si>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</si>
  <si>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</si>
  <si>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</si>
  <si>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</si>
  <si>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</si>
  <si>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</si>
  <si>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</si>
  <si>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</si>
  <si>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</si>
  <si>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</si>
  <si>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</si>
  <si>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</si>
  <si>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</si>
  <si>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</si>
  <si>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</si>
  <si>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</si>
  <si>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</si>
  <si>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</si>
  <si>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</si>
  <si>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</si>
  <si>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</si>
  <si>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</si>
  <si>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</si>
  <si>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</si>
  <si>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</si>
  <si>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</si>
  <si>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</si>
  <si>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</si>
  <si>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</si>
  <si>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</si>
  <si>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</si>
  <si>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</si>
  <si>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</si>
  <si>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</si>
  <si>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</si>
  <si>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</si>
  <si>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</si>
  <si>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</si>
  <si>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</si>
  <si>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</si>
  <si>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</si>
  <si>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</si>
  <si>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</si>
  <si>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</si>
  <si>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</si>
  <si>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</si>
  <si>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</si>
  <si>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</si>
  <si>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</si>
  <si>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</si>
  <si>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</si>
  <si>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</si>
  <si>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</si>
  <si>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</si>
  <si>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</si>
  <si>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</si>
  <si>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</si>
  <si>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</si>
  <si>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</si>
  <si>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</si>
  <si>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</si>
  <si>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</si>
  <si>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</si>
  <si>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</si>
  <si>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</si>
  <si>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</si>
  <si>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</si>
  <si>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</si>
  <si>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</si>
  <si>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</si>
  <si>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</si>
  <si>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</si>
  <si>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</si>
  <si>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</si>
  <si>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</si>
  <si>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</si>
  <si>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</si>
  <si>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</si>
  <si>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</si>
  <si>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</si>
  <si>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</si>
  <si>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</si>
  <si>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</si>
  <si>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</si>
  <si>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</si>
  <si>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</si>
  <si>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</si>
  <si>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</si>
  <si>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</si>
  <si>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</si>
  <si>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</si>
  <si>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</si>
  <si>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</si>
  <si>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</si>
  <si>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</si>
  <si>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</si>
  <si>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</si>
  <si>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</si>
  <si>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</si>
  <si>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</si>
  <si>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</si>
  <si>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</si>
  <si>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</si>
  <si>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</si>
  <si>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</si>
  <si>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</si>
  <si>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</si>
  <si>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</si>
  <si>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</si>
  <si>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</si>
  <si>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</si>
  <si>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</si>
  <si>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</si>
  <si>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</si>
  <si>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</si>
  <si>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</si>
  <si>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</si>
  <si>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</si>
  <si>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</si>
  <si>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</si>
  <si>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</si>
  <si>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</si>
  <si>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</si>
  <si>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</si>
  <si>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</si>
  <si>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</si>
  <si>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</si>
  <si>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</si>
  <si>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</si>
  <si>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</si>
  <si>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</si>
  <si>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</si>
  <si>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</si>
  <si>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</si>
  <si>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</si>
  <si>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</si>
  <si>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</si>
  <si>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</si>
  <si>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</si>
  <si>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</si>
  <si>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</si>
  <si>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</si>
  <si>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</si>
  <si>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</si>
  <si>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</si>
  <si>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</si>
  <si>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</si>
  <si>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</si>
  <si>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</si>
  <si>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</si>
  <si>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</si>
  <si>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</si>
  <si>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</si>
  <si>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</si>
  <si>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</si>
  <si>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</si>
  <si>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</si>
  <si>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</si>
  <si>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</si>
  <si>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</si>
  <si>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</si>
  <si>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</si>
  <si>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</si>
  <si>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</si>
  <si>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</si>
  <si>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</si>
  <si>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</si>
  <si>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</si>
  <si>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</si>
  <si>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</si>
  <si>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</si>
  <si>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</si>
  <si>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</si>
  <si>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</si>
  <si>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</si>
  <si>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</si>
  <si>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</si>
  <si>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</si>
  <si>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</si>
  <si>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</si>
  <si>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</si>
  <si>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</si>
  <si>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</si>
  <si>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</si>
  <si>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</si>
  <si>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</si>
  <si>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</si>
  <si>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</si>
  <si>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</si>
  <si>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</si>
  <si>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</si>
  <si>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</si>
  <si>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</si>
  <si>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</si>
  <si>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</si>
  <si>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</si>
  <si>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</si>
  <si>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</si>
  <si>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</si>
  <si>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</si>
  <si>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</si>
  <si>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</si>
  <si>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</si>
  <si>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</si>
  <si>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</si>
  <si>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</si>
  <si>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</si>
  <si>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</si>
  <si>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</si>
  <si>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</si>
  <si>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</si>
  <si>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</si>
  <si>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</si>
  <si>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</si>
  <si>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</si>
  <si>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</si>
  <si>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</si>
  <si>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</si>
  <si>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</si>
  <si>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</si>
  <si>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</si>
  <si>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</si>
  <si>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</si>
  <si>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</si>
  <si>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</si>
  <si>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</si>
  <si>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</si>
  <si>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</si>
  <si>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</si>
  <si>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</si>
  <si>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</si>
  <si>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</si>
  <si>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</si>
  <si>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</si>
  <si>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</si>
  <si>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</si>
  <si>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</si>
  <si>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</si>
  <si>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</si>
  <si>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</si>
  <si>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</si>
  <si>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</si>
  <si>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</si>
  <si>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</si>
  <si>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</si>
  <si>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</si>
  <si>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</si>
  <si>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</si>
  <si>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</si>
  <si>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</si>
  <si>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</si>
  <si>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</si>
  <si>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</si>
  <si>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</si>
  <si>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</si>
  <si>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</si>
  <si>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</si>
  <si>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</si>
  <si>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</si>
  <si>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</si>
  <si>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</si>
  <si>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</si>
  <si>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</si>
  <si>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</si>
  <si>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</si>
  <si>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</si>
  <si>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</si>
  <si>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</si>
  <si>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</si>
  <si>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</si>
  <si>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</si>
  <si>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</si>
  <si>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</si>
  <si>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</si>
  <si>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</si>
  <si>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</si>
  <si>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</si>
  <si>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</si>
  <si>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</si>
  <si>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</si>
  <si>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</si>
  <si>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</si>
  <si>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</si>
  <si>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</si>
  <si>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</si>
  <si>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</si>
  <si>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</si>
  <si>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</si>
  <si>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</si>
  <si>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</si>
  <si>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</si>
  <si>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</si>
  <si>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</si>
  <si>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</si>
  <si>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</si>
  <si>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</si>
  <si>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</si>
  <si>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</si>
  <si>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</si>
  <si>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</si>
  <si>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</si>
  <si>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</si>
  <si>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</si>
  <si>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</si>
  <si>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</si>
  <si>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</si>
  <si>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</si>
  <si>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</si>
  <si>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</si>
  <si>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</si>
  <si>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</si>
  <si>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</si>
  <si>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</si>
  <si>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</si>
  <si>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</si>
  <si>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</si>
  <si>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</si>
  <si>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</si>
  <si>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</si>
  <si>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</si>
  <si>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</si>
  <si>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</si>
  <si>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</si>
  <si>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</si>
  <si>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</si>
  <si>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</si>
  <si>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</si>
  <si>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</si>
  <si>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</si>
  <si>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</si>
  <si>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</si>
  <si>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</si>
  <si>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</si>
  <si>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</si>
  <si>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</si>
  <si>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</si>
  <si>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</si>
  <si>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</si>
  <si>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</si>
  <si>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</si>
  <si>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</si>
  <si>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</si>
  <si>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</si>
  <si>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</si>
  <si>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</si>
  <si>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</si>
  <si>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</si>
  <si>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</si>
  <si>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</si>
  <si>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</si>
  <si>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</si>
  <si>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</si>
  <si>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</si>
  <si>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</si>
  <si>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</si>
  <si>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</si>
  <si>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</si>
  <si>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</si>
  <si>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</si>
  <si>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</si>
  <si>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</si>
  <si>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</si>
  <si>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</si>
  <si>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</si>
  <si>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</si>
  <si>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</si>
  <si>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</si>
  <si>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</si>
  <si>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</si>
  <si>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</si>
  <si>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</si>
  <si>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</si>
  <si>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</si>
  <si>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</si>
  <si>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</si>
  <si>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</si>
  <si>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</si>
  <si>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</si>
  <si>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</si>
  <si>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</si>
  <si>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</si>
  <si>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</si>
  <si>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</si>
  <si>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</si>
  <si>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</si>
  <si>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</si>
  <si>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</si>
  <si>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</si>
  <si>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</si>
  <si>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</si>
  <si>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</si>
  <si>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</si>
  <si>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</si>
  <si>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</si>
  <si>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</si>
  <si>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</si>
  <si>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</si>
  <si>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</si>
  <si>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</si>
  <si>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</si>
  <si>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</si>
  <si>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</si>
  <si>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</si>
  <si>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</si>
  <si>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</si>
  <si>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</si>
  <si>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</si>
  <si>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</si>
  <si>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</si>
  <si>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</si>
  <si>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</si>
  <si>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</si>
  <si>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</si>
  <si>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</si>
  <si>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</si>
  <si>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</si>
  <si>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</si>
  <si>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</si>
  <si>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</si>
  <si>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</si>
  <si>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</si>
  <si>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</si>
  <si>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</si>
  <si>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</si>
  <si>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</si>
  <si>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</si>
  <si>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</si>
  <si>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</si>
  <si>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</si>
  <si>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</si>
  <si>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</si>
  <si>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</si>
  <si>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</si>
  <si>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</si>
  <si>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</si>
  <si>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</si>
  <si>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</si>
  <si>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</si>
  <si>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</si>
  <si>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</si>
  <si>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</si>
  <si>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</si>
  <si>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</si>
  <si>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</si>
  <si>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</si>
  <si>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</si>
  <si>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</si>
  <si>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</si>
  <si>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</si>
  <si>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</si>
  <si>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</si>
  <si>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</si>
  <si>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</si>
  <si>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</si>
  <si>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</si>
  <si>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</si>
  <si>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</si>
  <si>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</si>
  <si>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</si>
  <si>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</si>
  <si>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</si>
  <si>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</si>
  <si>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</si>
  <si>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</si>
  <si>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</si>
  <si>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</si>
  <si>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</si>
  <si>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</si>
  <si>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</si>
  <si>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</si>
  <si>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</si>
  <si>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</si>
  <si>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</si>
  <si>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</si>
  <si>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</si>
  <si>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</si>
  <si>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</si>
  <si>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</si>
  <si>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</si>
  <si>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</si>
  <si>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</si>
  <si>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</si>
  <si>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</si>
  <si>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</si>
  <si>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</si>
  <si>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</si>
  <si>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</si>
  <si>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</si>
  <si>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</si>
  <si>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</si>
  <si>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</si>
  <si>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</si>
  <si>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</si>
  <si>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</si>
  <si>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</si>
  <si>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</si>
  <si>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</si>
  <si>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</si>
  <si>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</si>
  <si>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</si>
  <si>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</si>
  <si>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</si>
  <si>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</si>
  <si>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</si>
  <si>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</si>
  <si>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</si>
  <si>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</si>
  <si>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</si>
  <si>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</si>
  <si>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</si>
  <si>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</si>
  <si>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</si>
  <si>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</si>
  <si>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</si>
  <si>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</si>
  <si>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</si>
  <si>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</si>
  <si>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</si>
  <si>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</si>
  <si>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</si>
  <si>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</si>
  <si>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</si>
  <si>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</si>
  <si>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</si>
  <si>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</si>
  <si>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</si>
  <si>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</si>
  <si>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</si>
  <si>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</si>
  <si>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</si>
  <si>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</si>
  <si>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</si>
  <si>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</si>
  <si>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</si>
  <si>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</si>
  <si>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</si>
  <si>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</si>
  <si>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</si>
  <si>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</si>
  <si>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</si>
  <si>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</si>
  <si>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</si>
  <si>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</si>
  <si>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</si>
  <si>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</si>
  <si>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</si>
  <si>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</si>
  <si>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</si>
  <si>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</si>
  <si>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</si>
  <si>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</si>
  <si>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</si>
  <si>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</si>
  <si>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</si>
  <si>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</si>
  <si>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</si>
  <si>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</si>
  <si>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</si>
  <si>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</si>
  <si>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</si>
  <si>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</si>
  <si>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</si>
  <si>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</si>
  <si>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</si>
  <si>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</si>
  <si>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</si>
  <si>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</si>
  <si>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</si>
  <si>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</si>
  <si>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</si>
  <si>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</si>
  <si>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</si>
  <si>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</si>
  <si>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</si>
  <si>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</si>
  <si>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</si>
  <si>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</si>
  <si>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</si>
  <si>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</si>
  <si>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</si>
  <si>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</si>
  <si>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</si>
  <si>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</si>
  <si>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</si>
  <si>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</si>
  <si>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</si>
  <si>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</si>
  <si>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</si>
  <si>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</si>
  <si>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</si>
  <si>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</si>
  <si>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</si>
  <si>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</si>
  <si>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</si>
  <si>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</si>
  <si>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</si>
  <si>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</si>
  <si>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</si>
  <si>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</si>
  <si>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</si>
  <si>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</si>
  <si>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</si>
  <si>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</si>
  <si>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</si>
  <si>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</si>
  <si>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</si>
  <si>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</si>
  <si>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</si>
  <si>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</si>
  <si>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</si>
  <si>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</si>
  <si>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</si>
  <si>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</si>
  <si>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</si>
  <si>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</si>
  <si>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</si>
  <si>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</si>
  <si>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</si>
  <si>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</si>
  <si>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</si>
  <si>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</si>
  <si>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</si>
  <si>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</si>
  <si>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</si>
  <si>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</si>
  <si>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</si>
  <si>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</si>
  <si>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</si>
  <si>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</si>
  <si>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</si>
  <si>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</si>
  <si>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</si>
  <si>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</si>
  <si>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</si>
  <si>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</si>
  <si>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</si>
  <si>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</si>
  <si>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</si>
  <si>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</si>
  <si>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</si>
  <si>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</si>
  <si>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</si>
  <si>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</si>
  <si>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</si>
  <si>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</si>
  <si>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</si>
  <si>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</si>
  <si>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</si>
  <si>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</si>
  <si>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</si>
  <si>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</si>
  <si>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</si>
  <si>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</si>
  <si>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</si>
  <si>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</si>
  <si>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</si>
  <si>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</si>
  <si>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</si>
  <si>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</si>
  <si>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</si>
  <si>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</si>
  <si>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</si>
  <si>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</si>
  <si>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</si>
  <si>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</si>
  <si>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</si>
  <si>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</si>
  <si>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</si>
  <si>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</si>
  <si>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</si>
  <si>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</si>
  <si>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</si>
  <si>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</si>
  <si>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</si>
  <si>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</si>
  <si>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</si>
  <si>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</si>
  <si>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</si>
  <si>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</si>
  <si>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</si>
  <si>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</si>
  <si>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</si>
  <si>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</si>
  <si>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</si>
  <si>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</si>
  <si>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</si>
  <si>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</si>
  <si>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</si>
  <si>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</si>
  <si>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</si>
  <si>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</si>
  <si>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</si>
  <si>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</si>
  <si>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</si>
  <si>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</si>
  <si>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</si>
  <si>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</si>
  <si>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</si>
  <si>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</si>
  <si>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</si>
  <si>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</si>
  <si>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</si>
  <si>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</si>
  <si>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</si>
  <si>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</si>
  <si>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</si>
  <si>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</si>
  <si>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</si>
  <si>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</si>
  <si>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</si>
  <si>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</si>
  <si>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</si>
  <si>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</si>
  <si>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</si>
  <si>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</si>
  <si>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</si>
  <si>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</si>
  <si>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</si>
  <si>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</si>
  <si>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</si>
  <si>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</si>
  <si>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</si>
  <si>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</si>
  <si>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</si>
  <si>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</si>
  <si>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</si>
  <si>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</si>
  <si>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</si>
  <si>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</si>
  <si>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</si>
  <si>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</si>
  <si>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</si>
  <si>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</si>
  <si>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</si>
  <si>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</si>
  <si>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</si>
  <si>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</si>
  <si>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</si>
  <si>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</si>
  <si>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</si>
  <si>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</si>
  <si>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</si>
  <si>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</si>
  <si>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</si>
  <si>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</si>
  <si>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</si>
  <si>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</si>
  <si>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</si>
  <si>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</si>
  <si>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</si>
  <si>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</si>
  <si>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</si>
  <si>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</si>
  <si>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</si>
  <si>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</si>
  <si>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</si>
  <si>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</si>
  <si>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</si>
  <si>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</si>
  <si>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</si>
  <si>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</si>
  <si>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</si>
  <si>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</si>
  <si>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</si>
  <si>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</si>
  <si>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</si>
  <si>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</si>
  <si>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</si>
  <si>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</si>
  <si>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</si>
  <si>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</si>
  <si>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</si>
  <si>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</si>
  <si>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</si>
  <si>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</si>
  <si>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</si>
  <si>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</si>
  <si>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</si>
  <si>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</si>
  <si>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</si>
  <si>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</si>
  <si>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</si>
  <si>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</si>
  <si>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</si>
  <si>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</si>
  <si>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</si>
  <si>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</si>
  <si>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</si>
  <si>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</si>
  <si>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</si>
  <si>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</si>
  <si>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</si>
  <si>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</si>
  <si>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</si>
  <si>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</si>
  <si>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</si>
  <si>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</si>
  <si>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</si>
  <si>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</si>
  <si>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</si>
  <si>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</si>
  <si>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</si>
  <si>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</si>
  <si>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</si>
  <si>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</si>
  <si>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</si>
  <si>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</si>
  <si>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</si>
  <si>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</si>
  <si>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</si>
  <si>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</si>
  <si>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</si>
  <si>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</si>
  <si>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</si>
  <si>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</si>
  <si>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</si>
  <si>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</si>
  <si>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</si>
  <si>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</si>
  <si>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</si>
  <si>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</si>
  <si>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</si>
  <si>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</si>
  <si>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</si>
  <si>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</si>
  <si>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</si>
  <si>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</si>
  <si>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</si>
  <si>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</si>
  <si>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</si>
  <si>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</si>
  <si>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</si>
  <si>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</si>
  <si>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</si>
  <si>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</si>
  <si>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</si>
  <si>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</si>
  <si>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</si>
  <si>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</si>
  <si>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</si>
  <si>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</si>
  <si>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</si>
  <si>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</si>
  <si>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</si>
  <si>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</si>
  <si>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</si>
  <si>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</si>
  <si>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</si>
  <si>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</si>
  <si>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</si>
  <si>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</si>
  <si>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</si>
  <si>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</si>
  <si>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</si>
  <si>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</si>
  <si>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</si>
  <si>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</si>
  <si>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</si>
  <si>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</si>
  <si>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</si>
  <si>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</si>
  <si>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</si>
  <si>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</si>
  <si>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</si>
  <si>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</si>
  <si>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</si>
  <si>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</si>
  <si>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</si>
  <si>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</si>
  <si>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</si>
  <si>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</si>
  <si>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</si>
  <si>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</si>
  <si>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</si>
  <si>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</si>
  <si>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</si>
  <si>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</si>
  <si>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</si>
  <si>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</si>
  <si>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</si>
  <si>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</si>
  <si>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</si>
  <si>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</si>
  <si>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</si>
  <si>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</si>
  <si>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</si>
  <si>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</si>
  <si>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</si>
  <si>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</si>
  <si>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</si>
  <si>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</si>
  <si>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</si>
  <si>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</si>
  <si>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</si>
  <si>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</si>
  <si>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</si>
  <si>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</si>
  <si>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</si>
  <si>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</si>
  <si>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</si>
  <si>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</si>
  <si>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</si>
  <si>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</si>
  <si>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</si>
  <si>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</si>
  <si>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</si>
  <si>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</si>
  <si>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</si>
  <si>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</si>
  <si>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</si>
  <si>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</si>
  <si>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</si>
  <si>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</si>
  <si>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</si>
  <si>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</si>
  <si>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</si>
  <si>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</si>
  <si>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</si>
  <si>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</si>
  <si>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</si>
  <si>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</si>
  <si>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</si>
  <si>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</si>
  <si>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</si>
  <si>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</si>
  <si>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</si>
  <si>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</si>
  <si>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</si>
  <si>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</si>
  <si>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</si>
  <si>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</si>
  <si>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</si>
  <si>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</si>
  <si>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</si>
  <si>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</si>
  <si>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</si>
  <si>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</si>
  <si>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</si>
  <si>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</si>
  <si>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</si>
  <si>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</si>
  <si>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</si>
  <si>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</si>
  <si>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</si>
  <si>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</si>
  <si>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</si>
  <si>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</si>
  <si>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</si>
  <si>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</si>
  <si>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</si>
  <si>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</si>
  <si>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</si>
  <si>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</si>
  <si>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</si>
  <si>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</si>
  <si>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</si>
  <si>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</si>
  <si>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</si>
  <si>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</si>
  <si>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</si>
  <si>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</si>
  <si>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</si>
  <si>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</si>
  <si>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</si>
  <si>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</si>
  <si>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</si>
  <si>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</si>
  <si>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</si>
  <si>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</si>
  <si>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</si>
  <si>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</si>
  <si>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</si>
  <si>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</si>
  <si>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</si>
  <si>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</si>
  <si>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</si>
  <si>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</si>
  <si>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</si>
  <si>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</si>
  <si>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</si>
  <si>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</si>
  <si>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</si>
  <si>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</si>
  <si>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</si>
  <si>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</si>
  <si>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</si>
  <si>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</si>
  <si>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</si>
  <si>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</si>
  <si>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</si>
  <si>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</si>
  <si>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</si>
  <si>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</si>
  <si>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</si>
  <si>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</si>
  <si>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</si>
  <si>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</si>
  <si>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</si>
  <si>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</si>
  <si>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</si>
  <si>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</si>
  <si>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</si>
  <si>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</si>
  <si>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</si>
  <si>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</si>
  <si>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</si>
  <si>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</si>
  <si>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</si>
  <si>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</si>
  <si>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</si>
  <si>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</si>
  <si>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</si>
  <si>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</si>
  <si>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</si>
  <si>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</si>
  <si>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</si>
  <si>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</si>
  <si>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</si>
  <si>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</si>
  <si>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</si>
  <si>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</si>
  <si>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</si>
  <si>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</si>
  <si>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</si>
  <si>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</si>
  <si>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</si>
  <si>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</si>
  <si>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</si>
  <si>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</si>
  <si>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</si>
  <si>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</si>
  <si>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</si>
  <si>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</si>
  <si>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</si>
  <si>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</si>
  <si>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</si>
  <si>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</si>
  <si>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</si>
  <si>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</si>
  <si>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</si>
  <si>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</si>
  <si>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</si>
  <si>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</si>
  <si>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</si>
  <si>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</si>
  <si>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</si>
  <si>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</si>
  <si>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</si>
  <si>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</si>
  <si>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</si>
  <si>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</si>
  <si>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</si>
  <si>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</si>
  <si>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</si>
  <si>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</si>
  <si>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</si>
  <si>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</si>
  <si>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</si>
  <si>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</si>
  <si>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</si>
  <si>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</si>
  <si>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</si>
  <si>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</si>
  <si>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</si>
  <si>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</si>
  <si>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</si>
  <si>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</si>
  <si>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</si>
  <si>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</si>
  <si>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</si>
  <si>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</si>
  <si>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</si>
  <si>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</si>
  <si>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</si>
  <si>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</si>
  <si>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</si>
  <si>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</si>
  <si>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</si>
  <si>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</si>
  <si>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</si>
  <si>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</si>
  <si>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</si>
  <si>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</si>
  <si>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</si>
  <si>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</si>
  <si>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</si>
  <si>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</si>
  <si>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</si>
  <si>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</si>
  <si>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</si>
  <si>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</si>
  <si>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</si>
  <si>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</si>
  <si>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</si>
  <si>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</si>
  <si>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</si>
  <si>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</si>
  <si>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</si>
  <si>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</si>
  <si>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</si>
  <si>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</si>
  <si>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</si>
  <si>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</si>
  <si>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</si>
  <si>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</si>
  <si>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</si>
  <si>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</si>
  <si>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</si>
  <si>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</si>
  <si>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</si>
  <si>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</si>
  <si>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</si>
  <si>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</si>
  <si>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</si>
  <si>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</si>
  <si>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</si>
  <si>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</si>
  <si>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</si>
  <si>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</si>
  <si>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</si>
  <si>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</si>
  <si>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</si>
  <si>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</si>
  <si>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</si>
  <si>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</si>
  <si>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</si>
  <si>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</si>
  <si>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</si>
  <si>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</si>
  <si>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</si>
  <si>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</si>
  <si>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</si>
  <si>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</si>
  <si>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</si>
  <si>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</si>
  <si>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</si>
  <si>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</si>
  <si>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</si>
  <si>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</si>
  <si>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</si>
  <si>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</si>
  <si>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</si>
  <si>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</si>
  <si>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</si>
  <si>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</si>
  <si>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</si>
  <si>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</si>
  <si>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</si>
  <si>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</si>
  <si>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</si>
  <si>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</si>
  <si>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</si>
  <si>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</si>
  <si>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</si>
  <si>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</si>
  <si>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</si>
  <si>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</si>
  <si>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</si>
  <si>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</si>
  <si>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</si>
  <si>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</si>
  <si>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</si>
  <si>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</si>
  <si>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</si>
  <si>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</si>
  <si>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</si>
  <si>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</si>
  <si>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</si>
  <si>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</si>
  <si>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</si>
  <si>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</si>
  <si>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</si>
  <si>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</si>
  <si>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</si>
  <si>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</si>
  <si>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</si>
  <si>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</si>
  <si>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</si>
  <si>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</si>
  <si>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</si>
  <si>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</si>
  <si>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</si>
  <si>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</si>
  <si>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</si>
  <si>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</si>
  <si>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</si>
  <si>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</si>
  <si>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</si>
  <si>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</si>
  <si>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</si>
  <si>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</si>
  <si>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</si>
  <si>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</si>
  <si>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</si>
  <si>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</si>
  <si>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</si>
  <si>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</si>
  <si>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</si>
  <si>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</si>
  <si>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</si>
  <si>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</si>
  <si>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</si>
  <si>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</si>
  <si>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</si>
  <si>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</si>
  <si>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</si>
  <si>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</si>
  <si>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</si>
  <si>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</si>
  <si>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</si>
  <si>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</si>
  <si>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</si>
  <si>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</si>
  <si>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</si>
  <si>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</si>
  <si>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</si>
  <si>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</si>
  <si>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</si>
  <si>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</si>
  <si>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</si>
  <si>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</si>
  <si>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</si>
  <si>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</si>
  <si>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</si>
  <si>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</si>
  <si>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</si>
  <si>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</si>
  <si>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</si>
  <si>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</si>
  <si>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</si>
  <si>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</si>
  <si>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</si>
  <si>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</si>
  <si>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</si>
  <si>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</si>
  <si>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</si>
  <si>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</si>
  <si>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</si>
  <si>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</si>
  <si>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</si>
  <si>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</si>
  <si>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</si>
  <si>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</si>
  <si>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</si>
  <si>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</si>
  <si>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</si>
  <si>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</si>
  <si>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</si>
  <si>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</si>
  <si>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</si>
  <si>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</si>
  <si>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</si>
  <si>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</si>
  <si>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</si>
  <si>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</si>
  <si>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</si>
  <si>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</si>
  <si>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</si>
  <si>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</si>
  <si>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</si>
  <si>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</si>
  <si>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</si>
  <si>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</si>
  <si>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</si>
  <si>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</si>
  <si>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</si>
  <si>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</si>
  <si>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</si>
  <si>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</si>
  <si>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</si>
  <si>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</si>
  <si>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</si>
  <si>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</si>
  <si>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</si>
  <si>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</si>
  <si>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</si>
  <si>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</si>
  <si>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</si>
  <si>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</si>
  <si>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</si>
  <si>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</si>
  <si>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</si>
  <si>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</si>
  <si>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</si>
  <si>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</si>
  <si>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</si>
  <si>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</si>
  <si>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</si>
  <si>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</si>
  <si>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</si>
  <si>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</si>
  <si>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</si>
  <si>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</si>
  <si>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</si>
  <si>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</si>
  <si>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</si>
  <si>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</si>
  <si>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</si>
  <si>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</si>
  <si>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</si>
  <si>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</si>
  <si>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</si>
  <si>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</si>
  <si>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</si>
  <si>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</si>
  <si>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</si>
  <si>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</si>
  <si>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</si>
  <si>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</si>
  <si>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</si>
  <si>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</si>
  <si>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</si>
  <si>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</si>
  <si>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</si>
  <si>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</si>
  <si>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</si>
  <si>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</si>
  <si>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</si>
  <si>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</si>
  <si>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</si>
  <si>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</si>
  <si>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</si>
  <si>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</si>
  <si>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</si>
  <si>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</si>
  <si>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</si>
  <si>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</si>
  <si>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</si>
  <si>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</si>
  <si>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</si>
  <si>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</si>
  <si>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</si>
  <si>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</si>
  <si>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</si>
  <si>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</si>
  <si>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</si>
  <si>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</si>
  <si>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</si>
  <si>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</si>
  <si>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</si>
  <si>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</si>
  <si>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</si>
  <si>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</si>
  <si>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</si>
  <si>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</si>
  <si>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</si>
  <si>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</si>
  <si>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</si>
  <si>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</si>
  <si>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</si>
  <si>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</si>
  <si>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</si>
  <si>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</si>
  <si>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</si>
  <si>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</si>
  <si>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</si>
  <si>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</si>
  <si>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</si>
  <si>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</si>
  <si>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</si>
  <si>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</si>
  <si>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</si>
  <si>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</si>
  <si>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</si>
  <si>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</si>
  <si>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</si>
  <si>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</si>
  <si>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</si>
  <si>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</si>
  <si>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</si>
  <si>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</si>
  <si>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</si>
  <si>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</si>
  <si>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</si>
  <si>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</si>
  <si>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</si>
  <si>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</si>
  <si>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</si>
  <si>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</si>
  <si>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</si>
  <si>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</si>
  <si>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</si>
  <si>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</si>
  <si>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</si>
  <si>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</si>
  <si>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</si>
  <si>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</si>
  <si>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</si>
  <si>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</si>
  <si>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</si>
  <si>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</si>
  <si>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</si>
  <si>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</si>
  <si>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</si>
  <si>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</si>
  <si>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</si>
  <si>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</si>
  <si>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</si>
  <si>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</si>
  <si>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</si>
  <si>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</si>
  <si>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</si>
  <si>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</si>
  <si>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</si>
  <si>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</si>
  <si>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</si>
  <si>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</si>
  <si>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</si>
  <si>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</si>
  <si>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</si>
  <si>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</si>
  <si>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</si>
  <si>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</si>
  <si>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</si>
  <si>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</si>
  <si>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</si>
  <si>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</si>
  <si>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</si>
  <si>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</si>
  <si>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</si>
  <si>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</si>
  <si>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</si>
  <si>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</si>
  <si>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</si>
  <si>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</si>
  <si>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</si>
  <si>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</si>
  <si>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</si>
  <si>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</si>
  <si>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</si>
  <si>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</si>
  <si>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</si>
  <si>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</si>
  <si>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</si>
  <si>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</si>
  <si>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</si>
  <si>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</si>
  <si>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</si>
  <si>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</si>
  <si>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</si>
  <si>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</si>
  <si>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</si>
  <si>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</si>
  <si>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</si>
  <si>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</si>
  <si>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</si>
  <si>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</si>
  <si>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</si>
  <si>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</si>
  <si>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</si>
  <si>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</si>
  <si>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</si>
  <si>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</si>
  <si>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</si>
  <si>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</si>
  <si>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</si>
  <si>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</si>
  <si>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</si>
  <si>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</si>
  <si>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</si>
  <si>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</si>
  <si>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</si>
  <si>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</si>
  <si>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</si>
  <si>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</si>
  <si>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</si>
  <si>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</si>
  <si>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</si>
  <si>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</si>
  <si>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</si>
  <si>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</si>
  <si>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</si>
  <si>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</si>
  <si>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</si>
  <si>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</si>
  <si>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</si>
  <si>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</si>
  <si>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</si>
  <si>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</si>
  <si>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</si>
  <si>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</si>
  <si>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</si>
  <si>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</si>
  <si>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</si>
  <si>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</si>
  <si>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</si>
  <si>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</si>
  <si>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</si>
  <si>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</si>
  <si>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</si>
  <si>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</si>
  <si>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</si>
  <si>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</si>
  <si>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</si>
  <si>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</si>
  <si>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</si>
  <si>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</si>
  <si>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</si>
  <si>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</si>
  <si>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</si>
  <si>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</si>
  <si>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</si>
  <si>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</si>
  <si>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</si>
  <si>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</si>
  <si>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</si>
  <si>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</si>
  <si>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</si>
  <si>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</si>
  <si>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</si>
  <si>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</si>
  <si>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</si>
  <si>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</si>
  <si>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</si>
  <si>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</si>
  <si>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</si>
  <si>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</si>
  <si>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</si>
  <si>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</si>
  <si>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</si>
  <si>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</si>
  <si>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</si>
  <si>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</si>
  <si>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</si>
  <si>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</si>
  <si>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</si>
  <si>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</si>
  <si>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</si>
  <si>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</si>
  <si>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</si>
  <si>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</si>
  <si>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</si>
  <si>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</si>
  <si>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</si>
  <si>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</si>
  <si>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</si>
  <si>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</si>
  <si>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</si>
  <si>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</si>
  <si>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</si>
  <si>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</si>
  <si>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</si>
  <si>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</si>
  <si>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</si>
  <si>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</si>
  <si>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</si>
  <si>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</si>
  <si>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</si>
  <si>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</si>
  <si>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</si>
  <si>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</si>
  <si>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</si>
  <si>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</si>
  <si>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</si>
  <si>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</si>
  <si>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</si>
  <si>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</si>
  <si>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</si>
  <si>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</si>
  <si>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</si>
  <si>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</si>
  <si>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</si>
  <si>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</si>
  <si>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</si>
  <si>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</si>
  <si>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</si>
  <si>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</si>
  <si>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</si>
  <si>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</si>
  <si>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</si>
  <si>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</si>
  <si>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</si>
  <si>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</si>
  <si>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</si>
  <si>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</si>
  <si>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</si>
  <si>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</si>
  <si>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</si>
  <si>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</si>
  <si>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</si>
  <si>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</si>
  <si>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</si>
  <si>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</si>
  <si>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</si>
  <si>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</si>
  <si>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</si>
  <si>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</si>
  <si>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</si>
  <si>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</si>
  <si>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</si>
  <si>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</si>
  <si>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</si>
  <si>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</si>
  <si>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</si>
  <si>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</si>
  <si>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</si>
  <si>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</si>
  <si>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</si>
  <si>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</si>
  <si>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</si>
  <si>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</si>
  <si>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</si>
  <si>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</si>
  <si>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</si>
  <si>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</si>
  <si>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</si>
  <si>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</si>
  <si>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</si>
  <si>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</si>
  <si>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</si>
  <si>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</si>
  <si>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</si>
  <si>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</si>
  <si>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</si>
  <si>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</si>
  <si>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</si>
  <si>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</si>
  <si>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</si>
  <si>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</si>
  <si>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</si>
  <si>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</si>
  <si>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</si>
  <si>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</si>
  <si>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</si>
  <si>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</si>
  <si>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</si>
  <si>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</si>
  <si>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</si>
  <si>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</si>
  <si>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</si>
  <si>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</si>
  <si>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</si>
  <si>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</si>
  <si>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</si>
  <si>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</si>
  <si>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</si>
  <si>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</si>
  <si>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</si>
  <si>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</si>
  <si>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</si>
  <si>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</si>
  <si>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</si>
  <si>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</si>
  <si>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</si>
  <si>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</si>
  <si>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</si>
  <si>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</si>
  <si>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</si>
  <si>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</si>
  <si>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</si>
  <si>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</si>
  <si>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</si>
  <si>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</si>
  <si>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</si>
  <si>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</si>
  <si>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</si>
  <si>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</si>
  <si>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</si>
  <si>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</si>
  <si>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</si>
  <si>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</si>
  <si>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</si>
  <si>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</si>
  <si>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</si>
  <si>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</si>
  <si>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</si>
  <si>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</si>
  <si>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</si>
  <si>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</si>
  <si>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</si>
  <si>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</si>
  <si>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</si>
  <si>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</si>
  <si>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</si>
  <si>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</si>
  <si>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</si>
  <si>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</si>
  <si>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</si>
  <si>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</si>
  <si>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</si>
  <si>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</si>
  <si>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</si>
  <si>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</si>
  <si>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</si>
  <si>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</si>
  <si>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</si>
  <si>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</si>
  <si>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</si>
  <si>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</si>
  <si>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</si>
  <si>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</si>
  <si>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</si>
  <si>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</si>
  <si>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</si>
  <si>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</si>
  <si>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</si>
  <si>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</si>
  <si>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</si>
  <si>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</si>
  <si>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</si>
  <si>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</si>
  <si>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</si>
  <si>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</si>
  <si>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</si>
  <si>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</si>
  <si>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</si>
  <si>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</si>
  <si>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</si>
  <si>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</si>
  <si>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</si>
  <si>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</si>
  <si>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</si>
  <si>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</si>
  <si>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</si>
  <si>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</si>
  <si>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</si>
  <si>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</si>
  <si>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</si>
  <si>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</si>
  <si>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</si>
  <si>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</si>
  <si>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</si>
  <si>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</si>
  <si>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</si>
  <si>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</si>
  <si>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</si>
  <si>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</si>
  <si>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</si>
  <si>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</si>
  <si>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</si>
  <si>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</si>
  <si>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</si>
  <si>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</si>
  <si>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</si>
  <si>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</si>
  <si>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</si>
  <si>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</si>
  <si>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</si>
  <si>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</si>
  <si>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</si>
  <si>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</si>
  <si>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</si>
  <si>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</si>
  <si>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</si>
  <si>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</si>
  <si>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</si>
  <si>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</si>
  <si>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</si>
  <si>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</si>
  <si>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</si>
  <si>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</si>
  <si>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</si>
  <si>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</si>
  <si>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</si>
  <si>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</si>
  <si>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</si>
  <si>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</si>
  <si>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</si>
  <si>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</si>
  <si>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</si>
  <si>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</si>
  <si>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</si>
  <si>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</si>
  <si>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</si>
  <si>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</si>
  <si>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</si>
  <si>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</si>
  <si>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</si>
  <si>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</si>
  <si>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</si>
  <si>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</si>
  <si>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</si>
  <si>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</si>
  <si>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</si>
  <si>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</si>
  <si>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</si>
  <si>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</si>
  <si>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</si>
  <si>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</si>
  <si>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</si>
  <si>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</si>
  <si>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</si>
  <si>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</si>
  <si>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</si>
  <si>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</si>
  <si>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</si>
  <si>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</si>
  <si>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</si>
  <si>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</si>
  <si>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</si>
  <si>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</si>
  <si>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</si>
  <si>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</si>
  <si>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</si>
  <si>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</si>
  <si>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</si>
  <si>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</si>
  <si>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</si>
  <si>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</si>
  <si>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</si>
  <si>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</si>
  <si>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</si>
  <si>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</si>
  <si>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</si>
  <si>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</si>
  <si>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</si>
  <si>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</si>
  <si>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</si>
  <si>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</si>
  <si>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</si>
  <si>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</si>
  <si>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</si>
  <si>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</si>
  <si>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</si>
  <si>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</si>
  <si>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</si>
  <si>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</si>
  <si>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</si>
  <si>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</si>
  <si>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</si>
  <si>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</si>
  <si>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</si>
  <si>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</si>
  <si>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</si>
  <si>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</si>
  <si>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</si>
  <si>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</si>
  <si>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</si>
  <si>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</si>
  <si>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</si>
  <si>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</si>
  <si>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</si>
  <si>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</si>
  <si>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</si>
  <si>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</si>
  <si>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</si>
  <si>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</si>
  <si>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</si>
  <si>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</si>
  <si>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</si>
  <si>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</si>
  <si>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</si>
  <si>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</si>
  <si>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</si>
  <si>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</si>
  <si>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</si>
  <si>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</si>
  <si>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</si>
  <si>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</si>
  <si>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</si>
  <si>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</si>
  <si>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</si>
  <si>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</si>
  <si>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</si>
  <si>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</si>
  <si>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</si>
  <si>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</si>
  <si>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</si>
  <si>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</si>
  <si>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</si>
  <si>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</si>
  <si>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</si>
  <si>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</si>
  <si>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</si>
  <si>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</si>
  <si>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</si>
  <si>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</si>
  <si>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</si>
  <si>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</si>
  <si>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</si>
  <si>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</si>
  <si>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</si>
  <si>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</si>
  <si>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</si>
  <si>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</si>
  <si>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</si>
  <si>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</si>
  <si>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</si>
  <si>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</si>
  <si>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</si>
  <si>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</si>
  <si>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</si>
  <si>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</si>
  <si>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</si>
  <si>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</si>
  <si>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</si>
  <si>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</si>
  <si>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</si>
  <si>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</si>
  <si>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</si>
  <si>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</si>
  <si>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</si>
  <si>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</si>
  <si>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</si>
  <si>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</si>
  <si>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</si>
  <si>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</si>
  <si>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</si>
  <si>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</si>
  <si>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</si>
  <si>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</si>
  <si>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</si>
  <si>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</si>
  <si>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</si>
  <si>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</si>
  <si>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</si>
  <si>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</si>
  <si>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</si>
  <si>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</si>
  <si>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</si>
  <si>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</si>
  <si>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</si>
  <si>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</si>
  <si>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</si>
  <si>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</si>
  <si>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</si>
  <si>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</si>
  <si>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</si>
  <si>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</si>
  <si>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</si>
  <si>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</si>
  <si>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</si>
  <si>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</si>
  <si>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</si>
  <si>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</si>
  <si>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</si>
  <si>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</si>
  <si>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</si>
  <si>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</si>
  <si>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</si>
  <si>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</si>
  <si>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</si>
  <si>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</si>
  <si>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</si>
  <si>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</si>
  <si>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</si>
  <si>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</si>
  <si>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</si>
  <si>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</si>
  <si>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</si>
  <si>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</si>
  <si>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</si>
  <si>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</si>
  <si>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</si>
  <si>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</si>
  <si>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</si>
  <si>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</si>
  <si>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</si>
  <si>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</si>
  <si>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</si>
  <si>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</si>
  <si>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</si>
  <si>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</si>
  <si>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</si>
  <si>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</si>
  <si>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</si>
  <si>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</si>
  <si>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</si>
  <si>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</si>
  <si>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</si>
  <si>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</si>
  <si>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</si>
  <si>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</si>
  <si>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</si>
  <si>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</si>
  <si>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</si>
  <si>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</si>
  <si>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</si>
  <si>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</si>
  <si>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</si>
  <si>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</si>
  <si>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</si>
  <si>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</si>
  <si>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</si>
  <si>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</si>
  <si>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</si>
  <si>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</si>
  <si>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</si>
  <si>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</si>
  <si>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</si>
  <si>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</si>
  <si>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</si>
  <si>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</si>
  <si>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</si>
  <si>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</si>
  <si>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</si>
  <si>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</si>
  <si>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</si>
  <si>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</si>
  <si>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</si>
  <si>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</si>
  <si>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</si>
  <si>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</si>
  <si>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</si>
  <si>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</si>
  <si>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</si>
  <si>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</si>
  <si>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</si>
  <si>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</si>
  <si>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</si>
  <si>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</si>
  <si>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</si>
  <si>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</si>
  <si>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</si>
  <si>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</si>
  <si>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</si>
  <si>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</si>
  <si>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</si>
  <si>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</si>
  <si>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</si>
  <si>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</si>
  <si>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</si>
  <si>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</si>
  <si>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</si>
  <si>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</si>
  <si>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</si>
  <si>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</si>
  <si>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</si>
  <si>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</si>
  <si>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</si>
  <si>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</si>
  <si>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</si>
  <si>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</si>
  <si>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</si>
  <si>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</si>
  <si>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</si>
  <si>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</si>
  <si>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</si>
  <si>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</si>
  <si>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</si>
  <si>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</si>
  <si>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</si>
  <si>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</si>
  <si>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</si>
  <si>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</si>
  <si>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</si>
  <si>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</si>
  <si>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</si>
  <si>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</si>
  <si>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</si>
  <si>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</si>
  <si>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퀵버스(동대구-노포)</t>
  </si>
  <si>
    <t>온라인 등록 비용</t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</si>
  <si>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</si>
  <si>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</si>
  <si>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</si>
  <si>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</si>
  <si>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</si>
  <si>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</si>
  <si>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</si>
  <si>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</si>
  <si>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</si>
  <si>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</si>
  <si>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</si>
  <si>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</si>
  <si>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</si>
  <si>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</si>
  <si>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</si>
  <si>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</si>
  <si>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</si>
  <si>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</si>
  <si>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</si>
  <si>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</si>
  <si>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</si>
  <si>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</si>
  <si>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</si>
  <si>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</si>
  <si>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</si>
  <si>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</si>
  <si>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</si>
  <si>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</si>
  <si>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</si>
  <si>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</si>
  <si>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check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</si>
  <si>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</si>
  <si>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</si>
  <si>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</si>
  <si>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</si>
  <si>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</si>
  <si>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</si>
  <si>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</si>
  <si>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</si>
  <si>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</si>
  <si>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</si>
  <si>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2025-08-16</t>
  </si>
  <si>
    <t>0B5_DISC</t>
    <phoneticPr fontId="2" type="noConversion"/>
  </si>
  <si>
    <t>조이오토(대구)_250816_115907.xlsx</t>
  </si>
  <si>
    <t>조이오토(대구)_250816_115907.xlsx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</si>
</sst>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2840000</c:v>
                </c:pt>
                <c:pt idx="2">
                  <c:v>8369000</c:v>
                </c:pt>
                <c:pt idx="3">
                  <c:v>1899000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660000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8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7</c:v>
                      </c:pt>
                      <c:pt idx="4">
                        <c:v>37</c:v>
                      </c:pt>
                      <c:pt idx="5">
                        <c:v>23</c:v>
                      </c:pt>
                      <c:pt idx="6">
                        <c:v>24</c:v>
                      </c:pt>
                      <c:pt idx="7">
                        <c:v>32</c:v>
                      </c:pt>
                      <c:pt idx="8">
                        <c:v>37</c:v>
                      </c:pt>
                      <c:pt idx="9">
                        <c:v>37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0"/>
      <c r="B1" s="321"/>
      <c r="C1" s="321"/>
      <c r="D1" s="321"/>
      <c r="E1" s="321"/>
      <c r="F1" s="321"/>
      <c r="G1" s="321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2" t="s">
        <v>1226</v>
      </c>
      <c r="R1" s="322"/>
      <c r="S1" s="430"/>
      <c r="T1" s="430"/>
      <c r="U1" s="431"/>
    </row>
    <row r="2" spans="1:21" x14ac:dyDescent="0.3">
      <c r="A2" s="300" t="s">
        <v>70</v>
      </c>
      <c r="B2" s="301"/>
      <c r="C2" s="302" t="s">
        <v>2271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45885</v>
      </c>
      <c r="U2" s="308"/>
    </row>
    <row r="3" spans="1:21" ht="24.95" customHeight="1" x14ac:dyDescent="0.3">
      <c r="A3" s="375" t="s">
        <v>1194</v>
      </c>
      <c r="B3" s="37" t="s">
        <v>64</v>
      </c>
      <c r="C3" s="378" t="s">
        <v>1367</v>
      </c>
      <c r="D3" s="379"/>
      <c r="E3" s="379"/>
      <c r="F3" s="379"/>
      <c r="G3" s="379"/>
      <c r="H3" s="379"/>
      <c r="I3" s="379"/>
      <c r="J3" s="380"/>
      <c r="K3" s="381" t="s">
        <v>1195</v>
      </c>
      <c r="L3" s="37" t="s">
        <v>64</v>
      </c>
      <c r="M3" s="384" t="s">
        <v>970</v>
      </c>
      <c r="N3" s="385"/>
      <c r="O3" s="385"/>
      <c r="P3" s="385"/>
      <c r="Q3" s="385"/>
      <c r="R3" s="385"/>
      <c r="S3" s="385"/>
      <c r="T3" s="385"/>
      <c r="U3" s="386"/>
    </row>
    <row r="4" spans="1:21" ht="24.95" customHeight="1" x14ac:dyDescent="0.3">
      <c r="A4" s="376"/>
      <c r="B4" s="37" t="s">
        <v>66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66</v>
      </c>
      <c r="M4" s="390" t="s">
        <v>968</v>
      </c>
      <c r="N4" s="391"/>
      <c r="O4" s="391"/>
      <c r="P4" s="391"/>
      <c r="Q4" s="391"/>
      <c r="R4" s="392"/>
      <c r="S4" s="38" t="s">
        <v>67</v>
      </c>
      <c r="T4" s="390" t="s">
        <v>78</v>
      </c>
      <c r="U4" s="393"/>
    </row>
    <row r="5" spans="1:21" ht="24.95" customHeight="1" x14ac:dyDescent="0.3">
      <c r="A5" s="376"/>
      <c r="B5" s="38" t="s">
        <v>10</v>
      </c>
      <c r="C5" s="390" t="s">
        <v>61</v>
      </c>
      <c r="D5" s="391"/>
      <c r="E5" s="391"/>
      <c r="F5" s="391"/>
      <c r="G5" s="391"/>
      <c r="H5" s="391"/>
      <c r="I5" s="391"/>
      <c r="J5" s="392"/>
      <c r="K5" s="382"/>
      <c r="L5" s="38" t="s">
        <v>10</v>
      </c>
      <c r="M5" s="390" t="s">
        <v>79</v>
      </c>
      <c r="N5" s="391"/>
      <c r="O5" s="391"/>
      <c r="P5" s="391"/>
      <c r="Q5" s="391"/>
      <c r="R5" s="391"/>
      <c r="S5" s="391"/>
      <c r="T5" s="391"/>
      <c r="U5" s="393"/>
    </row>
    <row r="6" spans="1:21" ht="24.95" customHeight="1" x14ac:dyDescent="0.3">
      <c r="A6" s="377"/>
      <c r="B6" s="38" t="s">
        <v>80</v>
      </c>
      <c r="C6" s="390" t="s">
        <v>60</v>
      </c>
      <c r="D6" s="391"/>
      <c r="E6" s="391"/>
      <c r="F6" s="391"/>
      <c r="G6" s="391"/>
      <c r="H6" s="391"/>
      <c r="I6" s="391"/>
      <c r="J6" s="392"/>
      <c r="K6" s="383"/>
      <c r="L6" s="38" t="s">
        <v>80</v>
      </c>
      <c r="M6" s="390" t="s">
        <v>71</v>
      </c>
      <c r="N6" s="391"/>
      <c r="O6" s="391"/>
      <c r="P6" s="391"/>
      <c r="Q6" s="391"/>
      <c r="R6" s="392"/>
      <c r="S6" s="38" t="s">
        <v>26</v>
      </c>
      <c r="T6" s="390" t="s">
        <v>29</v>
      </c>
      <c r="U6" s="393"/>
    </row>
    <row r="7" spans="1:21" ht="15.75" customHeight="1" x14ac:dyDescent="0.3">
      <c r="A7" s="309" t="s">
        <v>75</v>
      </c>
      <c r="B7" s="310"/>
      <c r="C7" s="310"/>
      <c r="D7" s="310"/>
      <c r="E7" s="372"/>
      <c r="F7" s="373" t="s">
        <v>48</v>
      </c>
      <c r="G7" s="310"/>
      <c r="H7" s="310"/>
      <c r="I7" s="372"/>
      <c r="J7" s="373" t="s">
        <v>46</v>
      </c>
      <c r="K7" s="310"/>
      <c r="L7" s="310"/>
      <c r="M7" s="310"/>
      <c r="N7" s="372"/>
      <c r="O7" s="310" t="s">
        <v>54</v>
      </c>
      <c r="P7" s="372"/>
      <c r="Q7" s="373" t="s">
        <v>74</v>
      </c>
      <c r="R7" s="310"/>
      <c r="S7" s="372"/>
      <c r="T7" s="373" t="s">
        <v>73</v>
      </c>
      <c r="U7" s="374"/>
    </row>
    <row r="8" spans="1:21" ht="15.6" customHeight="1" x14ac:dyDescent="0.3">
      <c r="A8" s="416" t="s">
        <v>2264</v>
      </c>
      <c r="B8" s="417"/>
      <c r="C8" s="417"/>
      <c r="D8" s="417"/>
      <c r="E8" s="418"/>
      <c r="F8" s="419" t="s">
        <v>1236</v>
      </c>
      <c r="G8" s="417"/>
      <c r="H8" s="417"/>
      <c r="I8" s="418"/>
      <c r="J8" s="425">
        <v>510000</v>
      </c>
      <c r="K8" s="425"/>
      <c r="L8" s="425"/>
      <c r="M8" s="425"/>
      <c r="N8" s="425"/>
      <c r="O8" s="426">
        <v>5</v>
      </c>
      <c r="P8" s="426"/>
      <c r="Q8" s="420"/>
      <c r="R8" s="421"/>
      <c r="S8" s="422"/>
      <c r="T8" s="423">
        <v>2550000</v>
      </c>
      <c r="U8" s="424"/>
    </row>
    <row r="9" spans="1:21" ht="15.6" customHeight="1" x14ac:dyDescent="0.3">
      <c r="A9" s="405" t="s">
        <v>3385</v>
      </c>
      <c r="B9" s="406"/>
      <c r="C9" s="406"/>
      <c r="D9" s="406"/>
      <c r="E9" s="407"/>
      <c r="F9" s="408" t="s">
        <v>1711</v>
      </c>
      <c r="G9" s="406"/>
      <c r="H9" s="406"/>
      <c r="I9" s="407"/>
      <c r="J9" s="414">
        <v>130000</v>
      </c>
      <c r="K9" s="414"/>
      <c r="L9" s="414"/>
      <c r="M9" s="414"/>
      <c r="N9" s="414"/>
      <c r="O9" s="415">
        <v>2</v>
      </c>
      <c r="P9" s="415"/>
      <c r="Q9" s="409"/>
      <c r="R9" s="410"/>
      <c r="S9" s="411"/>
      <c r="T9" s="412">
        <v>260000</v>
      </c>
      <c r="U9" s="413"/>
    </row>
    <row r="10" spans="1:21" ht="15.6" customHeight="1" x14ac:dyDescent="0.3">
      <c r="A10" s="405"/>
      <c r="B10" s="406"/>
      <c r="C10" s="406"/>
      <c r="D10" s="406"/>
      <c r="E10" s="407"/>
      <c r="F10" s="408"/>
      <c r="G10" s="406"/>
      <c r="H10" s="406"/>
      <c r="I10" s="407"/>
      <c r="J10" s="414"/>
      <c r="K10" s="414"/>
      <c r="L10" s="414"/>
      <c r="M10" s="414"/>
      <c r="N10" s="414"/>
      <c r="O10" s="415"/>
      <c r="P10" s="415"/>
      <c r="Q10" s="409"/>
      <c r="R10" s="410"/>
      <c r="S10" s="411"/>
      <c r="T10" s="412"/>
      <c r="U10" s="413"/>
    </row>
    <row r="11" spans="1:21" ht="15.6" customHeight="1" x14ac:dyDescent="0.3">
      <c r="A11" s="405"/>
      <c r="B11" s="406"/>
      <c r="C11" s="406"/>
      <c r="D11" s="406"/>
      <c r="E11" s="407"/>
      <c r="F11" s="408"/>
      <c r="G11" s="406"/>
      <c r="H11" s="406"/>
      <c r="I11" s="407"/>
      <c r="J11" s="414"/>
      <c r="K11" s="414"/>
      <c r="L11" s="414"/>
      <c r="M11" s="414"/>
      <c r="N11" s="414"/>
      <c r="O11" s="415"/>
      <c r="P11" s="415"/>
      <c r="Q11" s="409"/>
      <c r="R11" s="410"/>
      <c r="S11" s="411"/>
      <c r="T11" s="412"/>
      <c r="U11" s="413"/>
    </row>
    <row r="12" spans="1:21" ht="15.6" customHeight="1" x14ac:dyDescent="0.3">
      <c r="A12" s="405"/>
      <c r="B12" s="406"/>
      <c r="C12" s="406"/>
      <c r="D12" s="406"/>
      <c r="E12" s="407"/>
      <c r="F12" s="408"/>
      <c r="G12" s="406"/>
      <c r="H12" s="406"/>
      <c r="I12" s="407"/>
      <c r="J12" s="414"/>
      <c r="K12" s="414"/>
      <c r="L12" s="414"/>
      <c r="M12" s="414"/>
      <c r="N12" s="414"/>
      <c r="O12" s="415"/>
      <c r="P12" s="415"/>
      <c r="Q12" s="409"/>
      <c r="R12" s="410"/>
      <c r="S12" s="411"/>
      <c r="T12" s="412"/>
      <c r="U12" s="413"/>
    </row>
    <row r="13" spans="1:21" ht="15.6" customHeight="1" x14ac:dyDescent="0.3">
      <c r="A13" s="405"/>
      <c r="B13" s="406"/>
      <c r="C13" s="406"/>
      <c r="D13" s="406"/>
      <c r="E13" s="407"/>
      <c r="F13" s="408"/>
      <c r="G13" s="406"/>
      <c r="H13" s="406"/>
      <c r="I13" s="407"/>
      <c r="J13" s="414"/>
      <c r="K13" s="414"/>
      <c r="L13" s="414"/>
      <c r="M13" s="414"/>
      <c r="N13" s="414"/>
      <c r="O13" s="415"/>
      <c r="P13" s="415"/>
      <c r="Q13" s="409"/>
      <c r="R13" s="410"/>
      <c r="S13" s="411"/>
      <c r="T13" s="412"/>
      <c r="U13" s="413"/>
    </row>
    <row r="14" spans="1:21" ht="15.6" customHeight="1" x14ac:dyDescent="0.3">
      <c r="A14" s="405"/>
      <c r="B14" s="406"/>
      <c r="C14" s="406"/>
      <c r="D14" s="406"/>
      <c r="E14" s="407"/>
      <c r="F14" s="408"/>
      <c r="G14" s="406"/>
      <c r="H14" s="406"/>
      <c r="I14" s="407"/>
      <c r="J14" s="414"/>
      <c r="K14" s="414"/>
      <c r="L14" s="414"/>
      <c r="M14" s="414"/>
      <c r="N14" s="414"/>
      <c r="O14" s="415"/>
      <c r="P14" s="415"/>
      <c r="Q14" s="409"/>
      <c r="R14" s="410"/>
      <c r="S14" s="411"/>
      <c r="T14" s="412"/>
      <c r="U14" s="413"/>
    </row>
    <row r="15" spans="1:21" ht="15.6" customHeight="1" thickBot="1" x14ac:dyDescent="0.35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 x14ac:dyDescent="0.3">
      <c r="A16" s="325" t="s">
        <v>2367</v>
      </c>
      <c r="B16" s="326"/>
      <c r="C16" s="326"/>
      <c r="D16" s="326"/>
      <c r="E16" s="327"/>
      <c r="F16" s="334"/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35"/>
      <c r="T16" s="335"/>
      <c r="U16" s="336"/>
    </row>
    <row r="17" spans="1:21" ht="15" customHeight="1" x14ac:dyDescent="0.3">
      <c r="A17" s="328"/>
      <c r="B17" s="329"/>
      <c r="C17" s="329"/>
      <c r="D17" s="329"/>
      <c r="E17" s="330"/>
      <c r="F17" s="337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</row>
    <row r="18" spans="1:21" ht="15" customHeight="1" x14ac:dyDescent="0.3">
      <c r="A18" s="328"/>
      <c r="B18" s="329"/>
      <c r="C18" s="329"/>
      <c r="D18" s="329"/>
      <c r="E18" s="330"/>
      <c r="F18" s="337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</row>
    <row r="19" spans="1:21" ht="15" customHeight="1" x14ac:dyDescent="0.3">
      <c r="A19" s="331"/>
      <c r="B19" s="332"/>
      <c r="C19" s="332"/>
      <c r="D19" s="332"/>
      <c r="E19" s="333"/>
      <c r="F19" s="340"/>
      <c r="G19" s="341"/>
      <c r="H19" s="341"/>
      <c r="I19" s="341"/>
      <c r="J19" s="341"/>
      <c r="K19" s="341"/>
      <c r="L19" s="341"/>
      <c r="M19" s="341"/>
      <c r="N19" s="341"/>
      <c r="O19" s="341"/>
      <c r="P19" s="341"/>
      <c r="Q19" s="341"/>
      <c r="R19" s="341"/>
      <c r="S19" s="341"/>
      <c r="T19" s="341"/>
      <c r="U19" s="342"/>
    </row>
    <row r="20" spans="1:21" ht="20.100000000000001" customHeight="1" x14ac:dyDescent="0.3">
      <c r="A20" s="309" t="s">
        <v>86</v>
      </c>
      <c r="B20" s="310"/>
      <c r="C20" s="310"/>
      <c r="D20" s="310"/>
      <c r="E20" s="310"/>
      <c r="F20" s="311">
        <v>0</v>
      </c>
      <c r="G20" s="311"/>
      <c r="H20" s="311"/>
      <c r="I20" s="312"/>
      <c r="J20" s="348">
        <f>SUM(J8:N19)</f>
        <v>640000</v>
      </c>
      <c r="K20" s="349"/>
      <c r="L20" s="349"/>
      <c r="M20" s="349"/>
      <c r="N20" s="350"/>
      <c r="O20" s="313">
        <f>SUM(O8:P19)</f>
        <v>7</v>
      </c>
      <c r="P20" s="313"/>
      <c r="Q20" s="351">
        <f>SUM(Q8:S19)</f>
        <v>0</v>
      </c>
      <c r="R20" s="311"/>
      <c r="S20" s="312"/>
      <c r="T20" s="311">
        <f>SUM(T8:U15)</f>
        <v>2810000</v>
      </c>
      <c r="U20" s="352"/>
    </row>
    <row r="21" spans="1:21" ht="20.100000000000001" customHeight="1" thickBot="1" x14ac:dyDescent="0.35">
      <c r="A21" s="314" t="s">
        <v>96</v>
      </c>
      <c r="B21" s="315"/>
      <c r="C21" s="315"/>
      <c r="D21" s="315"/>
      <c r="E21" s="315"/>
      <c r="F21" s="316">
        <f>F20+T20+Q20</f>
        <v>2810000</v>
      </c>
      <c r="G21" s="316"/>
      <c r="H21" s="316"/>
      <c r="I21" s="317"/>
      <c r="J21" s="318" t="s">
        <v>971</v>
      </c>
      <c r="K21" s="315"/>
      <c r="L21" s="319" t="str">
        <f>T4</f>
        <v>장효주</v>
      </c>
      <c r="M21" s="319"/>
      <c r="N21" s="319"/>
      <c r="O21" s="318" t="s">
        <v>69</v>
      </c>
      <c r="P21" s="315"/>
      <c r="Q21" s="319" t="str">
        <f>C3</f>
        <v>조이오토(대구)</v>
      </c>
      <c r="R21" s="319"/>
      <c r="S21" s="319"/>
      <c r="T21" s="319"/>
      <c r="U21" s="371"/>
    </row>
    <row r="22" spans="1:21" ht="20.100000000000001" customHeight="1" x14ac:dyDescent="0.3">
      <c r="A22" s="298" t="s">
        <v>3387</v>
      </c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</row>
    <row r="23" spans="1:21" ht="20.100000000000001" customHeight="1" thickBot="1" x14ac:dyDescent="0.35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 x14ac:dyDescent="0.3">
      <c r="A24" s="320"/>
      <c r="B24" s="321"/>
      <c r="C24" s="321"/>
      <c r="D24" s="321"/>
      <c r="E24" s="321"/>
      <c r="F24" s="321"/>
      <c r="G24" s="321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2" t="s">
        <v>1226</v>
      </c>
      <c r="R24" s="322"/>
      <c r="S24" s="323">
        <f>S1</f>
        <v>0</v>
      </c>
      <c r="T24" s="323"/>
      <c r="U24" s="324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45885</v>
      </c>
      <c r="U25" s="308"/>
    </row>
    <row r="26" spans="1:21" ht="24.95" customHeight="1" x14ac:dyDescent="0.3">
      <c r="A26" s="375" t="s">
        <v>1194</v>
      </c>
      <c r="B26" s="37" t="s">
        <v>64</v>
      </c>
      <c r="C26" s="378" t="str">
        <f>C3</f>
        <v>조이오토(대구)</v>
      </c>
      <c r="D26" s="379"/>
      <c r="E26" s="379"/>
      <c r="F26" s="379"/>
      <c r="G26" s="379"/>
      <c r="H26" s="379"/>
      <c r="I26" s="379"/>
      <c r="J26" s="380"/>
      <c r="K26" s="381" t="s">
        <v>1195</v>
      </c>
      <c r="L26" s="37" t="s">
        <v>64</v>
      </c>
      <c r="M26" s="384" t="s">
        <v>970</v>
      </c>
      <c r="N26" s="385"/>
      <c r="O26" s="385"/>
      <c r="P26" s="385"/>
      <c r="Q26" s="385"/>
      <c r="R26" s="385"/>
      <c r="S26" s="385"/>
      <c r="T26" s="385"/>
      <c r="U26" s="386"/>
    </row>
    <row r="27" spans="1:21" ht="24.95" customHeight="1" x14ac:dyDescent="0.3">
      <c r="A27" s="376"/>
      <c r="B27" s="37" t="s">
        <v>66</v>
      </c>
      <c r="C27" s="387">
        <f>C4</f>
        <v>0</v>
      </c>
      <c r="D27" s="388"/>
      <c r="E27" s="388"/>
      <c r="F27" s="388"/>
      <c r="G27" s="388"/>
      <c r="H27" s="388"/>
      <c r="I27" s="388"/>
      <c r="J27" s="389"/>
      <c r="K27" s="382"/>
      <c r="L27" s="37" t="s">
        <v>66</v>
      </c>
      <c r="M27" s="390" t="s">
        <v>968</v>
      </c>
      <c r="N27" s="391"/>
      <c r="O27" s="391"/>
      <c r="P27" s="391"/>
      <c r="Q27" s="391"/>
      <c r="R27" s="392"/>
      <c r="S27" s="38" t="s">
        <v>67</v>
      </c>
      <c r="T27" s="390" t="s">
        <v>78</v>
      </c>
      <c r="U27" s="393"/>
    </row>
    <row r="28" spans="1:21" ht="24.95" customHeight="1" x14ac:dyDescent="0.3">
      <c r="A28" s="376"/>
      <c r="B28" s="38" t="s">
        <v>10</v>
      </c>
      <c r="C28" s="390" t="str">
        <f>C5</f>
        <v>대구광역시 북구 연암로42길 43-1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">
        <v>79</v>
      </c>
      <c r="N28" s="391"/>
      <c r="O28" s="391"/>
      <c r="P28" s="391"/>
      <c r="Q28" s="391"/>
      <c r="R28" s="391"/>
      <c r="S28" s="391"/>
      <c r="T28" s="391"/>
      <c r="U28" s="393"/>
    </row>
    <row r="29" spans="1:21" ht="24.95" customHeight="1" x14ac:dyDescent="0.3">
      <c r="A29" s="377"/>
      <c r="B29" s="38" t="s">
        <v>80</v>
      </c>
      <c r="C29" s="390" t="str">
        <f>C6</f>
        <v>010-4141-9634</v>
      </c>
      <c r="D29" s="391"/>
      <c r="E29" s="391"/>
      <c r="F29" s="391"/>
      <c r="G29" s="391"/>
      <c r="H29" s="391"/>
      <c r="I29" s="391"/>
      <c r="J29" s="392"/>
      <c r="K29" s="383"/>
      <c r="L29" s="38" t="s">
        <v>80</v>
      </c>
      <c r="M29" s="390" t="s">
        <v>71</v>
      </c>
      <c r="N29" s="391"/>
      <c r="O29" s="391"/>
      <c r="P29" s="391"/>
      <c r="Q29" s="391"/>
      <c r="R29" s="392"/>
      <c r="S29" s="38" t="s">
        <v>26</v>
      </c>
      <c r="T29" s="390" t="str">
        <f>T6</f>
        <v>대구</v>
      </c>
      <c r="U29" s="393"/>
    </row>
    <row r="30" spans="1:21" ht="15.6" customHeight="1" x14ac:dyDescent="0.3">
      <c r="A30" s="309" t="s">
        <v>75</v>
      </c>
      <c r="B30" s="310"/>
      <c r="C30" s="310"/>
      <c r="D30" s="310"/>
      <c r="E30" s="372"/>
      <c r="F30" s="373" t="s">
        <v>48</v>
      </c>
      <c r="G30" s="310"/>
      <c r="H30" s="310"/>
      <c r="I30" s="372"/>
      <c r="J30" s="373" t="s">
        <v>46</v>
      </c>
      <c r="K30" s="310"/>
      <c r="L30" s="310"/>
      <c r="M30" s="310"/>
      <c r="N30" s="372"/>
      <c r="O30" s="310" t="s">
        <v>54</v>
      </c>
      <c r="P30" s="372"/>
      <c r="Q30" s="373" t="s">
        <v>74</v>
      </c>
      <c r="R30" s="310"/>
      <c r="S30" s="372"/>
      <c r="T30" s="373" t="s">
        <v>73</v>
      </c>
      <c r="U30" s="374"/>
    </row>
    <row r="31" spans="1:21" ht="15.6" customHeight="1" x14ac:dyDescent="0.3">
      <c r="A31" s="365" t="str">
        <f>A8</f>
        <v>0B5_Repair_Kit</v>
      </c>
      <c r="B31" s="366"/>
      <c r="C31" s="366"/>
      <c r="D31" s="366"/>
      <c r="E31" s="366"/>
      <c r="F31" s="366" t="str">
        <f>F8</f>
        <v>0B5398048D</v>
      </c>
      <c r="G31" s="366"/>
      <c r="H31" s="366"/>
      <c r="I31" s="366"/>
      <c r="J31" s="370">
        <f>J8</f>
        <v>510000</v>
      </c>
      <c r="K31" s="370"/>
      <c r="L31" s="370"/>
      <c r="M31" s="370"/>
      <c r="N31" s="370"/>
      <c r="O31" s="370">
        <f>O8</f>
        <v>5</v>
      </c>
      <c r="P31" s="370"/>
      <c r="Q31" s="367">
        <f>Q8</f>
        <v>0</v>
      </c>
      <c r="R31" s="367"/>
      <c r="S31" s="367"/>
      <c r="T31" s="368">
        <f>T8</f>
        <v>2550000</v>
      </c>
      <c r="U31" s="369"/>
    </row>
    <row r="32" spans="1:21" ht="15.6" customHeight="1" x14ac:dyDescent="0.3">
      <c r="A32" s="358" t="str">
        <f t="shared" ref="A32:A38" si="0">A9</f>
        <v>0B5_DISC</v>
      </c>
      <c r="B32" s="359"/>
      <c r="C32" s="359"/>
      <c r="D32" s="359"/>
      <c r="E32" s="359"/>
      <c r="F32" s="359" t="str">
        <f t="shared" ref="F32:F38" si="1">F9</f>
        <v>34265KIT</v>
      </c>
      <c r="G32" s="359"/>
      <c r="H32" s="359"/>
      <c r="I32" s="359"/>
      <c r="J32" s="363">
        <f t="shared" ref="J32:J38" si="2">J9</f>
        <v>130000</v>
      </c>
      <c r="K32" s="363"/>
      <c r="L32" s="363"/>
      <c r="M32" s="363"/>
      <c r="N32" s="363"/>
      <c r="O32" s="363">
        <f t="shared" ref="O32:O38" si="3">O9</f>
        <v>2</v>
      </c>
      <c r="P32" s="363"/>
      <c r="Q32" s="360">
        <f t="shared" ref="Q32:Q38" si="4">Q9</f>
        <v>0</v>
      </c>
      <c r="R32" s="360"/>
      <c r="S32" s="360"/>
      <c r="T32" s="361">
        <f t="shared" ref="T32:T38" si="5">T9</f>
        <v>260000</v>
      </c>
      <c r="U32" s="362"/>
    </row>
    <row r="33" spans="1:21" ht="15.6" customHeight="1" x14ac:dyDescent="0.3">
      <c r="A33" s="358">
        <f t="shared" si="0"/>
        <v>0</v>
      </c>
      <c r="B33" s="359"/>
      <c r="C33" s="359"/>
      <c r="D33" s="359"/>
      <c r="E33" s="359"/>
      <c r="F33" s="359">
        <f t="shared" si="1"/>
        <v>0</v>
      </c>
      <c r="G33" s="359"/>
      <c r="H33" s="359"/>
      <c r="I33" s="359"/>
      <c r="J33" s="363">
        <f t="shared" si="2"/>
        <v>0</v>
      </c>
      <c r="K33" s="363"/>
      <c r="L33" s="363"/>
      <c r="M33" s="363"/>
      <c r="N33" s="363"/>
      <c r="O33" s="363">
        <f t="shared" si="3"/>
        <v>0</v>
      </c>
      <c r="P33" s="363"/>
      <c r="Q33" s="360">
        <f t="shared" si="4"/>
        <v>0</v>
      </c>
      <c r="R33" s="360"/>
      <c r="S33" s="360"/>
      <c r="T33" s="361">
        <f t="shared" si="5"/>
        <v>0</v>
      </c>
      <c r="U33" s="362"/>
    </row>
    <row r="34" spans="1:21" ht="15.6" customHeight="1" x14ac:dyDescent="0.3">
      <c r="A34" s="358">
        <f t="shared" si="0"/>
        <v>0</v>
      </c>
      <c r="B34" s="359"/>
      <c r="C34" s="359"/>
      <c r="D34" s="359"/>
      <c r="E34" s="359"/>
      <c r="F34" s="359">
        <f t="shared" si="1"/>
        <v>0</v>
      </c>
      <c r="G34" s="359"/>
      <c r="H34" s="359"/>
      <c r="I34" s="359"/>
      <c r="J34" s="363">
        <f t="shared" si="2"/>
        <v>0</v>
      </c>
      <c r="K34" s="363"/>
      <c r="L34" s="363"/>
      <c r="M34" s="363"/>
      <c r="N34" s="363"/>
      <c r="O34" s="363">
        <f t="shared" si="3"/>
        <v>0</v>
      </c>
      <c r="P34" s="363"/>
      <c r="Q34" s="360">
        <f t="shared" si="4"/>
        <v>0</v>
      </c>
      <c r="R34" s="360"/>
      <c r="S34" s="360"/>
      <c r="T34" s="361">
        <f t="shared" si="5"/>
        <v>0</v>
      </c>
      <c r="U34" s="362"/>
    </row>
    <row r="35" spans="1:21" ht="15.6" customHeight="1" x14ac:dyDescent="0.3">
      <c r="A35" s="358">
        <f t="shared" si="0"/>
        <v>0</v>
      </c>
      <c r="B35" s="359"/>
      <c r="C35" s="359"/>
      <c r="D35" s="359"/>
      <c r="E35" s="359"/>
      <c r="F35" s="359">
        <f t="shared" si="1"/>
        <v>0</v>
      </c>
      <c r="G35" s="359"/>
      <c r="H35" s="359"/>
      <c r="I35" s="359"/>
      <c r="J35" s="363">
        <f t="shared" si="2"/>
        <v>0</v>
      </c>
      <c r="K35" s="363"/>
      <c r="L35" s="363"/>
      <c r="M35" s="363"/>
      <c r="N35" s="363"/>
      <c r="O35" s="363">
        <f t="shared" si="3"/>
        <v>0</v>
      </c>
      <c r="P35" s="363"/>
      <c r="Q35" s="360">
        <f t="shared" si="4"/>
        <v>0</v>
      </c>
      <c r="R35" s="360"/>
      <c r="S35" s="360"/>
      <c r="T35" s="361">
        <f t="shared" si="5"/>
        <v>0</v>
      </c>
      <c r="U35" s="362"/>
    </row>
    <row r="36" spans="1:21" ht="15.6" customHeight="1" x14ac:dyDescent="0.3">
      <c r="A36" s="358">
        <f t="shared" si="0"/>
        <v>0</v>
      </c>
      <c r="B36" s="359"/>
      <c r="C36" s="359"/>
      <c r="D36" s="359"/>
      <c r="E36" s="359"/>
      <c r="F36" s="359">
        <f t="shared" si="1"/>
        <v>0</v>
      </c>
      <c r="G36" s="359"/>
      <c r="H36" s="359"/>
      <c r="I36" s="359"/>
      <c r="J36" s="363">
        <f t="shared" si="2"/>
        <v>0</v>
      </c>
      <c r="K36" s="363"/>
      <c r="L36" s="363"/>
      <c r="M36" s="363"/>
      <c r="N36" s="363"/>
      <c r="O36" s="363">
        <f t="shared" si="3"/>
        <v>0</v>
      </c>
      <c r="P36" s="363"/>
      <c r="Q36" s="360">
        <f t="shared" si="4"/>
        <v>0</v>
      </c>
      <c r="R36" s="360"/>
      <c r="S36" s="360"/>
      <c r="T36" s="361">
        <f t="shared" si="5"/>
        <v>0</v>
      </c>
      <c r="U36" s="362"/>
    </row>
    <row r="37" spans="1:21" ht="15.6" customHeight="1" x14ac:dyDescent="0.3">
      <c r="A37" s="358">
        <f t="shared" si="0"/>
        <v>0</v>
      </c>
      <c r="B37" s="359"/>
      <c r="C37" s="359"/>
      <c r="D37" s="359"/>
      <c r="E37" s="359"/>
      <c r="F37" s="359">
        <f t="shared" si="1"/>
        <v>0</v>
      </c>
      <c r="G37" s="359"/>
      <c r="H37" s="359"/>
      <c r="I37" s="359"/>
      <c r="J37" s="363">
        <f t="shared" si="2"/>
        <v>0</v>
      </c>
      <c r="K37" s="363"/>
      <c r="L37" s="363"/>
      <c r="M37" s="363"/>
      <c r="N37" s="363"/>
      <c r="O37" s="363">
        <f t="shared" si="3"/>
        <v>0</v>
      </c>
      <c r="P37" s="363"/>
      <c r="Q37" s="360">
        <f t="shared" si="4"/>
        <v>0</v>
      </c>
      <c r="R37" s="360"/>
      <c r="S37" s="360"/>
      <c r="T37" s="361">
        <f t="shared" si="5"/>
        <v>0</v>
      </c>
      <c r="U37" s="362"/>
    </row>
    <row r="38" spans="1:21" ht="15.6" customHeight="1" thickBot="1" x14ac:dyDescent="0.35">
      <c r="A38" s="353">
        <f t="shared" si="0"/>
        <v>0</v>
      </c>
      <c r="B38" s="354"/>
      <c r="C38" s="354"/>
      <c r="D38" s="354"/>
      <c r="E38" s="354"/>
      <c r="F38" s="354">
        <f t="shared" si="1"/>
        <v>0</v>
      </c>
      <c r="G38" s="354"/>
      <c r="H38" s="354"/>
      <c r="I38" s="354"/>
      <c r="J38" s="364">
        <f t="shared" si="2"/>
        <v>0</v>
      </c>
      <c r="K38" s="364"/>
      <c r="L38" s="364"/>
      <c r="M38" s="364"/>
      <c r="N38" s="364"/>
      <c r="O38" s="364">
        <f t="shared" si="3"/>
        <v>0</v>
      </c>
      <c r="P38" s="364"/>
      <c r="Q38" s="355">
        <f t="shared" si="4"/>
        <v>0</v>
      </c>
      <c r="R38" s="355"/>
      <c r="S38" s="355"/>
      <c r="T38" s="356">
        <f t="shared" si="5"/>
        <v>0</v>
      </c>
      <c r="U38" s="357"/>
    </row>
    <row r="39" spans="1:21" ht="15" customHeight="1" thickTop="1" x14ac:dyDescent="0.3">
      <c r="A39" s="325" t="s">
        <v>2367</v>
      </c>
      <c r="B39" s="326"/>
      <c r="C39" s="326"/>
      <c r="D39" s="326"/>
      <c r="E39" s="327"/>
      <c r="F39" s="334">
        <f>F16</f>
        <v>0</v>
      </c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  <c r="R39" s="335"/>
      <c r="S39" s="335"/>
      <c r="T39" s="335"/>
      <c r="U39" s="336"/>
    </row>
    <row r="40" spans="1:21" ht="15" customHeight="1" x14ac:dyDescent="0.3">
      <c r="A40" s="328"/>
      <c r="B40" s="329"/>
      <c r="C40" s="329"/>
      <c r="D40" s="329"/>
      <c r="E40" s="330"/>
      <c r="F40" s="337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</row>
    <row r="41" spans="1:21" ht="15" customHeight="1" x14ac:dyDescent="0.3">
      <c r="A41" s="328"/>
      <c r="B41" s="329"/>
      <c r="C41" s="329"/>
      <c r="D41" s="329"/>
      <c r="E41" s="330"/>
      <c r="F41" s="337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</row>
    <row r="42" spans="1:21" ht="15" customHeight="1" x14ac:dyDescent="0.3">
      <c r="A42" s="331"/>
      <c r="B42" s="332"/>
      <c r="C42" s="332"/>
      <c r="D42" s="332"/>
      <c r="E42" s="333"/>
      <c r="F42" s="340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2"/>
    </row>
    <row r="43" spans="1:21" ht="20.100000000000001" customHeight="1" x14ac:dyDescent="0.3">
      <c r="A43" s="309" t="s">
        <v>86</v>
      </c>
      <c r="B43" s="310"/>
      <c r="C43" s="310"/>
      <c r="D43" s="310"/>
      <c r="E43" s="310"/>
      <c r="F43" s="311">
        <f>F20</f>
        <v>0</v>
      </c>
      <c r="G43" s="311"/>
      <c r="H43" s="311"/>
      <c r="I43" s="312"/>
      <c r="J43" s="348">
        <f>J20</f>
        <v>640000</v>
      </c>
      <c r="K43" s="349"/>
      <c r="L43" s="349"/>
      <c r="M43" s="349"/>
      <c r="N43" s="350"/>
      <c r="O43" s="313">
        <f>O20</f>
        <v>7</v>
      </c>
      <c r="P43" s="313"/>
      <c r="Q43" s="351">
        <f>Q20</f>
        <v>0</v>
      </c>
      <c r="R43" s="311"/>
      <c r="S43" s="311"/>
      <c r="T43" s="311">
        <f>T20</f>
        <v>2810000</v>
      </c>
      <c r="U43" s="352"/>
    </row>
    <row r="44" spans="1:21" ht="20.100000000000001" customHeight="1" thickBot="1" x14ac:dyDescent="0.35">
      <c r="A44" s="314" t="s">
        <v>96</v>
      </c>
      <c r="B44" s="315"/>
      <c r="C44" s="315"/>
      <c r="D44" s="315"/>
      <c r="E44" s="315"/>
      <c r="F44" s="316">
        <f>F21</f>
        <v>2810000</v>
      </c>
      <c r="G44" s="316"/>
      <c r="H44" s="316"/>
      <c r="I44" s="317"/>
      <c r="J44" s="318" t="s">
        <v>971</v>
      </c>
      <c r="K44" s="315"/>
      <c r="L44" s="343" t="str">
        <f>T27</f>
        <v>장효주</v>
      </c>
      <c r="M44" s="343"/>
      <c r="N44" s="343"/>
      <c r="O44" s="318" t="s">
        <v>69</v>
      </c>
      <c r="P44" s="344"/>
      <c r="Q44" s="345" t="str">
        <f>Q21</f>
        <v>조이오토(대구)</v>
      </c>
      <c r="R44" s="346"/>
      <c r="S44" s="346"/>
      <c r="T44" s="346"/>
      <c r="U44" s="34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D34" sqref="D34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SUM(G2:G6)</f>
        <v>640000</v>
      </c>
      <c r="H1" s="111">
        <f>SUM(H2:H6)</f>
        <v>7</v>
      </c>
      <c r="I1" s="111">
        <f>SUM(I2:I6)</f>
        <v>0</v>
      </c>
      <c r="J1" s="111">
        <f>SUM(J2:J6)</f>
        <v>2810000</v>
      </c>
      <c r="K1" s="112" t="s">
        <v>4</v>
      </c>
      <c r="L1" s="100">
        <v>3</v>
      </c>
    </row>
    <row r="2" spans="1:12" x14ac:dyDescent="0.3">
      <c r="A2" s="47">
        <v>1</v>
      </c>
      <c r="B2" s="47" t="s">
        <v>3384</v>
      </c>
      <c r="C2" s="47" t="s">
        <v>1755</v>
      </c>
      <c r="D2" t="s">
        <v>1236</v>
      </c>
      <c r="E2" t="s">
        <v>2234</v>
      </c>
      <c r="F2" t="s">
        <v>1236</v>
      </c>
      <c r="G2">
        <v>510000</v>
      </c>
      <c r="H2">
        <v>5</v>
      </c>
      <c r="I2" s="233"/>
      <c r="J2" s="233">
        <v>2550000</v>
      </c>
    </row>
    <row r="3" spans="1:12" x14ac:dyDescent="0.3">
      <c r="A3" s="47">
        <v>2</v>
      </c>
      <c r="B3" s="47" t="s">
        <v>3384</v>
      </c>
      <c r="C3" s="47" t="s">
        <v>1755</v>
      </c>
      <c r="D3" t="s">
        <v>1290</v>
      </c>
      <c r="E3" t="s">
        <v>2235</v>
      </c>
      <c r="F3" t="s">
        <v>1290</v>
      </c>
      <c r="G3">
        <v>130000</v>
      </c>
      <c r="H3">
        <v>2</v>
      </c>
      <c r="I3" s="233"/>
      <c r="J3" s="233">
        <v>260000</v>
      </c>
    </row>
    <row r="4" spans="1:12" x14ac:dyDescent="0.3">
      <c r="I4" s="233"/>
      <c r="J4" s="233"/>
    </row>
    <row r="5" spans="1:12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2" t="s">
        <v>53</v>
      </c>
      <c r="C4" s="433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4" t="s">
        <v>93</v>
      </c>
      <c r="C28" s="435"/>
      <c r="D28" s="435"/>
      <c r="E28" s="436"/>
      <c r="F28" s="435"/>
      <c r="G28" s="435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0" t="s">
        <v>1590</v>
      </c>
      <c r="F6" s="440"/>
      <c r="G6" s="440"/>
      <c r="H6" s="440"/>
      <c r="I6" s="440"/>
      <c r="J6" s="440"/>
      <c r="K6" s="440"/>
    </row>
    <row r="7" spans="5:11" x14ac:dyDescent="0.3"/>
    <row r="8" spans="5:11" x14ac:dyDescent="0.3"/>
    <row r="9" spans="5:11" x14ac:dyDescent="0.3">
      <c r="G9" s="437"/>
      <c r="H9" s="437"/>
      <c r="I9" s="437"/>
      <c r="J9" s="437"/>
    </row>
    <row r="10" spans="5:11" ht="33" customHeight="1" x14ac:dyDescent="0.3">
      <c r="F10" s="124"/>
      <c r="G10" s="438"/>
      <c r="H10" s="439"/>
      <c r="I10" s="439"/>
      <c r="J10" s="439"/>
    </row>
    <row r="11" spans="5:11" x14ac:dyDescent="0.3"/>
    <row r="12" spans="5:11" ht="32.25" customHeight="1" x14ac:dyDescent="0.3">
      <c r="F12" s="125"/>
      <c r="G12" s="438" t="s">
        <v>1591</v>
      </c>
      <c r="H12" s="439"/>
      <c r="I12" s="439"/>
      <c r="J12" s="439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74"/>
  <sheetViews>
    <sheetView workbookViewId="0">
      <pane xSplit="1" ySplit="1" topLeftCell="B1245" activePane="bottomRight" state="frozen"/>
      <selection activeCell="N26" sqref="N26"/>
      <selection pane="topRight" activeCell="N26" sqref="N26"/>
      <selection pane="bottomLeft" activeCell="N26" sqref="N26"/>
      <selection pane="bottomRight" activeCell="M1267" sqref="M1267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1273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3263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3263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3263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3263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3263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3263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3263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3263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3263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3263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3263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3263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3263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3263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3263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3263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3263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3263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3263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3263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3263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3263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3263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3263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3263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3263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3263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3263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3263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3263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3263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3263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3263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3263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3263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3263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3263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3263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3263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3263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3263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3263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3263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3263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3263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3263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3263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3263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3263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3263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3263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3263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3263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3263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3263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3263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3263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3263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3263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3313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3263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3263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3263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3313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3263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3313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3313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3313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3313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3313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3313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3313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3313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3313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3313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3313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3313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3313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3313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3313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3313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3313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3313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3313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3313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3313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3313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3313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3313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3313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3313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3313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3313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3313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3313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3313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3313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3313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3313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3313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3313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3313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3313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3313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3313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3313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3313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3313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3313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3313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3313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3313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3313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3313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3313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3313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3313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3313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3313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3313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3313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3313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3313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3313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3313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3313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3313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3313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3313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3313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3313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3313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3313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3313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3313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3313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3313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3313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3313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3313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3313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3313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3313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3313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3313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3313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3313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3313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3313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3313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3313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3313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3313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3313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3313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3313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3313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3313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3313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3313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3313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3313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3313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3313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3313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3313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3313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3313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3313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3313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3313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3313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3313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3313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3313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3313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3224</v>
      </c>
      <c r="E1036" s="279" t="s">
        <v>3225</v>
      </c>
      <c r="G1036" s="274">
        <v>50000</v>
      </c>
      <c r="H1036" s="279">
        <v>1</v>
      </c>
      <c r="K1036" s="274">
        <v>50000</v>
      </c>
      <c r="N1036" t="s">
        <v>3313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3313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3313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3313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3313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3313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3313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3313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3313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3313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3313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3313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3313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3313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3313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3313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3313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3313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3313</v>
      </c>
    </row>
    <row r="1064" spans="1:14" x14ac:dyDescent="0.3">
      <c r="A1064" s="58">
        <v>1062</v>
      </c>
      <c r="B1064" s="272">
        <v>45866</v>
      </c>
      <c r="C1064" s="279" t="s">
        <v>3175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3313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3313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3313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3313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3313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3313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3313</v>
      </c>
    </row>
    <row r="1071" spans="1:14" x14ac:dyDescent="0.3">
      <c r="A1071" s="58">
        <v>1069</v>
      </c>
      <c r="B1071" s="272">
        <v>45866</v>
      </c>
      <c r="C1071" s="279" t="s">
        <v>3175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3183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3313</v>
      </c>
    </row>
    <row r="1073" spans="1:14" x14ac:dyDescent="0.3">
      <c r="A1073" s="58">
        <v>1071</v>
      </c>
      <c r="B1073" s="272">
        <v>45866</v>
      </c>
      <c r="C1073" s="279" t="s">
        <v>3183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3313</v>
      </c>
    </row>
    <row r="1074" spans="1:14" x14ac:dyDescent="0.3">
      <c r="A1074" s="58">
        <v>1072</v>
      </c>
      <c r="B1074" s="272">
        <v>45866</v>
      </c>
      <c r="C1074" s="279" t="s">
        <v>3183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3215</v>
      </c>
      <c r="F1084" s="279" t="s">
        <v>3214</v>
      </c>
      <c r="G1084" s="274">
        <v>250000</v>
      </c>
      <c r="H1084" s="279">
        <v>1</v>
      </c>
      <c r="K1084" s="274">
        <v>250000</v>
      </c>
      <c r="N1084" t="s">
        <v>3313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3313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3313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3313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3313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3313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3313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3226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3313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3313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3313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3227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3313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3313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3313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3313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3313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3313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3313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3313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3313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3231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3313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3313</v>
      </c>
    </row>
    <row r="1108" spans="1:14" x14ac:dyDescent="0.3">
      <c r="A1108" s="58">
        <v>1106</v>
      </c>
      <c r="B1108" s="272">
        <v>45868</v>
      </c>
      <c r="C1108" s="279" t="s">
        <v>3234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3313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3313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3234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3313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3313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3313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3313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3313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3313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3313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3250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3250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3268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3273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3274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3275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3276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3277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3273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3279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3279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3292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3301</v>
      </c>
      <c r="E1180" s="279" t="s">
        <v>3302</v>
      </c>
      <c r="F1180" s="279" t="s">
        <v>3303</v>
      </c>
      <c r="G1180" s="274">
        <v>1300000</v>
      </c>
      <c r="H1180" s="279">
        <v>1</v>
      </c>
      <c r="J1180" s="275" t="s">
        <v>3304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3298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3279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3295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3305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3309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3311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3311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3311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3314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3314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3322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3324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3324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3329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3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3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3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3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3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  <row r="1222" spans="1:13" x14ac:dyDescent="0.3">
      <c r="A1222" s="58">
        <v>1220</v>
      </c>
      <c r="B1222" s="272">
        <v>45881</v>
      </c>
      <c r="C1222" s="279" t="s">
        <v>1499</v>
      </c>
      <c r="E1222" s="279" t="s">
        <v>2066</v>
      </c>
      <c r="F1222" s="279" t="s">
        <v>1247</v>
      </c>
      <c r="G1222" s="274">
        <v>1500000</v>
      </c>
      <c r="H1222" s="279">
        <v>1</v>
      </c>
      <c r="J1222" s="275">
        <v>150000</v>
      </c>
      <c r="K1222" s="274">
        <v>1650000</v>
      </c>
    </row>
    <row r="1223" spans="1:13" x14ac:dyDescent="0.3">
      <c r="A1223" s="58">
        <v>1221</v>
      </c>
      <c r="B1223" s="272">
        <v>45881</v>
      </c>
      <c r="C1223" s="279" t="s">
        <v>1505</v>
      </c>
      <c r="E1223" s="279" t="s">
        <v>2234</v>
      </c>
      <c r="F1223" s="279" t="s">
        <v>1236</v>
      </c>
      <c r="G1223" s="274">
        <v>500000</v>
      </c>
      <c r="H1223" s="279">
        <v>2</v>
      </c>
      <c r="K1223" s="274">
        <v>1000000</v>
      </c>
    </row>
    <row r="1224" spans="1:13" x14ac:dyDescent="0.3">
      <c r="A1224" s="58">
        <v>1222</v>
      </c>
      <c r="B1224" s="272">
        <v>45881</v>
      </c>
      <c r="C1224" s="279" t="s">
        <v>2369</v>
      </c>
      <c r="E1224" s="279" t="s">
        <v>2894</v>
      </c>
      <c r="F1224" s="279" t="s">
        <v>1244</v>
      </c>
      <c r="G1224" s="274">
        <v>1500000</v>
      </c>
      <c r="H1224" s="279">
        <v>1</v>
      </c>
      <c r="K1224" s="274">
        <v>1500000</v>
      </c>
      <c r="M1224" s="279" t="s">
        <v>3338</v>
      </c>
    </row>
    <row r="1225" spans="1:13" x14ac:dyDescent="0.3">
      <c r="A1225" s="58">
        <v>1223</v>
      </c>
      <c r="B1225" s="272">
        <v>45881</v>
      </c>
      <c r="C1225" s="279" t="s">
        <v>3144</v>
      </c>
      <c r="E1225" s="279" t="s">
        <v>2225</v>
      </c>
      <c r="F1225" s="279" t="s">
        <v>1496</v>
      </c>
      <c r="G1225" s="274">
        <v>1500000</v>
      </c>
      <c r="H1225" s="279">
        <v>1</v>
      </c>
      <c r="J1225" s="275">
        <v>150000</v>
      </c>
      <c r="K1225" s="274">
        <v>1650000</v>
      </c>
      <c r="M1225" s="295" t="s">
        <v>3340</v>
      </c>
    </row>
    <row r="1226" spans="1:13" x14ac:dyDescent="0.3">
      <c r="A1226" s="58">
        <v>1224</v>
      </c>
      <c r="B1226" s="272">
        <v>45881</v>
      </c>
      <c r="C1226" s="279" t="s">
        <v>1704</v>
      </c>
      <c r="E1226" s="279" t="s">
        <v>1152</v>
      </c>
      <c r="L1226" s="274">
        <v>-1100000</v>
      </c>
    </row>
    <row r="1227" spans="1:13" x14ac:dyDescent="0.3">
      <c r="A1227" s="58">
        <v>1225</v>
      </c>
      <c r="B1227" s="272">
        <v>45881</v>
      </c>
      <c r="C1227" s="279" t="s">
        <v>2369</v>
      </c>
      <c r="E1227" s="279" t="s">
        <v>1152</v>
      </c>
      <c r="L1227" s="274">
        <v>-2820000</v>
      </c>
    </row>
    <row r="1228" spans="1:13" x14ac:dyDescent="0.3">
      <c r="A1228" s="58">
        <v>1226</v>
      </c>
      <c r="B1228" s="272">
        <v>45881</v>
      </c>
      <c r="C1228" s="279" t="s">
        <v>1844</v>
      </c>
      <c r="E1228" s="279" t="s">
        <v>1152</v>
      </c>
      <c r="L1228" s="274">
        <v>-350000</v>
      </c>
    </row>
    <row r="1229" spans="1:13" x14ac:dyDescent="0.3">
      <c r="A1229" s="58">
        <v>1227</v>
      </c>
      <c r="B1229" s="272">
        <v>45881</v>
      </c>
      <c r="C1229" s="279" t="s">
        <v>3324</v>
      </c>
      <c r="E1229" s="279" t="s">
        <v>1152</v>
      </c>
      <c r="L1229" s="274">
        <v>-1550000</v>
      </c>
    </row>
    <row r="1230" spans="1:13" x14ac:dyDescent="0.3">
      <c r="A1230" s="58">
        <v>1228</v>
      </c>
      <c r="B1230" s="272">
        <v>45882</v>
      </c>
      <c r="C1230" s="279" t="s">
        <v>1840</v>
      </c>
      <c r="E1230" s="279" t="s">
        <v>2234</v>
      </c>
      <c r="F1230" s="279" t="s">
        <v>1236</v>
      </c>
      <c r="G1230" s="274">
        <v>526364</v>
      </c>
      <c r="H1230" s="279">
        <v>1</v>
      </c>
      <c r="J1230" s="275">
        <v>52636</v>
      </c>
      <c r="K1230" s="274">
        <v>579000</v>
      </c>
    </row>
    <row r="1231" spans="1:13" x14ac:dyDescent="0.3">
      <c r="A1231" s="58">
        <v>1229</v>
      </c>
      <c r="B1231" s="272">
        <v>45882</v>
      </c>
      <c r="C1231" s="279" t="s">
        <v>1840</v>
      </c>
      <c r="E1231" s="279" t="s">
        <v>2235</v>
      </c>
      <c r="F1231" s="279" t="s">
        <v>1290</v>
      </c>
      <c r="G1231" s="274">
        <v>130000</v>
      </c>
      <c r="H1231" s="279">
        <v>1</v>
      </c>
      <c r="J1231" s="275">
        <v>13000</v>
      </c>
      <c r="K1231" s="274">
        <v>143000</v>
      </c>
    </row>
    <row r="1232" spans="1:13" x14ac:dyDescent="0.3">
      <c r="A1232" s="58">
        <v>1230</v>
      </c>
      <c r="B1232" s="272">
        <v>45882</v>
      </c>
      <c r="C1232" s="279" t="s">
        <v>1613</v>
      </c>
      <c r="E1232" s="279" t="s">
        <v>2234</v>
      </c>
      <c r="F1232" s="279" t="s">
        <v>1236</v>
      </c>
      <c r="G1232" s="274">
        <v>526364</v>
      </c>
      <c r="H1232" s="279">
        <v>1</v>
      </c>
      <c r="J1232" s="275">
        <v>52636</v>
      </c>
      <c r="K1232" s="274">
        <v>579000</v>
      </c>
    </row>
    <row r="1233" spans="1:11" x14ac:dyDescent="0.3">
      <c r="A1233" s="58">
        <v>1231</v>
      </c>
      <c r="B1233" s="272">
        <v>45882</v>
      </c>
      <c r="C1233" s="279" t="s">
        <v>1431</v>
      </c>
      <c r="E1233" s="279" t="s">
        <v>2483</v>
      </c>
      <c r="F1233" s="279" t="s">
        <v>2860</v>
      </c>
      <c r="G1233" s="274">
        <v>1100000</v>
      </c>
      <c r="H1233" s="279">
        <v>1</v>
      </c>
      <c r="K1233" s="274">
        <v>1100000</v>
      </c>
    </row>
    <row r="1234" spans="1:11" x14ac:dyDescent="0.3">
      <c r="A1234" s="58">
        <v>1232</v>
      </c>
      <c r="B1234" s="272">
        <v>45882</v>
      </c>
      <c r="C1234" s="279" t="s">
        <v>1431</v>
      </c>
      <c r="E1234" s="279" t="s">
        <v>2234</v>
      </c>
      <c r="F1234" s="279" t="s">
        <v>1236</v>
      </c>
      <c r="G1234" s="274">
        <v>510000</v>
      </c>
      <c r="H1234" s="279">
        <v>1</v>
      </c>
      <c r="K1234" s="274">
        <v>510000</v>
      </c>
    </row>
    <row r="1235" spans="1:11" x14ac:dyDescent="0.3">
      <c r="A1235" s="58">
        <v>1233</v>
      </c>
      <c r="B1235" s="272">
        <v>45882</v>
      </c>
      <c r="C1235" s="279" t="s">
        <v>1431</v>
      </c>
      <c r="E1235" s="279" t="s">
        <v>2239</v>
      </c>
      <c r="F1235" s="279" t="s">
        <v>1859</v>
      </c>
      <c r="G1235" s="274">
        <v>10000</v>
      </c>
      <c r="H1235" s="279">
        <v>1</v>
      </c>
      <c r="K1235" s="274">
        <v>10000</v>
      </c>
    </row>
    <row r="1236" spans="1:11" x14ac:dyDescent="0.3">
      <c r="A1236" s="58">
        <v>1234</v>
      </c>
      <c r="B1236" s="272">
        <v>45882</v>
      </c>
      <c r="C1236" s="279" t="s">
        <v>1431</v>
      </c>
      <c r="E1236" s="279" t="s">
        <v>2238</v>
      </c>
      <c r="F1236" s="279" t="s">
        <v>1830</v>
      </c>
      <c r="G1236" s="274">
        <v>30000</v>
      </c>
      <c r="H1236" s="279">
        <v>1</v>
      </c>
      <c r="K1236" s="274">
        <v>30000</v>
      </c>
    </row>
    <row r="1237" spans="1:11" x14ac:dyDescent="0.3">
      <c r="A1237" s="58">
        <v>1235</v>
      </c>
      <c r="B1237" s="272">
        <v>45882</v>
      </c>
      <c r="C1237" s="279" t="s">
        <v>1610</v>
      </c>
      <c r="E1237" s="279" t="s">
        <v>2234</v>
      </c>
      <c r="F1237" s="279" t="s">
        <v>1236</v>
      </c>
      <c r="G1237" s="274">
        <v>526364</v>
      </c>
      <c r="H1237" s="279">
        <v>1</v>
      </c>
      <c r="J1237" s="275">
        <v>52636</v>
      </c>
      <c r="K1237" s="274">
        <v>579000</v>
      </c>
    </row>
    <row r="1238" spans="1:11" x14ac:dyDescent="0.3">
      <c r="A1238" s="58">
        <v>1236</v>
      </c>
      <c r="B1238" s="272">
        <v>45882</v>
      </c>
      <c r="C1238" s="279" t="s">
        <v>1610</v>
      </c>
      <c r="E1238" s="279" t="s">
        <v>2237</v>
      </c>
      <c r="F1238" s="279">
        <v>50229</v>
      </c>
      <c r="G1238" s="274">
        <v>72727</v>
      </c>
      <c r="H1238" s="279">
        <v>1</v>
      </c>
      <c r="J1238" s="275">
        <v>7273</v>
      </c>
      <c r="K1238" s="274">
        <v>80000</v>
      </c>
    </row>
    <row r="1239" spans="1:11" x14ac:dyDescent="0.3">
      <c r="A1239" s="58">
        <v>1237</v>
      </c>
      <c r="B1239" s="272">
        <v>45882</v>
      </c>
      <c r="C1239" s="279" t="s">
        <v>1610</v>
      </c>
      <c r="E1239" s="279" t="s">
        <v>2238</v>
      </c>
      <c r="F1239" s="279" t="s">
        <v>1830</v>
      </c>
      <c r="G1239" s="274">
        <v>32000</v>
      </c>
      <c r="H1239" s="279">
        <v>1</v>
      </c>
      <c r="J1239" s="275">
        <v>3200</v>
      </c>
      <c r="K1239" s="274">
        <v>35200</v>
      </c>
    </row>
    <row r="1240" spans="1:11" x14ac:dyDescent="0.3">
      <c r="A1240" s="58">
        <v>1238</v>
      </c>
      <c r="B1240" s="272">
        <v>45882</v>
      </c>
      <c r="C1240" s="279" t="s">
        <v>1610</v>
      </c>
      <c r="E1240" s="279" t="s">
        <v>2239</v>
      </c>
      <c r="F1240" s="279" t="s">
        <v>1859</v>
      </c>
      <c r="G1240" s="274">
        <v>10000</v>
      </c>
      <c r="H1240" s="279">
        <v>1</v>
      </c>
      <c r="J1240" s="275">
        <v>1000</v>
      </c>
      <c r="K1240" s="274">
        <v>11000</v>
      </c>
    </row>
    <row r="1241" spans="1:11" x14ac:dyDescent="0.3">
      <c r="A1241" s="58">
        <v>1239</v>
      </c>
      <c r="B1241" s="272">
        <v>45882</v>
      </c>
      <c r="C1241" s="279" t="s">
        <v>1610</v>
      </c>
      <c r="E1241" s="279" t="s">
        <v>2241</v>
      </c>
      <c r="G1241" s="274">
        <v>600000</v>
      </c>
      <c r="H1241" s="279">
        <v>1</v>
      </c>
      <c r="J1241" s="275">
        <v>60000</v>
      </c>
      <c r="K1241" s="274">
        <v>660000</v>
      </c>
    </row>
    <row r="1242" spans="1:11" x14ac:dyDescent="0.3">
      <c r="A1242" s="58">
        <v>1240</v>
      </c>
      <c r="B1242" s="272">
        <v>45882</v>
      </c>
      <c r="C1242" s="279" t="s">
        <v>1027</v>
      </c>
      <c r="E1242" s="279" t="s">
        <v>2235</v>
      </c>
      <c r="F1242" s="279" t="s">
        <v>1290</v>
      </c>
      <c r="G1242" s="274">
        <v>130000</v>
      </c>
      <c r="H1242" s="279">
        <v>1</v>
      </c>
      <c r="K1242" s="274">
        <v>130000</v>
      </c>
    </row>
    <row r="1243" spans="1:11" x14ac:dyDescent="0.3">
      <c r="A1243" s="58">
        <v>1241</v>
      </c>
      <c r="B1243" s="272">
        <v>45882</v>
      </c>
      <c r="C1243" s="279" t="s">
        <v>1027</v>
      </c>
      <c r="E1243" s="279" t="s">
        <v>2237</v>
      </c>
      <c r="F1243" s="279">
        <v>50229</v>
      </c>
      <c r="G1243" s="274">
        <v>80000</v>
      </c>
      <c r="H1243" s="279">
        <v>1</v>
      </c>
      <c r="K1243" s="274">
        <v>80000</v>
      </c>
    </row>
    <row r="1244" spans="1:11" x14ac:dyDescent="0.3">
      <c r="A1244" s="58">
        <v>1242</v>
      </c>
      <c r="B1244" s="272">
        <v>45882</v>
      </c>
      <c r="C1244" s="279" t="s">
        <v>1027</v>
      </c>
      <c r="E1244" s="279" t="s">
        <v>2239</v>
      </c>
      <c r="F1244" s="279" t="s">
        <v>1859</v>
      </c>
      <c r="G1244" s="274">
        <v>10000</v>
      </c>
      <c r="H1244" s="279">
        <v>1</v>
      </c>
      <c r="K1244" s="274">
        <v>10000</v>
      </c>
    </row>
    <row r="1245" spans="1:11" x14ac:dyDescent="0.3">
      <c r="A1245" s="58">
        <v>1243</v>
      </c>
      <c r="B1245" s="272">
        <v>45882</v>
      </c>
      <c r="C1245" s="279" t="s">
        <v>1027</v>
      </c>
      <c r="E1245" s="279" t="s">
        <v>2238</v>
      </c>
      <c r="F1245" s="279" t="s">
        <v>1830</v>
      </c>
      <c r="G1245" s="274">
        <v>35000</v>
      </c>
      <c r="H1245" s="279">
        <v>1</v>
      </c>
      <c r="K1245" s="274">
        <v>35000</v>
      </c>
    </row>
    <row r="1246" spans="1:11" x14ac:dyDescent="0.3">
      <c r="A1246" s="58">
        <v>1244</v>
      </c>
      <c r="B1246" s="272">
        <v>45882</v>
      </c>
      <c r="C1246" s="279" t="s">
        <v>3352</v>
      </c>
      <c r="E1246" s="279" t="s">
        <v>1232</v>
      </c>
      <c r="F1246" s="279" t="s">
        <v>1786</v>
      </c>
      <c r="G1246" s="274">
        <v>1200000</v>
      </c>
      <c r="H1246" s="279">
        <v>1</v>
      </c>
      <c r="K1246" s="274">
        <v>1200000</v>
      </c>
    </row>
    <row r="1247" spans="1:11" x14ac:dyDescent="0.3">
      <c r="A1247" s="58">
        <v>1245</v>
      </c>
      <c r="B1247" s="272">
        <v>45882</v>
      </c>
      <c r="C1247" s="279" t="s">
        <v>3352</v>
      </c>
      <c r="E1247" s="279" t="s">
        <v>1528</v>
      </c>
      <c r="F1247" s="279" t="s">
        <v>2781</v>
      </c>
      <c r="G1247" s="274">
        <v>350000</v>
      </c>
      <c r="H1247" s="279">
        <v>1</v>
      </c>
      <c r="K1247" s="274">
        <v>350000</v>
      </c>
    </row>
    <row r="1248" spans="1:11" x14ac:dyDescent="0.3">
      <c r="A1248" s="58">
        <v>1246</v>
      </c>
      <c r="B1248" s="272">
        <v>45882</v>
      </c>
      <c r="C1248" s="279" t="s">
        <v>3349</v>
      </c>
      <c r="E1248" s="279" t="s">
        <v>3357</v>
      </c>
      <c r="G1248" s="274">
        <v>100000</v>
      </c>
      <c r="H1248" s="279">
        <v>1</v>
      </c>
      <c r="K1248" s="274">
        <v>100000</v>
      </c>
    </row>
    <row r="1249" spans="1:13" x14ac:dyDescent="0.3">
      <c r="A1249" s="58">
        <v>1247</v>
      </c>
      <c r="B1249" s="272">
        <v>45882</v>
      </c>
      <c r="C1249" s="279" t="s">
        <v>3352</v>
      </c>
      <c r="E1249" s="279" t="s">
        <v>1152</v>
      </c>
      <c r="L1249" s="274">
        <v>-1550000</v>
      </c>
    </row>
    <row r="1250" spans="1:13" x14ac:dyDescent="0.3">
      <c r="A1250" s="58">
        <v>1248</v>
      </c>
      <c r="B1250" s="272">
        <v>45882</v>
      </c>
      <c r="C1250" s="279" t="s">
        <v>3349</v>
      </c>
      <c r="E1250" s="279" t="s">
        <v>1152</v>
      </c>
      <c r="L1250" s="274">
        <v>-100000</v>
      </c>
    </row>
    <row r="1251" spans="1:13" x14ac:dyDescent="0.3">
      <c r="A1251" s="58">
        <v>1249</v>
      </c>
      <c r="B1251" s="272">
        <v>45881</v>
      </c>
      <c r="C1251" s="279" t="s">
        <v>3374</v>
      </c>
      <c r="E1251" s="279" t="s">
        <v>3375</v>
      </c>
      <c r="F1251" s="279" t="s">
        <v>3376</v>
      </c>
      <c r="G1251" s="274">
        <v>1500000</v>
      </c>
      <c r="H1251" s="279">
        <v>-1</v>
      </c>
      <c r="J1251" s="274">
        <v>-150000</v>
      </c>
      <c r="K1251" s="274">
        <v>-1650000</v>
      </c>
      <c r="M1251" s="279" t="s">
        <v>3377</v>
      </c>
    </row>
    <row r="1252" spans="1:13" x14ac:dyDescent="0.3">
      <c r="A1252" s="58">
        <v>1250</v>
      </c>
      <c r="B1252" s="272">
        <v>45883</v>
      </c>
      <c r="C1252" s="279" t="s">
        <v>1526</v>
      </c>
      <c r="E1252" s="279" t="s">
        <v>1152</v>
      </c>
      <c r="L1252" s="274">
        <v>-1550000</v>
      </c>
    </row>
    <row r="1253" spans="1:13" x14ac:dyDescent="0.3">
      <c r="A1253" s="58">
        <v>1251</v>
      </c>
      <c r="B1253" s="272">
        <v>45883</v>
      </c>
      <c r="C1253" s="279" t="s">
        <v>1511</v>
      </c>
      <c r="E1253" s="279" t="s">
        <v>2234</v>
      </c>
      <c r="F1253" s="279" t="s">
        <v>1236</v>
      </c>
      <c r="G1253" s="274">
        <v>550000</v>
      </c>
      <c r="H1253" s="279">
        <v>1</v>
      </c>
      <c r="K1253" s="274">
        <v>550000</v>
      </c>
    </row>
    <row r="1254" spans="1:13" x14ac:dyDescent="0.3">
      <c r="A1254" s="58">
        <v>1252</v>
      </c>
      <c r="B1254" s="272">
        <v>45883</v>
      </c>
      <c r="C1254" s="279" t="s">
        <v>1511</v>
      </c>
      <c r="E1254" s="279" t="s">
        <v>2235</v>
      </c>
      <c r="F1254" s="279" t="s">
        <v>1290</v>
      </c>
      <c r="G1254" s="274">
        <v>130000</v>
      </c>
      <c r="H1254" s="279">
        <v>1</v>
      </c>
      <c r="K1254" s="274">
        <v>130000</v>
      </c>
    </row>
    <row r="1255" spans="1:13" x14ac:dyDescent="0.3">
      <c r="A1255" s="58">
        <v>1253</v>
      </c>
      <c r="B1255" s="272">
        <v>45883</v>
      </c>
      <c r="C1255" s="279" t="s">
        <v>1511</v>
      </c>
      <c r="E1255" s="279" t="s">
        <v>2239</v>
      </c>
      <c r="F1255" s="279" t="s">
        <v>1859</v>
      </c>
      <c r="G1255" s="274">
        <v>10000</v>
      </c>
      <c r="H1255" s="279">
        <v>1</v>
      </c>
      <c r="K1255" s="274">
        <v>10000</v>
      </c>
    </row>
    <row r="1256" spans="1:13" x14ac:dyDescent="0.3">
      <c r="A1256" s="58">
        <v>1254</v>
      </c>
      <c r="B1256" s="272">
        <v>45883</v>
      </c>
      <c r="C1256" s="279" t="s">
        <v>1613</v>
      </c>
      <c r="E1256" s="279" t="s">
        <v>3362</v>
      </c>
      <c r="L1256" s="274">
        <v>-2000000</v>
      </c>
    </row>
    <row r="1257" spans="1:13" x14ac:dyDescent="0.3">
      <c r="A1257" s="58">
        <v>1255</v>
      </c>
      <c r="B1257" s="272">
        <v>45883</v>
      </c>
      <c r="C1257" s="279" t="s">
        <v>994</v>
      </c>
      <c r="E1257" s="279" t="s">
        <v>2227</v>
      </c>
      <c r="F1257" s="279" t="s">
        <v>1230</v>
      </c>
      <c r="G1257" s="274">
        <v>1500000</v>
      </c>
      <c r="H1257" s="279">
        <v>1</v>
      </c>
      <c r="J1257" s="275">
        <v>150000</v>
      </c>
      <c r="K1257" s="274">
        <v>1650000</v>
      </c>
    </row>
    <row r="1258" spans="1:13" x14ac:dyDescent="0.3">
      <c r="A1258" s="58">
        <v>1256</v>
      </c>
      <c r="B1258" s="272">
        <v>45883</v>
      </c>
      <c r="C1258" s="279" t="s">
        <v>1035</v>
      </c>
      <c r="E1258" s="279" t="s">
        <v>2234</v>
      </c>
      <c r="F1258" s="279" t="s">
        <v>1236</v>
      </c>
      <c r="G1258" s="274">
        <v>600000</v>
      </c>
      <c r="H1258" s="279">
        <v>1</v>
      </c>
      <c r="K1258" s="274">
        <v>600000</v>
      </c>
    </row>
    <row r="1259" spans="1:13" x14ac:dyDescent="0.3">
      <c r="A1259" s="58">
        <v>1257</v>
      </c>
      <c r="B1259" s="272">
        <v>45883</v>
      </c>
      <c r="C1259" s="279" t="s">
        <v>1259</v>
      </c>
      <c r="E1259" s="279" t="s">
        <v>2233</v>
      </c>
      <c r="F1259" s="279" t="s">
        <v>1229</v>
      </c>
      <c r="G1259" s="274">
        <v>1000000</v>
      </c>
      <c r="H1259" s="279">
        <v>1</v>
      </c>
      <c r="J1259" s="275">
        <v>100000</v>
      </c>
      <c r="K1259" s="274">
        <v>1100000</v>
      </c>
      <c r="M1259" s="279" t="s">
        <v>3365</v>
      </c>
    </row>
    <row r="1260" spans="1:13" x14ac:dyDescent="0.3">
      <c r="A1260" s="58">
        <v>1258</v>
      </c>
      <c r="B1260" s="272">
        <v>45883</v>
      </c>
      <c r="C1260" s="279" t="s">
        <v>3367</v>
      </c>
      <c r="E1260" s="279" t="s">
        <v>1777</v>
      </c>
      <c r="G1260" s="274">
        <v>600000</v>
      </c>
      <c r="H1260" s="279">
        <v>1</v>
      </c>
      <c r="K1260" s="274">
        <v>600000</v>
      </c>
      <c r="M1260" s="279" t="s">
        <v>3368</v>
      </c>
    </row>
    <row r="1261" spans="1:13" x14ac:dyDescent="0.3">
      <c r="A1261" s="58">
        <v>1259</v>
      </c>
      <c r="B1261" s="272">
        <v>45883</v>
      </c>
      <c r="C1261" s="279" t="s">
        <v>2679</v>
      </c>
      <c r="E1261" s="279" t="s">
        <v>2648</v>
      </c>
      <c r="F1261" s="279" t="s">
        <v>2647</v>
      </c>
      <c r="G1261" s="274">
        <v>1000000</v>
      </c>
      <c r="H1261" s="279">
        <v>1</v>
      </c>
      <c r="K1261" s="274">
        <v>1000000</v>
      </c>
    </row>
    <row r="1262" spans="1:13" x14ac:dyDescent="0.3">
      <c r="A1262" s="58">
        <v>1260</v>
      </c>
      <c r="B1262" s="272">
        <v>45883</v>
      </c>
      <c r="C1262" s="279" t="s">
        <v>1027</v>
      </c>
      <c r="E1262" s="279" t="s">
        <v>1152</v>
      </c>
      <c r="L1262" s="274">
        <v>-1181000</v>
      </c>
    </row>
    <row r="1263" spans="1:13" x14ac:dyDescent="0.3">
      <c r="A1263" s="58">
        <v>1261</v>
      </c>
      <c r="B1263" s="272">
        <v>45883</v>
      </c>
      <c r="C1263" s="279" t="s">
        <v>1259</v>
      </c>
      <c r="E1263" s="279" t="s">
        <v>1152</v>
      </c>
      <c r="L1263" s="274">
        <v>-1100000</v>
      </c>
    </row>
    <row r="1264" spans="1:13" x14ac:dyDescent="0.3">
      <c r="A1264" s="58">
        <v>1262</v>
      </c>
      <c r="B1264" s="272">
        <v>45883</v>
      </c>
      <c r="C1264" s="279" t="s">
        <v>994</v>
      </c>
      <c r="E1264" s="279" t="s">
        <v>1152</v>
      </c>
      <c r="L1264" s="274">
        <v>-1650000</v>
      </c>
    </row>
    <row r="1265" spans="1:13" x14ac:dyDescent="0.3">
      <c r="A1265" s="58">
        <v>1263</v>
      </c>
      <c r="B1265" s="272">
        <v>45883</v>
      </c>
      <c r="C1265" s="279" t="s">
        <v>2475</v>
      </c>
      <c r="E1265" s="279" t="s">
        <v>2782</v>
      </c>
      <c r="G1265" s="274">
        <v>200000</v>
      </c>
      <c r="H1265" s="279">
        <v>1</v>
      </c>
      <c r="K1265" s="274">
        <v>200000</v>
      </c>
    </row>
    <row r="1266" spans="1:13" x14ac:dyDescent="0.3">
      <c r="A1266" s="58">
        <v>1264</v>
      </c>
      <c r="B1266" s="272">
        <v>45883</v>
      </c>
      <c r="C1266" s="279" t="s">
        <v>1932</v>
      </c>
      <c r="E1266" s="279" t="s">
        <v>1152</v>
      </c>
      <c r="L1266" s="274">
        <v>-1300000</v>
      </c>
    </row>
    <row r="1267" spans="1:13" x14ac:dyDescent="0.3">
      <c r="A1267" s="58">
        <v>1265</v>
      </c>
      <c r="B1267" s="272">
        <v>45884</v>
      </c>
      <c r="C1267" s="279" t="s">
        <v>1481</v>
      </c>
      <c r="E1267" s="279" t="s">
        <v>1167</v>
      </c>
      <c r="G1267" s="274">
        <v>1000000</v>
      </c>
      <c r="H1267" s="279">
        <v>1</v>
      </c>
      <c r="K1267" s="274">
        <v>1000000</v>
      </c>
      <c r="M1267" s="279">
        <v>6058008163</v>
      </c>
    </row>
    <row r="1268" spans="1:13" x14ac:dyDescent="0.3">
      <c r="A1268" s="58">
        <v>1266</v>
      </c>
      <c r="B1268" s="272">
        <v>45884</v>
      </c>
      <c r="C1268" s="279" t="s">
        <v>1431</v>
      </c>
      <c r="E1268" s="279" t="s">
        <v>2740</v>
      </c>
      <c r="G1268" s="274">
        <v>1750000</v>
      </c>
      <c r="H1268" s="279">
        <v>1</v>
      </c>
      <c r="K1268" s="274">
        <v>1750000</v>
      </c>
    </row>
    <row r="1269" spans="1:13" x14ac:dyDescent="0.3">
      <c r="A1269" s="58">
        <v>1267</v>
      </c>
      <c r="B1269" s="272">
        <v>45884</v>
      </c>
      <c r="C1269" s="279" t="s">
        <v>3380</v>
      </c>
      <c r="E1269" s="279" t="s">
        <v>2349</v>
      </c>
      <c r="G1269" s="274">
        <v>650000</v>
      </c>
      <c r="H1269" s="279">
        <v>1</v>
      </c>
      <c r="J1269" s="275">
        <v>65000</v>
      </c>
      <c r="K1269" s="274">
        <v>715000</v>
      </c>
    </row>
    <row r="1270" spans="1:13" x14ac:dyDescent="0.3">
      <c r="A1270" s="58">
        <v>1268</v>
      </c>
      <c r="B1270" s="272">
        <v>45884</v>
      </c>
      <c r="C1270" s="279" t="s">
        <v>3380</v>
      </c>
      <c r="E1270" s="279" t="s">
        <v>2959</v>
      </c>
      <c r="F1270" s="279" t="s">
        <v>2862</v>
      </c>
      <c r="G1270" s="274">
        <v>129000</v>
      </c>
      <c r="H1270" s="279">
        <v>1</v>
      </c>
      <c r="J1270" s="275">
        <v>12900</v>
      </c>
      <c r="K1270" s="274">
        <v>141900</v>
      </c>
    </row>
    <row r="1271" spans="1:13" x14ac:dyDescent="0.3">
      <c r="A1271" s="58">
        <v>1269</v>
      </c>
      <c r="B1271" s="272">
        <v>45885</v>
      </c>
      <c r="C1271" s="279" t="s">
        <v>1755</v>
      </c>
      <c r="E1271" s="279" t="s">
        <v>2234</v>
      </c>
      <c r="F1271" s="279" t="s">
        <v>1236</v>
      </c>
      <c r="G1271" s="274">
        <v>510000</v>
      </c>
      <c r="H1271" s="279">
        <v>5</v>
      </c>
      <c r="K1271" s="274">
        <v>2550000</v>
      </c>
    </row>
    <row r="1272" spans="1:13" x14ac:dyDescent="0.3">
      <c r="A1272" s="58">
        <v>1270</v>
      </c>
      <c r="B1272" s="272">
        <v>45885</v>
      </c>
      <c r="C1272" s="279" t="s">
        <v>1755</v>
      </c>
      <c r="E1272" s="279" t="s">
        <v>2235</v>
      </c>
      <c r="F1272" s="279" t="s">
        <v>1290</v>
      </c>
      <c r="G1272" s="274">
        <v>130000</v>
      </c>
      <c r="H1272" s="279">
        <v>2</v>
      </c>
      <c r="K1272" s="274">
        <v>260000</v>
      </c>
    </row>
    <row r="1273" spans="1:13" x14ac:dyDescent="0.3">
      <c r="A1273" s="58">
        <v>1271</v>
      </c>
      <c r="B1273" s="272">
        <v>45885</v>
      </c>
      <c r="C1273" s="279" t="s">
        <v>3367</v>
      </c>
      <c r="E1273" s="279" t="s">
        <v>1152</v>
      </c>
      <c r="L1273" s="274">
        <v>-600000</v>
      </c>
    </row>
    <row r="1274" spans="1:13" x14ac:dyDescent="0.3">
      <c r="A1274" s="58">
        <v>1272</v>
      </c>
      <c r="B1274" s="272">
        <v>45885</v>
      </c>
      <c r="C1274" s="279" t="s">
        <v>2475</v>
      </c>
      <c r="E1274" s="279" t="s">
        <v>1152</v>
      </c>
      <c r="L1274" s="274">
        <v>-200000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F134" sqref="F134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45884</v>
      </c>
      <c r="B3" s="242" t="s">
        <v>1153</v>
      </c>
      <c r="C3" s="297">
        <f>SUMIF($B:$B,A3,I:I)</f>
        <v>3606900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65082600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65082600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1128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1129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1130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1131</v>
      </c>
      <c r="B12" s="98">
        <v>45870</v>
      </c>
      <c r="C12" s="88" t="s">
        <v>3250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1132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1133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1134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1135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1136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1137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1138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1139</v>
      </c>
      <c r="B20" s="98">
        <v>45870</v>
      </c>
      <c r="C20" s="88" t="s">
        <v>3250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1141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1146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1147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1148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1149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1150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1151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1152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1153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1154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1155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1156</v>
      </c>
      <c r="B36" s="97">
        <v>45874</v>
      </c>
      <c r="C36" s="86" t="s">
        <v>3273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1157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1158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1159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1160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1161</v>
      </c>
      <c r="B41" s="97">
        <v>45874</v>
      </c>
      <c r="C41" s="86" t="s">
        <v>2016</v>
      </c>
      <c r="D41" s="120" t="s">
        <v>3341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1162</v>
      </c>
      <c r="B42" s="98">
        <v>45874</v>
      </c>
      <c r="C42" s="88" t="s">
        <v>1586</v>
      </c>
      <c r="D42" s="119" t="s">
        <v>3275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1163</v>
      </c>
      <c r="B43" s="98">
        <v>45874</v>
      </c>
      <c r="C43" s="88" t="s">
        <v>1586</v>
      </c>
      <c r="D43" s="119" t="s">
        <v>3276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1164</v>
      </c>
      <c r="B44" s="98">
        <v>45874</v>
      </c>
      <c r="C44" s="88" t="s">
        <v>1586</v>
      </c>
      <c r="D44" s="119" t="s">
        <v>3277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1165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1166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1167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1168</v>
      </c>
      <c r="B48" s="97">
        <v>45874</v>
      </c>
      <c r="C48" s="86" t="s">
        <v>3273</v>
      </c>
      <c r="D48" s="120" t="s">
        <v>1152</v>
      </c>
      <c r="J48" s="83">
        <v>-1500000</v>
      </c>
    </row>
    <row r="49" spans="1:10" ht="18" customHeight="1" x14ac:dyDescent="0.3">
      <c r="A49" s="85">
        <v>1169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1170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1171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1172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1173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1174</v>
      </c>
      <c r="B54" s="97">
        <v>45875</v>
      </c>
      <c r="C54" s="86" t="s">
        <v>3279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1175</v>
      </c>
      <c r="B55" s="97">
        <v>45875</v>
      </c>
      <c r="C55" s="86" t="s">
        <v>3279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1176</v>
      </c>
      <c r="B56" s="97">
        <v>45875</v>
      </c>
      <c r="C56" s="86" t="s">
        <v>1174</v>
      </c>
      <c r="D56" s="120" t="s">
        <v>3292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1177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1178</v>
      </c>
      <c r="B58" s="97">
        <v>45875</v>
      </c>
      <c r="C58" s="86" t="s">
        <v>3295</v>
      </c>
      <c r="D58" s="120" t="s">
        <v>1234</v>
      </c>
      <c r="F58" s="127">
        <v>1300000</v>
      </c>
      <c r="G58" s="88">
        <v>1</v>
      </c>
      <c r="H58" s="133" t="s">
        <v>3304</v>
      </c>
      <c r="I58" s="83">
        <v>1430000</v>
      </c>
    </row>
    <row r="59" spans="1:10" ht="18" customHeight="1" x14ac:dyDescent="0.3">
      <c r="A59" s="85">
        <v>1179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1180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1181</v>
      </c>
      <c r="B61" s="97">
        <v>45875</v>
      </c>
      <c r="C61" s="86" t="s">
        <v>1610</v>
      </c>
      <c r="D61" s="120" t="s">
        <v>3298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1182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1183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1184</v>
      </c>
      <c r="B64" s="97">
        <v>45875</v>
      </c>
      <c r="C64" s="86" t="s">
        <v>3279</v>
      </c>
      <c r="D64" s="120" t="s">
        <v>1152</v>
      </c>
      <c r="J64" s="83">
        <v>-1705000</v>
      </c>
    </row>
    <row r="65" spans="1:10" ht="18" customHeight="1" x14ac:dyDescent="0.3">
      <c r="A65" s="85">
        <v>1185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1186</v>
      </c>
      <c r="B66" s="97">
        <v>45876</v>
      </c>
      <c r="C66" s="86" t="s">
        <v>3295</v>
      </c>
      <c r="D66" s="120" t="s">
        <v>1152</v>
      </c>
      <c r="J66" s="83">
        <v>-1430000</v>
      </c>
    </row>
    <row r="67" spans="1:10" ht="18" customHeight="1" x14ac:dyDescent="0.3">
      <c r="A67" s="85">
        <v>1187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1188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1189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1190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1191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72" spans="1:10" ht="18" customHeight="1" x14ac:dyDescent="0.3">
      <c r="A72" s="85">
        <v>1192</v>
      </c>
      <c r="B72" s="97">
        <v>45876</v>
      </c>
      <c r="C72" s="86" t="s">
        <v>2475</v>
      </c>
      <c r="D72" s="120" t="s">
        <v>3342</v>
      </c>
      <c r="F72" s="127">
        <v>200000</v>
      </c>
      <c r="G72" s="88">
        <v>1</v>
      </c>
      <c r="H72" s="133">
        <v>20000</v>
      </c>
      <c r="I72" s="83">
        <v>220000</v>
      </c>
    </row>
    <row r="73" spans="1:10" ht="18" customHeight="1" x14ac:dyDescent="0.3">
      <c r="A73" s="85">
        <v>1193</v>
      </c>
      <c r="B73" s="97">
        <v>45876</v>
      </c>
      <c r="C73" s="86" t="s">
        <v>1526</v>
      </c>
      <c r="D73" s="120" t="s">
        <v>1152</v>
      </c>
      <c r="J73" s="83">
        <v>-1200000</v>
      </c>
    </row>
    <row r="74" spans="1:10" ht="18" customHeight="1" x14ac:dyDescent="0.3">
      <c r="A74" s="85">
        <v>1194</v>
      </c>
      <c r="B74" s="97">
        <v>45877</v>
      </c>
      <c r="C74" s="86" t="s">
        <v>1511</v>
      </c>
      <c r="D74" s="120" t="s">
        <v>1152</v>
      </c>
      <c r="J74" s="83">
        <v>-4338000</v>
      </c>
    </row>
    <row r="75" spans="1:10" ht="18" customHeight="1" x14ac:dyDescent="0.3">
      <c r="A75" s="85">
        <v>1195</v>
      </c>
      <c r="B75" s="97">
        <v>45877</v>
      </c>
      <c r="C75" s="86" t="s">
        <v>1755</v>
      </c>
      <c r="D75" s="120" t="s">
        <v>1152</v>
      </c>
      <c r="J75" s="83">
        <v>-4045000</v>
      </c>
    </row>
    <row r="76" spans="1:10" ht="18" customHeight="1" x14ac:dyDescent="0.3">
      <c r="A76" s="85">
        <v>1196</v>
      </c>
      <c r="B76" s="97">
        <v>45877</v>
      </c>
      <c r="C76" s="86" t="s">
        <v>2902</v>
      </c>
      <c r="D76" s="120" t="s">
        <v>1152</v>
      </c>
      <c r="J76" s="83">
        <v>-1550000</v>
      </c>
    </row>
    <row r="77" spans="1:10" ht="18" customHeight="1" x14ac:dyDescent="0.3">
      <c r="A77" s="85">
        <v>1197</v>
      </c>
      <c r="B77" s="97">
        <v>45877</v>
      </c>
      <c r="C77" s="86" t="s">
        <v>2475</v>
      </c>
      <c r="D77" s="120" t="s">
        <v>1152</v>
      </c>
      <c r="J77" s="83">
        <v>-1430000</v>
      </c>
    </row>
    <row r="78" spans="1:10" ht="18" customHeight="1" x14ac:dyDescent="0.3">
      <c r="A78" s="85">
        <v>1198</v>
      </c>
      <c r="B78" s="97">
        <v>45877</v>
      </c>
      <c r="C78" s="86" t="s">
        <v>3311</v>
      </c>
      <c r="D78" s="120" t="s">
        <v>1528</v>
      </c>
      <c r="F78" s="127">
        <v>350000</v>
      </c>
      <c r="G78" s="88">
        <v>1</v>
      </c>
      <c r="I78" s="83">
        <v>350000</v>
      </c>
    </row>
    <row r="79" spans="1:10" ht="18" customHeight="1" x14ac:dyDescent="0.3">
      <c r="A79" s="85">
        <v>1199</v>
      </c>
      <c r="B79" s="97">
        <v>45877</v>
      </c>
      <c r="C79" s="86" t="s">
        <v>3311</v>
      </c>
      <c r="D79" s="120" t="s">
        <v>1551</v>
      </c>
      <c r="F79" s="127">
        <v>20000</v>
      </c>
      <c r="G79" s="88">
        <v>1</v>
      </c>
      <c r="I79" s="83">
        <v>20000</v>
      </c>
    </row>
    <row r="80" spans="1:10" ht="18" customHeight="1" x14ac:dyDescent="0.3">
      <c r="A80" s="85">
        <v>1200</v>
      </c>
      <c r="B80" s="97">
        <v>45877</v>
      </c>
      <c r="C80" s="86" t="s">
        <v>3311</v>
      </c>
      <c r="D80" s="120" t="s">
        <v>1152</v>
      </c>
      <c r="J80" s="83">
        <v>-370000</v>
      </c>
    </row>
    <row r="81" spans="1:10" ht="18" customHeight="1" x14ac:dyDescent="0.3">
      <c r="A81" s="85">
        <v>1201</v>
      </c>
      <c r="B81" s="97">
        <v>45877</v>
      </c>
      <c r="C81" s="86" t="s">
        <v>3314</v>
      </c>
      <c r="D81" s="120" t="s">
        <v>2349</v>
      </c>
      <c r="F81" s="127">
        <v>650000</v>
      </c>
      <c r="G81" s="88">
        <v>1</v>
      </c>
      <c r="I81" s="83">
        <v>650000</v>
      </c>
    </row>
    <row r="82" spans="1:10" ht="18" customHeight="1" x14ac:dyDescent="0.3">
      <c r="A82" s="85">
        <v>1202</v>
      </c>
      <c r="B82" s="97">
        <v>45877</v>
      </c>
      <c r="C82" s="86" t="s">
        <v>3314</v>
      </c>
      <c r="D82" s="120" t="s">
        <v>1152</v>
      </c>
      <c r="J82" s="83">
        <v>-650000</v>
      </c>
    </row>
    <row r="83" spans="1:10" ht="18" customHeight="1" x14ac:dyDescent="0.3">
      <c r="A83" s="85">
        <v>1203</v>
      </c>
      <c r="B83" s="97">
        <v>45878</v>
      </c>
      <c r="C83" s="86" t="s">
        <v>1027</v>
      </c>
      <c r="D83" s="120" t="s">
        <v>2952</v>
      </c>
      <c r="F83" s="127">
        <v>550000</v>
      </c>
      <c r="G83" s="88">
        <v>1</v>
      </c>
      <c r="I83" s="83">
        <v>550000</v>
      </c>
    </row>
    <row r="84" spans="1:10" ht="18" customHeight="1" x14ac:dyDescent="0.3">
      <c r="A84" s="85">
        <v>1204</v>
      </c>
      <c r="B84" s="97">
        <v>45878</v>
      </c>
      <c r="C84" s="86" t="s">
        <v>1027</v>
      </c>
      <c r="D84" s="120" t="s">
        <v>3322</v>
      </c>
      <c r="F84" s="127">
        <v>70000</v>
      </c>
      <c r="G84" s="88">
        <v>1</v>
      </c>
      <c r="I84" s="83">
        <v>70000</v>
      </c>
    </row>
    <row r="85" spans="1:10" ht="18" customHeight="1" x14ac:dyDescent="0.3">
      <c r="A85" s="85">
        <v>1205</v>
      </c>
      <c r="B85" s="97">
        <v>45878</v>
      </c>
      <c r="C85" s="86" t="s">
        <v>1027</v>
      </c>
      <c r="D85" s="120" t="s">
        <v>1297</v>
      </c>
      <c r="F85" s="127">
        <v>50000</v>
      </c>
      <c r="G85" s="88">
        <v>1</v>
      </c>
      <c r="I85" s="83">
        <v>50000</v>
      </c>
    </row>
    <row r="86" spans="1:10" ht="18" customHeight="1" x14ac:dyDescent="0.3">
      <c r="A86" s="85">
        <v>1206</v>
      </c>
      <c r="B86" s="97">
        <v>45878</v>
      </c>
      <c r="C86" s="86" t="s">
        <v>3324</v>
      </c>
      <c r="D86" s="120" t="s">
        <v>2227</v>
      </c>
      <c r="F86" s="83">
        <v>1500000</v>
      </c>
      <c r="G86" s="88">
        <v>1</v>
      </c>
      <c r="I86" s="83">
        <v>1500000</v>
      </c>
    </row>
    <row r="87" spans="1:10" ht="18" customHeight="1" x14ac:dyDescent="0.3">
      <c r="A87" s="85">
        <v>1207</v>
      </c>
      <c r="B87" s="97">
        <v>45878</v>
      </c>
      <c r="C87" s="86" t="s">
        <v>3324</v>
      </c>
      <c r="D87" s="120" t="s">
        <v>2228</v>
      </c>
      <c r="F87" s="127">
        <v>50000</v>
      </c>
      <c r="G87" s="88">
        <v>1</v>
      </c>
      <c r="I87" s="83">
        <v>50000</v>
      </c>
    </row>
    <row r="88" spans="1:10" ht="18" customHeight="1" x14ac:dyDescent="0.3">
      <c r="A88" s="85">
        <v>1208</v>
      </c>
      <c r="B88" s="97">
        <v>45880</v>
      </c>
      <c r="C88" s="86" t="s">
        <v>1499</v>
      </c>
      <c r="D88" s="120" t="s">
        <v>1152</v>
      </c>
      <c r="F88" s="83"/>
      <c r="J88" s="83">
        <v>-4345000</v>
      </c>
    </row>
    <row r="89" spans="1:10" ht="18" customHeight="1" x14ac:dyDescent="0.3">
      <c r="A89" s="85">
        <v>1209</v>
      </c>
      <c r="B89" s="97">
        <v>45880</v>
      </c>
      <c r="C89" s="86" t="s">
        <v>2369</v>
      </c>
      <c r="D89" s="120" t="s">
        <v>1234</v>
      </c>
      <c r="F89" s="127">
        <v>1200000</v>
      </c>
      <c r="G89" s="88">
        <v>1</v>
      </c>
      <c r="H89" s="133">
        <v>120000</v>
      </c>
      <c r="I89" s="83">
        <v>1320000</v>
      </c>
    </row>
    <row r="90" spans="1:10" ht="18" customHeight="1" x14ac:dyDescent="0.3">
      <c r="A90" s="85">
        <v>1210</v>
      </c>
      <c r="B90" s="97">
        <v>45880</v>
      </c>
      <c r="C90" s="86" t="s">
        <v>1781</v>
      </c>
      <c r="D90" s="120" t="s">
        <v>2235</v>
      </c>
      <c r="F90" s="83">
        <v>130000</v>
      </c>
      <c r="G90" s="88">
        <v>1</v>
      </c>
      <c r="H90" s="133">
        <v>13000</v>
      </c>
      <c r="I90" s="83">
        <v>143000</v>
      </c>
    </row>
    <row r="91" spans="1:10" ht="18" customHeight="1" x14ac:dyDescent="0.3">
      <c r="A91" s="85">
        <v>1211</v>
      </c>
      <c r="B91" s="97">
        <v>45880</v>
      </c>
      <c r="C91" s="86" t="s">
        <v>1781</v>
      </c>
      <c r="D91" s="120" t="s">
        <v>2239</v>
      </c>
      <c r="F91" s="127">
        <v>10000</v>
      </c>
      <c r="G91" s="88">
        <v>1</v>
      </c>
      <c r="H91" s="133">
        <v>1000</v>
      </c>
      <c r="I91" s="83">
        <v>11000</v>
      </c>
    </row>
    <row r="92" spans="1:10" ht="18" customHeight="1" x14ac:dyDescent="0.3">
      <c r="A92" s="85">
        <v>1212</v>
      </c>
      <c r="B92" s="97">
        <v>45880</v>
      </c>
      <c r="C92" s="86" t="s">
        <v>1613</v>
      </c>
      <c r="D92" s="120" t="s">
        <v>1234</v>
      </c>
      <c r="F92" s="83">
        <v>1200000</v>
      </c>
      <c r="G92" s="127">
        <v>1</v>
      </c>
      <c r="H92" s="133">
        <v>120000</v>
      </c>
      <c r="I92" s="83">
        <v>1320000</v>
      </c>
    </row>
    <row r="93" spans="1:10" ht="18" customHeight="1" x14ac:dyDescent="0.3">
      <c r="A93" s="85">
        <v>1213</v>
      </c>
      <c r="B93" s="97">
        <v>45880</v>
      </c>
      <c r="C93" s="86" t="s">
        <v>1526</v>
      </c>
      <c r="D93" s="120" t="s">
        <v>2446</v>
      </c>
      <c r="F93" s="83">
        <v>1550000</v>
      </c>
      <c r="G93" s="127">
        <v>1</v>
      </c>
      <c r="I93" s="83">
        <v>1550000</v>
      </c>
    </row>
    <row r="94" spans="1:10" ht="18" customHeight="1" x14ac:dyDescent="0.3">
      <c r="A94" s="85">
        <v>1214</v>
      </c>
      <c r="B94" s="97">
        <v>45880</v>
      </c>
      <c r="C94" s="86" t="s">
        <v>1431</v>
      </c>
      <c r="D94" s="120" t="s">
        <v>1232</v>
      </c>
      <c r="F94" s="83">
        <v>1200000</v>
      </c>
      <c r="G94" s="127">
        <v>1</v>
      </c>
      <c r="I94" s="83">
        <v>1200000</v>
      </c>
    </row>
    <row r="95" spans="1:10" ht="18" customHeight="1" x14ac:dyDescent="0.3">
      <c r="A95" s="85">
        <v>1215</v>
      </c>
      <c r="B95" s="97">
        <v>45880</v>
      </c>
      <c r="C95" s="86" t="s">
        <v>1431</v>
      </c>
      <c r="D95" s="120" t="s">
        <v>1528</v>
      </c>
      <c r="F95" s="83">
        <v>350000</v>
      </c>
      <c r="G95" s="127">
        <v>1</v>
      </c>
      <c r="I95" s="83">
        <v>350000</v>
      </c>
    </row>
    <row r="96" spans="1:10" ht="18" customHeight="1" x14ac:dyDescent="0.3">
      <c r="A96" s="85">
        <v>1216</v>
      </c>
      <c r="B96" s="97">
        <v>45880</v>
      </c>
      <c r="C96" s="86" t="s">
        <v>1431</v>
      </c>
      <c r="D96" s="120" t="s">
        <v>2959</v>
      </c>
      <c r="F96" s="83">
        <v>129000</v>
      </c>
      <c r="G96" s="127">
        <v>1</v>
      </c>
      <c r="I96" s="83">
        <v>129000</v>
      </c>
    </row>
    <row r="97" spans="1:10" ht="18" customHeight="1" x14ac:dyDescent="0.3">
      <c r="A97" s="85">
        <v>1217</v>
      </c>
      <c r="B97" s="97">
        <v>45880</v>
      </c>
      <c r="C97" s="86" t="s">
        <v>1932</v>
      </c>
      <c r="D97" s="120" t="s">
        <v>1232</v>
      </c>
      <c r="F97" s="83">
        <v>1300000</v>
      </c>
      <c r="G97" s="127">
        <v>1</v>
      </c>
      <c r="I97" s="83">
        <v>1300000</v>
      </c>
    </row>
    <row r="98" spans="1:10" ht="18" customHeight="1" x14ac:dyDescent="0.3">
      <c r="A98" s="85">
        <v>1218</v>
      </c>
      <c r="B98" s="97">
        <v>45880</v>
      </c>
      <c r="C98" s="86" t="s">
        <v>3049</v>
      </c>
      <c r="D98" s="120" t="s">
        <v>2227</v>
      </c>
      <c r="F98" s="83">
        <v>1500000</v>
      </c>
      <c r="G98" s="127">
        <v>1</v>
      </c>
      <c r="I98" s="83">
        <v>1500000</v>
      </c>
    </row>
    <row r="99" spans="1:10" ht="18" customHeight="1" x14ac:dyDescent="0.3">
      <c r="A99" s="85">
        <v>1219</v>
      </c>
      <c r="B99" s="97">
        <v>45880</v>
      </c>
      <c r="C99" s="86" t="s">
        <v>3049</v>
      </c>
      <c r="D99" s="120" t="s">
        <v>1152</v>
      </c>
      <c r="F99" s="83"/>
      <c r="G99" s="127"/>
      <c r="J99" s="83">
        <v>-1500000</v>
      </c>
    </row>
    <row r="100" spans="1:10" ht="18" customHeight="1" x14ac:dyDescent="0.3">
      <c r="A100" s="85">
        <v>1220</v>
      </c>
      <c r="B100" s="97">
        <v>45881</v>
      </c>
      <c r="C100" s="86" t="s">
        <v>1499</v>
      </c>
      <c r="D100" s="120" t="s">
        <v>2066</v>
      </c>
      <c r="F100" s="83">
        <v>1500000</v>
      </c>
      <c r="G100" s="127">
        <v>1</v>
      </c>
      <c r="H100" s="133">
        <v>150000</v>
      </c>
      <c r="I100" s="83">
        <v>1650000</v>
      </c>
    </row>
    <row r="101" spans="1:10" ht="18" customHeight="1" x14ac:dyDescent="0.3">
      <c r="A101" s="85">
        <v>1221</v>
      </c>
      <c r="B101" s="97">
        <v>45881</v>
      </c>
      <c r="C101" s="86" t="s">
        <v>1505</v>
      </c>
      <c r="D101" s="120" t="s">
        <v>2234</v>
      </c>
      <c r="F101" s="83">
        <v>500000</v>
      </c>
      <c r="G101" s="127">
        <v>2</v>
      </c>
      <c r="I101" s="83">
        <v>1000000</v>
      </c>
    </row>
    <row r="102" spans="1:10" ht="18" customHeight="1" x14ac:dyDescent="0.3">
      <c r="A102" s="85">
        <v>1222</v>
      </c>
      <c r="B102" s="97">
        <v>45881</v>
      </c>
      <c r="C102" s="86" t="s">
        <v>2369</v>
      </c>
      <c r="D102" s="120" t="s">
        <v>2894</v>
      </c>
      <c r="F102" s="83">
        <v>1500000</v>
      </c>
      <c r="G102" s="127">
        <v>1</v>
      </c>
      <c r="I102" s="83">
        <v>1500000</v>
      </c>
    </row>
    <row r="103" spans="1:10" ht="18" customHeight="1" x14ac:dyDescent="0.3">
      <c r="A103" s="85">
        <v>1223</v>
      </c>
      <c r="B103" s="97">
        <v>45881</v>
      </c>
      <c r="C103" s="86" t="s">
        <v>3144</v>
      </c>
      <c r="D103" s="120" t="s">
        <v>2225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1224</v>
      </c>
      <c r="B104" s="97">
        <v>45881</v>
      </c>
      <c r="C104" s="86" t="s">
        <v>1704</v>
      </c>
      <c r="D104" s="120" t="s">
        <v>1152</v>
      </c>
      <c r="F104" s="83"/>
      <c r="G104" s="127"/>
      <c r="J104" s="83">
        <v>-1100000</v>
      </c>
    </row>
    <row r="105" spans="1:10" ht="18" customHeight="1" x14ac:dyDescent="0.3">
      <c r="A105" s="85">
        <v>1225</v>
      </c>
      <c r="B105" s="97">
        <v>45881</v>
      </c>
      <c r="C105" s="86" t="s">
        <v>2369</v>
      </c>
      <c r="D105" s="120" t="s">
        <v>1152</v>
      </c>
      <c r="F105" s="83"/>
      <c r="G105" s="127"/>
      <c r="J105" s="83">
        <v>-2820000</v>
      </c>
    </row>
    <row r="106" spans="1:10" ht="18" customHeight="1" x14ac:dyDescent="0.3">
      <c r="A106" s="85">
        <v>1226</v>
      </c>
      <c r="B106" s="97">
        <v>45881</v>
      </c>
      <c r="C106" s="86" t="s">
        <v>1844</v>
      </c>
      <c r="D106" s="120" t="s">
        <v>1152</v>
      </c>
      <c r="F106" s="83"/>
      <c r="G106" s="127"/>
      <c r="J106" s="83">
        <v>-350000</v>
      </c>
    </row>
    <row r="107" spans="1:10" ht="18" customHeight="1" x14ac:dyDescent="0.3">
      <c r="A107" s="85">
        <v>1227</v>
      </c>
      <c r="B107" s="97">
        <v>45881</v>
      </c>
      <c r="C107" s="86" t="s">
        <v>3324</v>
      </c>
      <c r="D107" s="120" t="s">
        <v>1152</v>
      </c>
      <c r="F107" s="83"/>
      <c r="G107" s="127"/>
      <c r="J107" s="83">
        <v>-1550000</v>
      </c>
    </row>
    <row r="108" spans="1:10" ht="18" customHeight="1" x14ac:dyDescent="0.3">
      <c r="A108" s="85">
        <v>1228</v>
      </c>
      <c r="B108" s="97">
        <v>45882</v>
      </c>
      <c r="C108" s="86" t="s">
        <v>1840</v>
      </c>
      <c r="D108" s="120" t="s">
        <v>2234</v>
      </c>
      <c r="F108" s="83">
        <v>526364</v>
      </c>
      <c r="G108" s="127">
        <v>1</v>
      </c>
      <c r="H108" s="133">
        <v>52636</v>
      </c>
      <c r="I108" s="83">
        <v>579000</v>
      </c>
    </row>
    <row r="109" spans="1:10" ht="18" customHeight="1" x14ac:dyDescent="0.3">
      <c r="A109" s="85">
        <v>1229</v>
      </c>
      <c r="B109" s="97">
        <v>45882</v>
      </c>
      <c r="C109" s="86" t="s">
        <v>1840</v>
      </c>
      <c r="D109" s="120" t="s">
        <v>2235</v>
      </c>
      <c r="F109" s="83">
        <v>130000</v>
      </c>
      <c r="G109" s="127">
        <v>1</v>
      </c>
      <c r="H109" s="133">
        <v>13000</v>
      </c>
      <c r="I109" s="83">
        <v>143000</v>
      </c>
    </row>
    <row r="110" spans="1:10" ht="18" customHeight="1" x14ac:dyDescent="0.3">
      <c r="A110" s="85">
        <v>1230</v>
      </c>
      <c r="B110" s="97">
        <v>45882</v>
      </c>
      <c r="C110" s="86" t="s">
        <v>1613</v>
      </c>
      <c r="D110" s="120" t="s">
        <v>2234</v>
      </c>
      <c r="F110" s="83">
        <v>526364</v>
      </c>
      <c r="G110" s="127">
        <v>1</v>
      </c>
      <c r="H110" s="133">
        <v>52636</v>
      </c>
      <c r="I110" s="83">
        <v>579000</v>
      </c>
    </row>
    <row r="111" spans="1:10" ht="18" customHeight="1" x14ac:dyDescent="0.3">
      <c r="A111" s="85">
        <v>1231</v>
      </c>
      <c r="B111" s="97">
        <v>45882</v>
      </c>
      <c r="C111" s="86" t="s">
        <v>1431</v>
      </c>
      <c r="D111" s="120" t="s">
        <v>2483</v>
      </c>
      <c r="F111" s="83">
        <v>1100000</v>
      </c>
      <c r="G111" s="127">
        <v>1</v>
      </c>
      <c r="I111" s="83">
        <v>1100000</v>
      </c>
    </row>
    <row r="112" spans="1:10" ht="18" customHeight="1" x14ac:dyDescent="0.3">
      <c r="A112" s="85">
        <v>1232</v>
      </c>
      <c r="B112" s="97">
        <v>45882</v>
      </c>
      <c r="C112" s="86" t="s">
        <v>1431</v>
      </c>
      <c r="D112" s="120" t="s">
        <v>2234</v>
      </c>
      <c r="F112" s="83">
        <v>510000</v>
      </c>
      <c r="G112" s="127">
        <v>1</v>
      </c>
      <c r="I112" s="83">
        <v>510000</v>
      </c>
    </row>
    <row r="113" spans="1:10" ht="18" customHeight="1" x14ac:dyDescent="0.3">
      <c r="A113" s="85">
        <v>1233</v>
      </c>
      <c r="B113" s="97">
        <v>45882</v>
      </c>
      <c r="C113" s="86" t="s">
        <v>1431</v>
      </c>
      <c r="D113" s="120" t="s">
        <v>2239</v>
      </c>
      <c r="F113" s="83">
        <v>10000</v>
      </c>
      <c r="G113" s="127">
        <v>1</v>
      </c>
      <c r="I113" s="83">
        <v>10000</v>
      </c>
    </row>
    <row r="114" spans="1:10" ht="18" customHeight="1" x14ac:dyDescent="0.3">
      <c r="A114" s="85">
        <v>1234</v>
      </c>
      <c r="B114" s="97">
        <v>45882</v>
      </c>
      <c r="C114" s="86" t="s">
        <v>1431</v>
      </c>
      <c r="D114" s="120" t="s">
        <v>2238</v>
      </c>
      <c r="F114" s="83">
        <v>30000</v>
      </c>
      <c r="G114" s="127">
        <v>1</v>
      </c>
      <c r="I114" s="83">
        <v>30000</v>
      </c>
    </row>
    <row r="115" spans="1:10" ht="18" customHeight="1" x14ac:dyDescent="0.3">
      <c r="A115" s="85">
        <v>1235</v>
      </c>
      <c r="B115" s="97">
        <v>45882</v>
      </c>
      <c r="C115" s="86" t="s">
        <v>1610</v>
      </c>
      <c r="D115" s="120" t="s">
        <v>2234</v>
      </c>
      <c r="F115" s="83">
        <v>526364</v>
      </c>
      <c r="G115" s="127">
        <v>1</v>
      </c>
      <c r="H115" s="133">
        <v>52636</v>
      </c>
      <c r="I115" s="83">
        <v>579000</v>
      </c>
    </row>
    <row r="116" spans="1:10" ht="18" customHeight="1" x14ac:dyDescent="0.3">
      <c r="A116" s="85">
        <v>1236</v>
      </c>
      <c r="B116" s="97">
        <v>45882</v>
      </c>
      <c r="C116" s="86" t="s">
        <v>1610</v>
      </c>
      <c r="D116" s="120" t="s">
        <v>2237</v>
      </c>
      <c r="F116" s="83">
        <v>72727</v>
      </c>
      <c r="G116" s="127">
        <v>1</v>
      </c>
      <c r="H116" s="133">
        <v>7273</v>
      </c>
      <c r="I116" s="83">
        <v>80000</v>
      </c>
    </row>
    <row r="117" spans="1:10" ht="18" customHeight="1" x14ac:dyDescent="0.3">
      <c r="A117" s="85">
        <v>1237</v>
      </c>
      <c r="B117" s="97">
        <v>45882</v>
      </c>
      <c r="C117" s="86" t="s">
        <v>1610</v>
      </c>
      <c r="D117" s="120" t="s">
        <v>2238</v>
      </c>
      <c r="F117" s="83">
        <v>32000</v>
      </c>
      <c r="G117" s="127">
        <v>1</v>
      </c>
      <c r="H117" s="133">
        <v>3200</v>
      </c>
      <c r="I117" s="83">
        <v>35200</v>
      </c>
    </row>
    <row r="118" spans="1:10" ht="18" customHeight="1" x14ac:dyDescent="0.3">
      <c r="A118" s="85">
        <v>1238</v>
      </c>
      <c r="B118" s="97">
        <v>45882</v>
      </c>
      <c r="C118" s="86" t="s">
        <v>1610</v>
      </c>
      <c r="D118" s="120" t="s">
        <v>2239</v>
      </c>
      <c r="F118" s="83">
        <v>10000</v>
      </c>
      <c r="G118" s="127">
        <v>1</v>
      </c>
      <c r="H118" s="133">
        <v>1000</v>
      </c>
      <c r="I118" s="83">
        <v>11000</v>
      </c>
    </row>
    <row r="119" spans="1:10" ht="18" customHeight="1" x14ac:dyDescent="0.3">
      <c r="A119" s="85">
        <v>1239</v>
      </c>
      <c r="B119" s="97">
        <v>45882</v>
      </c>
      <c r="C119" s="86" t="s">
        <v>1610</v>
      </c>
      <c r="D119" s="120" t="s">
        <v>2241</v>
      </c>
      <c r="F119" s="83">
        <v>600000</v>
      </c>
      <c r="G119" s="127">
        <v>1</v>
      </c>
      <c r="H119" s="133">
        <v>60000</v>
      </c>
      <c r="I119" s="83">
        <v>660000</v>
      </c>
    </row>
    <row r="120" spans="1:10" ht="18" customHeight="1" x14ac:dyDescent="0.3">
      <c r="A120" s="85">
        <v>1240</v>
      </c>
      <c r="B120" s="97">
        <v>45882</v>
      </c>
      <c r="C120" s="86" t="s">
        <v>1027</v>
      </c>
      <c r="D120" s="120" t="s">
        <v>2235</v>
      </c>
      <c r="F120" s="83">
        <v>130000</v>
      </c>
      <c r="G120" s="127">
        <v>1</v>
      </c>
      <c r="I120" s="83">
        <v>130000</v>
      </c>
    </row>
    <row r="121" spans="1:10" ht="18" customHeight="1" x14ac:dyDescent="0.3">
      <c r="A121" s="85">
        <v>1241</v>
      </c>
      <c r="B121" s="97">
        <v>45882</v>
      </c>
      <c r="C121" s="86" t="s">
        <v>1027</v>
      </c>
      <c r="D121" s="120" t="s">
        <v>2237</v>
      </c>
      <c r="F121" s="83">
        <v>80000</v>
      </c>
      <c r="G121" s="127">
        <v>1</v>
      </c>
      <c r="I121" s="83">
        <v>80000</v>
      </c>
    </row>
    <row r="122" spans="1:10" ht="18" customHeight="1" x14ac:dyDescent="0.3">
      <c r="A122" s="85">
        <v>1242</v>
      </c>
      <c r="B122" s="97">
        <v>45882</v>
      </c>
      <c r="C122" s="86" t="s">
        <v>1027</v>
      </c>
      <c r="D122" s="120" t="s">
        <v>2239</v>
      </c>
      <c r="F122" s="127">
        <v>10000</v>
      </c>
      <c r="G122" s="88">
        <v>1</v>
      </c>
      <c r="I122" s="83">
        <v>10000</v>
      </c>
    </row>
    <row r="123" spans="1:10" ht="18" customHeight="1" x14ac:dyDescent="0.3">
      <c r="A123" s="85">
        <v>1243</v>
      </c>
      <c r="B123" s="97">
        <v>45882</v>
      </c>
      <c r="C123" s="86" t="s">
        <v>1027</v>
      </c>
      <c r="D123" s="120" t="s">
        <v>2238</v>
      </c>
      <c r="F123" s="127">
        <v>35000</v>
      </c>
      <c r="G123" s="88">
        <v>1</v>
      </c>
      <c r="I123" s="83">
        <v>35000</v>
      </c>
    </row>
    <row r="124" spans="1:10" ht="18" customHeight="1" x14ac:dyDescent="0.3">
      <c r="A124" s="85">
        <v>1244</v>
      </c>
      <c r="B124" s="97">
        <v>45882</v>
      </c>
      <c r="C124" s="86" t="s">
        <v>3352</v>
      </c>
      <c r="D124" s="120" t="s">
        <v>1232</v>
      </c>
      <c r="F124" s="127">
        <v>1200000</v>
      </c>
      <c r="G124" s="88">
        <v>1</v>
      </c>
      <c r="I124" s="83">
        <v>1200000</v>
      </c>
    </row>
    <row r="125" spans="1:10" ht="18" customHeight="1" x14ac:dyDescent="0.3">
      <c r="A125" s="85">
        <v>1245</v>
      </c>
      <c r="B125" s="97">
        <v>45882</v>
      </c>
      <c r="C125" s="86" t="s">
        <v>3352</v>
      </c>
      <c r="D125" s="120" t="s">
        <v>1528</v>
      </c>
      <c r="F125" s="127">
        <v>350000</v>
      </c>
      <c r="G125" s="88">
        <v>1</v>
      </c>
      <c r="I125" s="83">
        <v>350000</v>
      </c>
    </row>
    <row r="126" spans="1:10" ht="18" customHeight="1" x14ac:dyDescent="0.3">
      <c r="A126" s="85">
        <v>1246</v>
      </c>
      <c r="B126" s="97">
        <v>45882</v>
      </c>
      <c r="C126" s="86" t="s">
        <v>3349</v>
      </c>
      <c r="D126" s="120" t="s">
        <v>3357</v>
      </c>
      <c r="F126" s="127">
        <v>100000</v>
      </c>
      <c r="G126" s="88">
        <v>1</v>
      </c>
      <c r="I126" s="83">
        <v>100000</v>
      </c>
    </row>
    <row r="127" spans="1:10" ht="18" customHeight="1" x14ac:dyDescent="0.3">
      <c r="A127" s="85">
        <v>1247</v>
      </c>
      <c r="B127" s="97">
        <v>45882</v>
      </c>
      <c r="C127" s="86" t="s">
        <v>3352</v>
      </c>
      <c r="D127" s="120" t="s">
        <v>1152</v>
      </c>
      <c r="J127" s="83">
        <v>-1550000</v>
      </c>
    </row>
    <row r="128" spans="1:10" ht="18" customHeight="1" x14ac:dyDescent="0.3">
      <c r="A128" s="85">
        <v>1248</v>
      </c>
      <c r="B128" s="97">
        <v>45882</v>
      </c>
      <c r="C128" s="86" t="s">
        <v>3349</v>
      </c>
      <c r="D128" s="120" t="s">
        <v>1152</v>
      </c>
      <c r="J128" s="83">
        <v>-100000</v>
      </c>
    </row>
    <row r="129" spans="1:10" ht="18" customHeight="1" x14ac:dyDescent="0.3">
      <c r="A129" s="85">
        <v>1249</v>
      </c>
      <c r="B129" s="97">
        <v>45881</v>
      </c>
      <c r="C129" s="86" t="s">
        <v>1499</v>
      </c>
      <c r="D129" s="120" t="s">
        <v>2066</v>
      </c>
      <c r="F129" s="127">
        <v>1500000</v>
      </c>
      <c r="G129" s="88">
        <v>-1</v>
      </c>
      <c r="H129" s="133">
        <v>-150000</v>
      </c>
      <c r="I129" s="83">
        <v>-1650000</v>
      </c>
    </row>
    <row r="130" spans="1:10" ht="18" customHeight="1" x14ac:dyDescent="0.3">
      <c r="A130" s="85">
        <v>1250</v>
      </c>
      <c r="B130" s="97">
        <v>45883</v>
      </c>
      <c r="C130" s="86" t="s">
        <v>1526</v>
      </c>
      <c r="D130" s="120" t="s">
        <v>1152</v>
      </c>
      <c r="J130" s="83">
        <v>-1550000</v>
      </c>
    </row>
    <row r="131" spans="1:10" ht="18" customHeight="1" x14ac:dyDescent="0.3">
      <c r="A131" s="85">
        <v>1251</v>
      </c>
      <c r="B131" s="97">
        <v>45883</v>
      </c>
      <c r="C131" s="86" t="s">
        <v>1511</v>
      </c>
      <c r="D131" s="120" t="s">
        <v>2234</v>
      </c>
      <c r="F131" s="127">
        <v>550000</v>
      </c>
      <c r="G131" s="88">
        <v>1</v>
      </c>
      <c r="I131" s="83">
        <v>550000</v>
      </c>
    </row>
    <row r="132" spans="1:10" ht="18" customHeight="1" x14ac:dyDescent="0.3">
      <c r="A132" s="85">
        <v>1252</v>
      </c>
      <c r="B132" s="97">
        <v>45883</v>
      </c>
      <c r="C132" s="86" t="s">
        <v>1511</v>
      </c>
      <c r="D132" s="120" t="s">
        <v>2235</v>
      </c>
      <c r="F132" s="127">
        <v>130000</v>
      </c>
      <c r="G132" s="88">
        <v>1</v>
      </c>
      <c r="I132" s="83">
        <v>130000</v>
      </c>
    </row>
    <row r="133" spans="1:10" ht="18" customHeight="1" x14ac:dyDescent="0.3">
      <c r="A133" s="85">
        <v>1253</v>
      </c>
      <c r="B133" s="97">
        <v>45883</v>
      </c>
      <c r="C133" s="86" t="s">
        <v>1511</v>
      </c>
      <c r="D133" s="120" t="s">
        <v>2239</v>
      </c>
      <c r="F133" s="127">
        <v>10000</v>
      </c>
      <c r="G133" s="88">
        <v>1</v>
      </c>
      <c r="I133" s="83">
        <v>10000</v>
      </c>
    </row>
    <row r="134" spans="1:10" ht="18" customHeight="1" x14ac:dyDescent="0.3">
      <c r="A134" s="85">
        <v>1254</v>
      </c>
      <c r="B134" s="97">
        <v>45883</v>
      </c>
      <c r="C134" s="86" t="s">
        <v>1613</v>
      </c>
      <c r="D134" s="120" t="s">
        <v>3362</v>
      </c>
      <c r="J134" s="83">
        <v>-2000000</v>
      </c>
    </row>
    <row r="135" spans="1:10" ht="18" customHeight="1" x14ac:dyDescent="0.3">
      <c r="A135" s="85">
        <v>1255</v>
      </c>
      <c r="B135" s="97">
        <v>45883</v>
      </c>
      <c r="C135" s="86" t="s">
        <v>994</v>
      </c>
      <c r="D135" s="120" t="s">
        <v>2227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1256</v>
      </c>
      <c r="B136" s="97">
        <v>45883</v>
      </c>
      <c r="C136" s="86" t="s">
        <v>1035</v>
      </c>
      <c r="D136" s="120" t="s">
        <v>2234</v>
      </c>
      <c r="F136" s="127">
        <v>600000</v>
      </c>
      <c r="G136" s="88">
        <v>1</v>
      </c>
      <c r="I136" s="83">
        <v>600000</v>
      </c>
    </row>
    <row r="137" spans="1:10" ht="18" customHeight="1" x14ac:dyDescent="0.3">
      <c r="A137" s="85">
        <v>1257</v>
      </c>
      <c r="B137" s="97">
        <v>45883</v>
      </c>
      <c r="C137" s="86" t="s">
        <v>1259</v>
      </c>
      <c r="D137" s="120" t="s">
        <v>2233</v>
      </c>
      <c r="F137" s="127">
        <v>1000000</v>
      </c>
      <c r="G137" s="88">
        <v>1</v>
      </c>
      <c r="H137" s="133">
        <v>100000</v>
      </c>
      <c r="I137" s="83">
        <v>1100000</v>
      </c>
    </row>
    <row r="138" spans="1:10" ht="18" customHeight="1" x14ac:dyDescent="0.3">
      <c r="A138" s="85">
        <v>1258</v>
      </c>
      <c r="B138" s="97">
        <v>45883</v>
      </c>
      <c r="C138" s="86" t="s">
        <v>3367</v>
      </c>
      <c r="D138" s="120" t="s">
        <v>1777</v>
      </c>
      <c r="F138" s="127">
        <v>600000</v>
      </c>
      <c r="G138" s="88">
        <v>1</v>
      </c>
      <c r="I138" s="83">
        <v>600000</v>
      </c>
    </row>
    <row r="139" spans="1:10" ht="18" customHeight="1" x14ac:dyDescent="0.3">
      <c r="A139" s="85">
        <v>1259</v>
      </c>
      <c r="B139" s="97">
        <v>45883</v>
      </c>
      <c r="C139" s="86" t="s">
        <v>2679</v>
      </c>
      <c r="D139" s="120" t="s">
        <v>2648</v>
      </c>
      <c r="F139" s="127">
        <v>1000000</v>
      </c>
      <c r="G139" s="88">
        <v>1</v>
      </c>
      <c r="I139" s="83">
        <v>1000000</v>
      </c>
    </row>
    <row r="140" spans="1:10" ht="18" customHeight="1" x14ac:dyDescent="0.3">
      <c r="A140" s="85">
        <v>1260</v>
      </c>
      <c r="B140" s="97">
        <v>45883</v>
      </c>
      <c r="C140" s="86" t="s">
        <v>1027</v>
      </c>
      <c r="D140" s="120" t="s">
        <v>1152</v>
      </c>
      <c r="J140" s="83">
        <v>-1181000</v>
      </c>
    </row>
    <row r="141" spans="1:10" ht="18" customHeight="1" x14ac:dyDescent="0.3">
      <c r="A141" s="85">
        <v>1261</v>
      </c>
      <c r="B141" s="97">
        <v>45883</v>
      </c>
      <c r="C141" s="86" t="s">
        <v>1259</v>
      </c>
      <c r="D141" s="120" t="s">
        <v>1152</v>
      </c>
      <c r="J141" s="83">
        <v>-1100000</v>
      </c>
    </row>
    <row r="142" spans="1:10" ht="18" customHeight="1" x14ac:dyDescent="0.3">
      <c r="A142" s="85">
        <v>1262</v>
      </c>
      <c r="B142" s="97">
        <v>45883</v>
      </c>
      <c r="C142" s="86" t="s">
        <v>994</v>
      </c>
      <c r="D142" s="120" t="s">
        <v>1152</v>
      </c>
      <c r="J142" s="83">
        <v>-1650000</v>
      </c>
    </row>
    <row r="143" spans="1:10" ht="18" customHeight="1" x14ac:dyDescent="0.3">
      <c r="A143" s="85">
        <v>1263</v>
      </c>
      <c r="B143" s="97">
        <v>45883</v>
      </c>
      <c r="C143" s="86" t="s">
        <v>2475</v>
      </c>
      <c r="D143" s="120" t="s">
        <v>2782</v>
      </c>
      <c r="F143" s="127">
        <v>200000</v>
      </c>
      <c r="G143" s="88">
        <v>1</v>
      </c>
      <c r="I143" s="83">
        <v>200000</v>
      </c>
    </row>
    <row r="144" spans="1:10" ht="18" customHeight="1" x14ac:dyDescent="0.3">
      <c r="A144" s="85">
        <v>1264</v>
      </c>
      <c r="B144" s="97">
        <v>45883</v>
      </c>
      <c r="C144" s="86" t="s">
        <v>1932</v>
      </c>
      <c r="D144" s="120" t="s">
        <v>1152</v>
      </c>
      <c r="J144" s="83">
        <v>-1300000</v>
      </c>
    </row>
    <row r="145" spans="1:9" ht="18" customHeight="1" x14ac:dyDescent="0.3">
      <c r="A145" s="85">
        <v>1265</v>
      </c>
      <c r="B145" s="97">
        <v>45884</v>
      </c>
      <c r="C145" s="86" t="s">
        <v>1481</v>
      </c>
      <c r="D145" s="120" t="s">
        <v>1167</v>
      </c>
      <c r="F145" s="127">
        <v>1000000</v>
      </c>
      <c r="G145" s="88">
        <v>1</v>
      </c>
      <c r="I145" s="83">
        <v>1000000</v>
      </c>
    </row>
    <row r="146" spans="1:9" ht="18" customHeight="1" x14ac:dyDescent="0.3">
      <c r="A146" s="85">
        <v>1266</v>
      </c>
      <c r="B146" s="97">
        <v>45884</v>
      </c>
      <c r="C146" s="86" t="s">
        <v>1431</v>
      </c>
      <c r="D146" s="120" t="s">
        <v>2740</v>
      </c>
      <c r="F146" s="127">
        <v>1750000</v>
      </c>
      <c r="G146" s="88">
        <v>1</v>
      </c>
      <c r="I146" s="83">
        <v>1750000</v>
      </c>
    </row>
    <row r="147" spans="1:9" ht="18" customHeight="1" x14ac:dyDescent="0.3">
      <c r="A147" s="85">
        <v>1267</v>
      </c>
      <c r="B147" s="97">
        <v>45884</v>
      </c>
      <c r="C147" s="86" t="s">
        <v>3380</v>
      </c>
      <c r="D147" s="120" t="s">
        <v>2349</v>
      </c>
      <c r="F147" s="127">
        <v>650000</v>
      </c>
      <c r="G147" s="88">
        <v>1</v>
      </c>
      <c r="H147" s="133">
        <v>65000</v>
      </c>
      <c r="I147" s="83">
        <v>715000</v>
      </c>
    </row>
    <row r="148" spans="1:9" ht="18" customHeight="1" x14ac:dyDescent="0.3">
      <c r="A148" s="85">
        <v>1268</v>
      </c>
      <c r="B148" s="97">
        <v>45884</v>
      </c>
      <c r="C148" s="86" t="s">
        <v>3380</v>
      </c>
      <c r="D148" s="120" t="s">
        <v>2959</v>
      </c>
      <c r="F148" s="127">
        <v>129000</v>
      </c>
      <c r="G148" s="88">
        <v>1</v>
      </c>
      <c r="H148" s="133">
        <v>12900</v>
      </c>
      <c r="I148" s="83">
        <v>141900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8</v>
      </c>
    </row>
    <row r="3" spans="1:6" x14ac:dyDescent="0.3">
      <c r="B3" t="s">
        <v>1070</v>
      </c>
      <c r="C3" s="52">
        <f>SUMIF(BTS_매출관리!C:C,B3,BTS_매출관리!I:I)</f>
        <v>2840000</v>
      </c>
      <c r="D3">
        <f t="shared" si="0"/>
        <v>3</v>
      </c>
    </row>
    <row r="4" spans="1:6" x14ac:dyDescent="0.3">
      <c r="B4" t="s">
        <v>1333</v>
      </c>
      <c r="C4" s="52">
        <f>SUMIF(BTS_매출관리!C:C,B4,BTS_매출관리!I:I)</f>
        <v>8369000</v>
      </c>
      <c r="D4">
        <f t="shared" si="0"/>
        <v>1</v>
      </c>
    </row>
    <row r="5" spans="1:6" x14ac:dyDescent="0.3">
      <c r="B5" t="s">
        <v>1318</v>
      </c>
      <c r="C5" s="52">
        <f>SUMIF(BTS_매출관리!C:C,B5,BTS_매출관리!I:I)</f>
        <v>1899000</v>
      </c>
      <c r="D5">
        <f t="shared" si="0"/>
        <v>7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37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23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24</v>
      </c>
    </row>
    <row r="9" spans="1:6" x14ac:dyDescent="0.3">
      <c r="B9" t="s">
        <v>1321</v>
      </c>
      <c r="C9" s="52">
        <f>SUMIF(BTS_매출관리!C:C,B9,BTS_매출관리!I:I)</f>
        <v>660000</v>
      </c>
      <c r="D9">
        <f t="shared" si="0"/>
        <v>32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37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37</v>
      </c>
    </row>
    <row r="12" spans="1:6" x14ac:dyDescent="0.3">
      <c r="B12" t="s">
        <v>1348</v>
      </c>
      <c r="C12" s="52">
        <f>SUMIF(BTS_매출관리!C:C,B12,BTS_매출관리!I:I)</f>
        <v>690000</v>
      </c>
      <c r="D12">
        <f t="shared" si="0"/>
        <v>30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37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37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1640200</v>
      </c>
      <c r="D15">
        <f t="shared" si="0"/>
        <v>13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37</v>
      </c>
    </row>
    <row r="17" spans="2:4" x14ac:dyDescent="0.3">
      <c r="B17" t="s">
        <v>2548</v>
      </c>
      <c r="C17" s="52">
        <f>SUMIF(BTS_매출관리!C:C,B17,BTS_매출관리!I:I)</f>
        <v>2820000</v>
      </c>
      <c r="D17">
        <f t="shared" si="0"/>
        <v>4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37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37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37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37</v>
      </c>
    </row>
    <row r="22" spans="2:4" x14ac:dyDescent="0.3">
      <c r="B22" t="s">
        <v>1352</v>
      </c>
      <c r="C22" s="52">
        <f>SUMIF(BTS_매출관리!C:C,B22,BTS_매출관리!I:I)</f>
        <v>1000000</v>
      </c>
      <c r="D22">
        <f t="shared" si="0"/>
        <v>26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14</v>
      </c>
    </row>
    <row r="24" spans="2:4" x14ac:dyDescent="0.3">
      <c r="B24" t="s">
        <v>1035</v>
      </c>
      <c r="C24" s="52">
        <f>SUMIF(BTS_매출관리!C:C,B24,BTS_매출관리!I:I)</f>
        <v>670000</v>
      </c>
      <c r="D24">
        <f t="shared" si="0"/>
        <v>31</v>
      </c>
    </row>
    <row r="25" spans="2:4" x14ac:dyDescent="0.3">
      <c r="B25" t="s">
        <v>1384</v>
      </c>
      <c r="C25" s="52">
        <f>SUMIF(BTS_매출관리!C:C,B25,BTS_매출관리!I:I)</f>
        <v>2029500</v>
      </c>
      <c r="D25">
        <f t="shared" si="0"/>
        <v>6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37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37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37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37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37</v>
      </c>
    </row>
    <row r="31" spans="2:4" x14ac:dyDescent="0.3">
      <c r="B31" t="s">
        <v>1365</v>
      </c>
      <c r="C31" s="52">
        <f>SUMIF(BTS_매출관리!C:C,B31,BTS_매출관리!I:I)</f>
        <v>1000000</v>
      </c>
      <c r="D31">
        <f t="shared" si="0"/>
        <v>26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37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35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37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37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37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37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37</v>
      </c>
    </row>
    <row r="39" spans="2:4" x14ac:dyDescent="0.3">
      <c r="B39" t="s">
        <v>1027</v>
      </c>
      <c r="C39" s="52">
        <f>SUMIF(BTS_매출관리!C:C,B39,BTS_매출관리!I:I)</f>
        <v>925000</v>
      </c>
      <c r="D39">
        <f t="shared" si="0"/>
        <v>28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37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37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37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20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37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37</v>
      </c>
    </row>
    <row r="46" spans="2:4" x14ac:dyDescent="0.3">
      <c r="B46" t="s">
        <v>2418</v>
      </c>
      <c r="C46" s="52">
        <f>SUMIF(BTS_매출관리!C:C,B46,BTS_매출관리!I:I)</f>
        <v>1650000</v>
      </c>
      <c r="D46">
        <f t="shared" si="0"/>
        <v>10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18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37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37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37</v>
      </c>
    </row>
    <row r="51" spans="2:4" x14ac:dyDescent="0.3">
      <c r="B51" t="s">
        <v>1372</v>
      </c>
      <c r="C51" s="52">
        <f>SUMIF(BTS_매출관리!C:C,B51,BTS_매출관리!I:I)</f>
        <v>4500000</v>
      </c>
      <c r="D51">
        <f t="shared" si="0"/>
        <v>2</v>
      </c>
    </row>
    <row r="52" spans="2:4" x14ac:dyDescent="0.3">
      <c r="B52" t="s">
        <v>1327</v>
      </c>
      <c r="C52" s="52">
        <f>SUMIF(BTS_매출관리!C:C,B52,BTS_매출관리!I:I)</f>
        <v>1300000</v>
      </c>
      <c r="D52">
        <f t="shared" si="0"/>
        <v>22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37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37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37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37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37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37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37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37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37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37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37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37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10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37</v>
      </c>
    </row>
    <row r="67" spans="2:4" x14ac:dyDescent="0.3">
      <c r="B67" t="s">
        <v>1380</v>
      </c>
      <c r="C67" s="52">
        <f>SUMIF(BTS_매출관리!C:C,B67,BTS_매출관리!I:I)</f>
        <v>722000</v>
      </c>
      <c r="D67">
        <f t="shared" si="1"/>
        <v>29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21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37</v>
      </c>
    </row>
    <row r="70" spans="2:4" x14ac:dyDescent="0.3">
      <c r="B70" t="s">
        <v>1357</v>
      </c>
      <c r="C70" s="52">
        <f>SUMIF(BTS_매출관리!C:C,B70,BTS_매출관리!I:I)</f>
        <v>2750000</v>
      </c>
      <c r="D70">
        <f t="shared" si="1"/>
        <v>5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37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37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37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37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37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37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37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37</v>
      </c>
    </row>
    <row r="79" spans="2:4" x14ac:dyDescent="0.3">
      <c r="B79" t="s">
        <v>1259</v>
      </c>
      <c r="C79" s="52">
        <f>SUMIF(BTS_매출관리!C:C,B79,BTS_매출관리!I:I)</f>
        <v>1100000</v>
      </c>
      <c r="D79">
        <f t="shared" si="1"/>
        <v>24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37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37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37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37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37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37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37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37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37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37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37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37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37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36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37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37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37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37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37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37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37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37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37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37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37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37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37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37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37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37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37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37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37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37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37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37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9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37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19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37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37</v>
      </c>
    </row>
    <row r="121" spans="2:4" x14ac:dyDescent="0.3">
      <c r="B121" t="s">
        <v>1265</v>
      </c>
      <c r="C121" s="52">
        <f>SUMIF(BTS_매출관리!C:C,B121,BTS_매출관리!I:I)</f>
        <v>600000</v>
      </c>
      <c r="D121">
        <f t="shared" si="1"/>
        <v>33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37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37</v>
      </c>
    </row>
    <row r="124" spans="2:4" x14ac:dyDescent="0.3">
      <c r="B124" t="s">
        <v>1328</v>
      </c>
      <c r="C124" s="52">
        <f>SUMIF(BTS_매출관리!C:C,B124,BTS_매출관리!I:I)</f>
        <v>370000</v>
      </c>
      <c r="D124">
        <f t="shared" si="1"/>
        <v>34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37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16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37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37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37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37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37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37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17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37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37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37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37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37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37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37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37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37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37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37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37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37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37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37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37</v>
      </c>
    </row>
    <row r="151" spans="2:4" x14ac:dyDescent="0.3">
      <c r="B151" t="s">
        <v>1032</v>
      </c>
      <c r="C151" s="52">
        <f>SUMIF(BTS_매출관리!C:C,B151,BTS_매출관리!I:I)</f>
        <v>1650000</v>
      </c>
      <c r="D151">
        <f t="shared" si="2"/>
        <v>10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37</v>
      </c>
    </row>
    <row r="153" spans="2:4" x14ac:dyDescent="0.3">
      <c r="B153" t="s">
        <v>1391</v>
      </c>
      <c r="C153" s="52">
        <f>SUMIF(BTS_매출관리!C:C,B153,BTS_매출관리!I:I)</f>
        <v>1550000</v>
      </c>
      <c r="D153">
        <f t="shared" si="2"/>
        <v>14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37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37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37</v>
      </c>
    </row>
    <row r="157" spans="2:4" x14ac:dyDescent="0.3">
      <c r="C157" s="52">
        <f>SUMIF(BTS_매출관리!C:C,B157,BTS_매출관리!I:I)</f>
        <v>0</v>
      </c>
      <c r="D157">
        <f t="shared" si="2"/>
        <v>37</v>
      </c>
    </row>
    <row r="158" spans="2:4" x14ac:dyDescent="0.3">
      <c r="C158" s="52">
        <f>SUMIF(BTS_매출관리!C:C,B158,BTS_매출관리!I:I)</f>
        <v>0</v>
      </c>
      <c r="D158">
        <f t="shared" si="2"/>
        <v>37</v>
      </c>
    </row>
    <row r="159" spans="2:4" x14ac:dyDescent="0.3">
      <c r="C159" s="52">
        <f>SUMIF(BTS_매출관리!C:C,B159,BTS_매출관리!I:I)</f>
        <v>0</v>
      </c>
      <c r="D159">
        <f t="shared" si="2"/>
        <v>37</v>
      </c>
    </row>
    <row r="160" spans="2:4" x14ac:dyDescent="0.3">
      <c r="C160" s="52">
        <f>SUMIF(BTS_매출관리!C:C,B160,BTS_매출관리!I:I)</f>
        <v>0</v>
      </c>
      <c r="D160">
        <f t="shared" si="2"/>
        <v>37</v>
      </c>
    </row>
    <row r="161" spans="3:4" x14ac:dyDescent="0.3">
      <c r="C161" s="52">
        <f>SUMIF(BTS_매출관리!C:C,B161,BTS_매출관리!I:I)</f>
        <v>0</v>
      </c>
      <c r="D161">
        <f t="shared" si="2"/>
        <v>37</v>
      </c>
    </row>
    <row r="162" spans="3:4" x14ac:dyDescent="0.3">
      <c r="C162" s="52">
        <f>SUMIF(BTS_매출관리!C:C,B162,BTS_매출관리!I:I)</f>
        <v>0</v>
      </c>
      <c r="D162">
        <f t="shared" si="2"/>
        <v>37</v>
      </c>
    </row>
    <row r="163" spans="3:4" x14ac:dyDescent="0.3">
      <c r="C163" s="52">
        <f>SUMIF(BTS_매출관리!C:C,B163,BTS_매출관리!I:I)</f>
        <v>0</v>
      </c>
      <c r="D163">
        <f t="shared" si="2"/>
        <v>37</v>
      </c>
    </row>
    <row r="164" spans="3:4" x14ac:dyDescent="0.3">
      <c r="C164" s="52">
        <f>SUMIF(BTS_매출관리!C:C,B164,BTS_매출관리!I:I)</f>
        <v>0</v>
      </c>
      <c r="D164">
        <f t="shared" si="2"/>
        <v>37</v>
      </c>
    </row>
    <row r="165" spans="3:4" x14ac:dyDescent="0.3">
      <c r="C165" s="52">
        <f>SUMIF(BTS_매출관리!C:C,B165,BTS_매출관리!I:I)</f>
        <v>0</v>
      </c>
      <c r="D165">
        <f t="shared" si="2"/>
        <v>37</v>
      </c>
    </row>
    <row r="166" spans="3:4" x14ac:dyDescent="0.3">
      <c r="C166" s="52">
        <f>SUMIF(BTS_매출관리!C:C,B166,BTS_매출관리!I:I)</f>
        <v>0</v>
      </c>
      <c r="D166">
        <f t="shared" si="2"/>
        <v>37</v>
      </c>
    </row>
    <row r="167" spans="3:4" x14ac:dyDescent="0.3">
      <c r="C167" s="52">
        <f>SUMIF(BTS_매출관리!C:C,B167,BTS_매출관리!I:I)</f>
        <v>0</v>
      </c>
      <c r="D167">
        <f t="shared" si="2"/>
        <v>37</v>
      </c>
    </row>
    <row r="168" spans="3:4" x14ac:dyDescent="0.3">
      <c r="C168" s="52">
        <f>SUMIF(BTS_매출관리!C:C,B168,BTS_매출관리!I:I)</f>
        <v>0</v>
      </c>
      <c r="D168">
        <f t="shared" si="2"/>
        <v>37</v>
      </c>
    </row>
    <row r="169" spans="3:4" x14ac:dyDescent="0.3">
      <c r="C169" s="52">
        <f>SUMIF(BTS_매출관리!C:C,B169,BTS_매출관리!I:I)</f>
        <v>0</v>
      </c>
      <c r="D169">
        <f t="shared" si="2"/>
        <v>37</v>
      </c>
    </row>
    <row r="170" spans="3:4" x14ac:dyDescent="0.3">
      <c r="C170" s="52">
        <f>SUMIF(BTS_매출관리!C:C,B170,BTS_매출관리!I:I)</f>
        <v>0</v>
      </c>
      <c r="D170">
        <f t="shared" si="2"/>
        <v>37</v>
      </c>
    </row>
    <row r="171" spans="3:4" x14ac:dyDescent="0.3">
      <c r="C171" s="52">
        <f>SUMIF(BTS_매출관리!C:C,B171,BTS_매출관리!I:I)</f>
        <v>0</v>
      </c>
      <c r="D171">
        <f t="shared" si="2"/>
        <v>37</v>
      </c>
    </row>
    <row r="172" spans="3:4" x14ac:dyDescent="0.3">
      <c r="C172" s="52">
        <f>SUMIF(BTS_매출관리!C:C,B172,BTS_매출관리!I:I)</f>
        <v>0</v>
      </c>
      <c r="D172">
        <f t="shared" si="2"/>
        <v>37</v>
      </c>
    </row>
    <row r="173" spans="3:4" x14ac:dyDescent="0.3">
      <c r="C173" s="52">
        <f>SUMIF(BTS_매출관리!C:C,B173,BTS_매출관리!I:I)</f>
        <v>0</v>
      </c>
      <c r="D173">
        <f t="shared" si="2"/>
        <v>37</v>
      </c>
    </row>
    <row r="174" spans="3:4" x14ac:dyDescent="0.3">
      <c r="C174" s="52">
        <f>SUMIF(BTS_매출관리!C:C,B174,BTS_매출관리!I:I)</f>
        <v>0</v>
      </c>
      <c r="D174">
        <f t="shared" si="2"/>
        <v>37</v>
      </c>
    </row>
    <row r="175" spans="3:4" x14ac:dyDescent="0.3">
      <c r="C175" s="52">
        <f>SUMIF(BTS_매출관리!C:C,B175,BTS_매출관리!I:I)</f>
        <v>0</v>
      </c>
      <c r="D175">
        <f t="shared" si="2"/>
        <v>37</v>
      </c>
    </row>
    <row r="176" spans="3:4" x14ac:dyDescent="0.3">
      <c r="C176" s="52">
        <f>SUMIF(BTS_매출관리!C:C,B176,BTS_매출관리!I:I)</f>
        <v>0</v>
      </c>
      <c r="D176">
        <f t="shared" si="2"/>
        <v>37</v>
      </c>
    </row>
    <row r="177" spans="3:4" x14ac:dyDescent="0.3">
      <c r="C177" s="52">
        <f>SUMIF(BTS_매출관리!C:C,B177,BTS_매출관리!I:I)</f>
        <v>0</v>
      </c>
      <c r="D177">
        <f t="shared" si="2"/>
        <v>37</v>
      </c>
    </row>
    <row r="178" spans="3:4" x14ac:dyDescent="0.3">
      <c r="C178" s="52">
        <f>SUMIF(BTS_매출관리!C:C,B178,BTS_매출관리!I:I)</f>
        <v>0</v>
      </c>
      <c r="D178">
        <f t="shared" si="2"/>
        <v>37</v>
      </c>
    </row>
    <row r="179" spans="3:4" x14ac:dyDescent="0.3">
      <c r="C179" s="52">
        <f>SUMIF(BTS_매출관리!C:C,B179,BTS_매출관리!I:I)</f>
        <v>0</v>
      </c>
      <c r="D179">
        <f t="shared" si="2"/>
        <v>37</v>
      </c>
    </row>
    <row r="180" spans="3:4" x14ac:dyDescent="0.3">
      <c r="C180" s="52">
        <f>SUMIF(BTS_매출관리!C:C,B180,BTS_매출관리!I:I)</f>
        <v>0</v>
      </c>
      <c r="D180">
        <f t="shared" si="2"/>
        <v>37</v>
      </c>
    </row>
    <row r="181" spans="3:4" x14ac:dyDescent="0.3">
      <c r="C181" s="52">
        <f>SUMIF(BTS_매출관리!C:C,B181,BTS_매출관리!I:I)</f>
        <v>0</v>
      </c>
      <c r="D181">
        <f t="shared" si="2"/>
        <v>37</v>
      </c>
    </row>
    <row r="182" spans="3:4" x14ac:dyDescent="0.3">
      <c r="C182" s="52">
        <f>SUMIF(BTS_매출관리!C:C,B182,BTS_매출관리!I:I)</f>
        <v>0</v>
      </c>
      <c r="D182">
        <f t="shared" si="2"/>
        <v>37</v>
      </c>
    </row>
    <row r="183" spans="3:4" x14ac:dyDescent="0.3">
      <c r="C183" s="52">
        <f>SUMIF(BTS_매출관리!C:C,B183,BTS_매출관리!I:I)</f>
        <v>0</v>
      </c>
      <c r="D183">
        <f t="shared" si="2"/>
        <v>37</v>
      </c>
    </row>
    <row r="184" spans="3:4" x14ac:dyDescent="0.3">
      <c r="C184" s="52">
        <f>SUMIF(BTS_매출관리!C:C,B184,BTS_매출관리!I:I)</f>
        <v>0</v>
      </c>
      <c r="D184">
        <f t="shared" si="2"/>
        <v>37</v>
      </c>
    </row>
    <row r="185" spans="3:4" x14ac:dyDescent="0.3">
      <c r="C185" s="52">
        <f>SUMIF(BTS_매출관리!C:C,B185,BTS_매출관리!I:I)</f>
        <v>0</v>
      </c>
      <c r="D185">
        <f t="shared" si="2"/>
        <v>37</v>
      </c>
    </row>
    <row r="186" spans="3:4" x14ac:dyDescent="0.3">
      <c r="C186" s="52">
        <f>SUMIF(BTS_매출관리!C:C,B186,BTS_매출관리!I:I)</f>
        <v>0</v>
      </c>
      <c r="D186">
        <f t="shared" si="2"/>
        <v>37</v>
      </c>
    </row>
    <row r="187" spans="3:4" x14ac:dyDescent="0.3">
      <c r="C187" s="52">
        <f>SUMIF(BTS_매출관리!C:C,B187,BTS_매출관리!I:I)</f>
        <v>0</v>
      </c>
      <c r="D187">
        <f t="shared" si="2"/>
        <v>37</v>
      </c>
    </row>
    <row r="188" spans="3:4" x14ac:dyDescent="0.3">
      <c r="C188" s="52">
        <f>SUMIF(BTS_매출관리!C:C,B188,BTS_매출관리!I:I)</f>
        <v>0</v>
      </c>
      <c r="D188">
        <f t="shared" si="2"/>
        <v>37</v>
      </c>
    </row>
    <row r="189" spans="3:4" x14ac:dyDescent="0.3">
      <c r="C189" s="52">
        <f>SUMIF(BTS_매출관리!C:C,B189,BTS_매출관리!I:I)</f>
        <v>0</v>
      </c>
      <c r="D189">
        <f t="shared" si="2"/>
        <v>37</v>
      </c>
    </row>
    <row r="190" spans="3:4" x14ac:dyDescent="0.3">
      <c r="C190" s="52">
        <f>SUMIF(BTS_매출관리!C:C,B190,BTS_매출관리!I:I)</f>
        <v>0</v>
      </c>
      <c r="D190">
        <f t="shared" si="2"/>
        <v>37</v>
      </c>
    </row>
    <row r="191" spans="3:4" x14ac:dyDescent="0.3">
      <c r="C191" s="52">
        <f>SUMIF(BTS_매출관리!C:C,B191,BTS_매출관리!I:I)</f>
        <v>0</v>
      </c>
      <c r="D191">
        <f t="shared" si="2"/>
        <v>37</v>
      </c>
    </row>
    <row r="192" spans="3:4" x14ac:dyDescent="0.3">
      <c r="C192" s="52">
        <f>SUMIF(BTS_매출관리!C:C,B192,BTS_매출관리!I:I)</f>
        <v>0</v>
      </c>
      <c r="D192">
        <f t="shared" si="2"/>
        <v>37</v>
      </c>
    </row>
    <row r="193" spans="3:4" x14ac:dyDescent="0.3">
      <c r="C193" s="52">
        <f>SUMIF(BTS_매출관리!C:C,B193,BTS_매출관리!I:I)</f>
        <v>0</v>
      </c>
      <c r="D193">
        <f t="shared" si="2"/>
        <v>37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37</v>
      </c>
    </row>
    <row r="195" spans="3:4" x14ac:dyDescent="0.3">
      <c r="C195" s="52">
        <f>SUMIF(BTS_매출관리!C:C,B195,BTS_매출관리!I:I)</f>
        <v>0</v>
      </c>
      <c r="D195">
        <f t="shared" si="3"/>
        <v>37</v>
      </c>
    </row>
    <row r="196" spans="3:4" x14ac:dyDescent="0.3">
      <c r="C196" s="52">
        <f>SUMIF(BTS_매출관리!C:C,B196,BTS_매출관리!I:I)</f>
        <v>0</v>
      </c>
      <c r="D196">
        <f t="shared" si="3"/>
        <v>37</v>
      </c>
    </row>
    <row r="197" spans="3:4" x14ac:dyDescent="0.3">
      <c r="C197" s="52">
        <f>SUMIF(BTS_매출관리!C:C,B197,BTS_매출관리!I:I)</f>
        <v>0</v>
      </c>
      <c r="D197">
        <f t="shared" si="3"/>
        <v>37</v>
      </c>
    </row>
    <row r="198" spans="3:4" x14ac:dyDescent="0.3">
      <c r="C198" s="52">
        <f>SUMIF(BTS_매출관리!C:C,B198,BTS_매출관리!I:I)</f>
        <v>0</v>
      </c>
      <c r="D198">
        <f t="shared" si="3"/>
        <v>37</v>
      </c>
    </row>
    <row r="199" spans="3:4" x14ac:dyDescent="0.3">
      <c r="C199" s="52">
        <f>SUMIF(BTS_매출관리!C:C,B199,BTS_매출관리!I:I)</f>
        <v>0</v>
      </c>
      <c r="D199">
        <f t="shared" si="3"/>
        <v>37</v>
      </c>
    </row>
    <row r="200" spans="3:4" x14ac:dyDescent="0.3">
      <c r="C200" s="52">
        <f>SUMIF(BTS_매출관리!C:C,B200,BTS_매출관리!I:I)</f>
        <v>0</v>
      </c>
      <c r="D200">
        <f t="shared" si="3"/>
        <v>37</v>
      </c>
    </row>
    <row r="201" spans="3:4" x14ac:dyDescent="0.3">
      <c r="C201" s="52">
        <f>SUMIF(BTS_매출관리!C:C,B201,BTS_매출관리!I:I)</f>
        <v>0</v>
      </c>
      <c r="D201">
        <f t="shared" si="3"/>
        <v>37</v>
      </c>
    </row>
    <row r="202" spans="3:4" x14ac:dyDescent="0.3">
      <c r="C202" s="52">
        <f>SUMIF(BTS_매출관리!C:C,B202,BTS_매출관리!I:I)</f>
        <v>0</v>
      </c>
      <c r="D202">
        <f t="shared" si="3"/>
        <v>37</v>
      </c>
    </row>
    <row r="203" spans="3:4" x14ac:dyDescent="0.3">
      <c r="C203" s="52">
        <f>SUMIF(BTS_매출관리!C:C,B203,BTS_매출관리!I:I)</f>
        <v>0</v>
      </c>
      <c r="D203">
        <f t="shared" si="3"/>
        <v>37</v>
      </c>
    </row>
    <row r="204" spans="3:4" x14ac:dyDescent="0.3">
      <c r="C204" s="52">
        <f>SUMIF(BTS_매출관리!C:C,B204,BTS_매출관리!I:I)</f>
        <v>0</v>
      </c>
      <c r="D204">
        <f t="shared" si="3"/>
        <v>37</v>
      </c>
    </row>
    <row r="205" spans="3:4" x14ac:dyDescent="0.3">
      <c r="C205" s="52">
        <f>SUMIF(BTS_매출관리!C:C,B205,BTS_매출관리!I:I)</f>
        <v>0</v>
      </c>
      <c r="D205">
        <f t="shared" si="3"/>
        <v>37</v>
      </c>
    </row>
    <row r="206" spans="3:4" x14ac:dyDescent="0.3">
      <c r="C206" s="52">
        <f>SUMIF(BTS_매출관리!C:C,B206,BTS_매출관리!I:I)</f>
        <v>0</v>
      </c>
      <c r="D206">
        <f t="shared" si="3"/>
        <v>37</v>
      </c>
    </row>
    <row r="207" spans="3:4" x14ac:dyDescent="0.3">
      <c r="C207" s="52">
        <f>SUMIF(BTS_매출관리!C:C,B207,BTS_매출관리!I:I)</f>
        <v>0</v>
      </c>
      <c r="D207">
        <f t="shared" si="3"/>
        <v>37</v>
      </c>
    </row>
    <row r="208" spans="3:4" x14ac:dyDescent="0.3">
      <c r="C208" s="52">
        <f>SUMIF(BTS_매출관리!C:C,B208,BTS_매출관리!I:I)</f>
        <v>0</v>
      </c>
      <c r="D208">
        <f t="shared" si="3"/>
        <v>37</v>
      </c>
    </row>
    <row r="209" spans="3:4" x14ac:dyDescent="0.3">
      <c r="C209" s="52">
        <f>SUMIF(BTS_매출관리!C:C,B209,BTS_매출관리!I:I)</f>
        <v>0</v>
      </c>
      <c r="D209">
        <f t="shared" si="3"/>
        <v>37</v>
      </c>
    </row>
    <row r="210" spans="3:4" x14ac:dyDescent="0.3">
      <c r="C210" s="52">
        <f>SUMIF(BTS_매출관리!C:C,B210,BTS_매출관리!I:I)</f>
        <v>0</v>
      </c>
      <c r="D210">
        <f t="shared" si="3"/>
        <v>37</v>
      </c>
    </row>
    <row r="211" spans="3:4" x14ac:dyDescent="0.3">
      <c r="C211" s="52">
        <f>SUMIF(BTS_매출관리!C:C,B211,BTS_매출관리!I:I)</f>
        <v>0</v>
      </c>
      <c r="D211">
        <f t="shared" si="3"/>
        <v>37</v>
      </c>
    </row>
    <row r="212" spans="3:4" x14ac:dyDescent="0.3">
      <c r="C212" s="52">
        <f>SUMIF(BTS_매출관리!C:C,B212,BTS_매출관리!I:I)</f>
        <v>0</v>
      </c>
      <c r="D212">
        <f t="shared" si="3"/>
        <v>37</v>
      </c>
    </row>
    <row r="213" spans="3:4" x14ac:dyDescent="0.3">
      <c r="C213" s="52">
        <f>SUMIF(BTS_매출관리!C:C,B213,BTS_매출관리!I:I)</f>
        <v>0</v>
      </c>
      <c r="D213">
        <f t="shared" si="3"/>
        <v>37</v>
      </c>
    </row>
    <row r="214" spans="3:4" x14ac:dyDescent="0.3">
      <c r="C214" s="52">
        <f>SUMIF(BTS_매출관리!C:C,B214,BTS_매출관리!I:I)</f>
        <v>0</v>
      </c>
      <c r="D214">
        <f t="shared" si="3"/>
        <v>37</v>
      </c>
    </row>
    <row r="215" spans="3:4" x14ac:dyDescent="0.3">
      <c r="C215" s="52">
        <f>SUMIF(BTS_매출관리!C:C,B215,BTS_매출관리!I:I)</f>
        <v>0</v>
      </c>
      <c r="D215">
        <f t="shared" si="3"/>
        <v>37</v>
      </c>
    </row>
    <row r="216" spans="3:4" x14ac:dyDescent="0.3">
      <c r="C216" s="52">
        <f>SUMIF(BTS_매출관리!C:C,B216,BTS_매출관리!I:I)</f>
        <v>0</v>
      </c>
      <c r="D216">
        <f t="shared" si="3"/>
        <v>37</v>
      </c>
    </row>
    <row r="217" spans="3:4" x14ac:dyDescent="0.3">
      <c r="C217" s="52">
        <f>SUMIF(BTS_매출관리!C:C,B217,BTS_매출관리!I:I)</f>
        <v>0</v>
      </c>
      <c r="D217">
        <f t="shared" si="3"/>
        <v>37</v>
      </c>
    </row>
    <row r="218" spans="3:4" x14ac:dyDescent="0.3">
      <c r="C218" s="52">
        <f>SUMIF(BTS_매출관리!C:C,B218,BTS_매출관리!I:I)</f>
        <v>0</v>
      </c>
      <c r="D218">
        <f t="shared" si="3"/>
        <v>37</v>
      </c>
    </row>
    <row r="219" spans="3:4" x14ac:dyDescent="0.3">
      <c r="C219" s="52">
        <f>SUMIF(BTS_매출관리!C:C,B219,BTS_매출관리!I:I)</f>
        <v>0</v>
      </c>
      <c r="D219">
        <f t="shared" si="3"/>
        <v>37</v>
      </c>
    </row>
    <row r="220" spans="3:4" x14ac:dyDescent="0.3">
      <c r="C220" s="52">
        <f>SUMIF(BTS_매출관리!C:C,B220,BTS_매출관리!I:I)</f>
        <v>0</v>
      </c>
      <c r="D220">
        <f t="shared" si="3"/>
        <v>37</v>
      </c>
    </row>
    <row r="221" spans="3:4" x14ac:dyDescent="0.3">
      <c r="C221" s="52">
        <f>SUMIF(BTS_매출관리!C:C,B221,BTS_매출관리!I:I)</f>
        <v>0</v>
      </c>
      <c r="D221">
        <f t="shared" si="3"/>
        <v>37</v>
      </c>
    </row>
    <row r="222" spans="3:4" x14ac:dyDescent="0.3">
      <c r="C222" s="52">
        <f>SUMIF(BTS_매출관리!C:C,B222,BTS_매출관리!I:I)</f>
        <v>0</v>
      </c>
      <c r="D222">
        <f t="shared" si="3"/>
        <v>37</v>
      </c>
    </row>
    <row r="223" spans="3:4" x14ac:dyDescent="0.3">
      <c r="C223" s="52">
        <f>SUMIF(BTS_매출관리!C:C,B223,BTS_매출관리!I:I)</f>
        <v>0</v>
      </c>
      <c r="D223">
        <f t="shared" si="3"/>
        <v>37</v>
      </c>
    </row>
    <row r="224" spans="3:4" x14ac:dyDescent="0.3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I64" sqref="I6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41" t="s">
        <v>2</v>
      </c>
      <c r="B1" s="446" t="s">
        <v>2372</v>
      </c>
      <c r="C1" s="444" t="s">
        <v>2604</v>
      </c>
      <c r="D1" s="441" t="s">
        <v>2633</v>
      </c>
      <c r="E1" s="441" t="s">
        <v>40</v>
      </c>
      <c r="F1" s="441" t="s">
        <v>2811</v>
      </c>
      <c r="G1" s="441"/>
      <c r="H1" s="441" t="s">
        <v>2812</v>
      </c>
      <c r="I1" s="441"/>
      <c r="J1" s="441" t="s">
        <v>2813</v>
      </c>
      <c r="K1" s="441"/>
      <c r="L1" s="286"/>
    </row>
    <row r="2" spans="1:15" ht="17.25" thickBot="1" x14ac:dyDescent="0.35">
      <c r="A2" s="442"/>
      <c r="B2" s="447"/>
      <c r="C2" s="445"/>
      <c r="D2" s="442"/>
      <c r="E2" s="442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7" si="0">L3/F3/1.1</f>
        <v>278181.81818181818</v>
      </c>
      <c r="H3" s="290">
        <f t="shared" ref="H3:H67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8" si="3">H4*10%</f>
        <v>2181.8181818181815</v>
      </c>
      <c r="J4" s="261">
        <f t="shared" ref="J4:J68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3207</v>
      </c>
      <c r="D49" s="259" t="s">
        <v>3208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3211</v>
      </c>
      <c r="E51" s="259" t="s">
        <v>2614</v>
      </c>
      <c r="F51" s="296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3209</v>
      </c>
      <c r="D52" s="259" t="s">
        <v>3210</v>
      </c>
      <c r="E52" s="259" t="s">
        <v>2614</v>
      </c>
      <c r="F52" s="296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3211</v>
      </c>
      <c r="E53" s="259" t="s">
        <v>2614</v>
      </c>
      <c r="F53" s="296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3212</v>
      </c>
      <c r="D54" s="259" t="s">
        <v>3213</v>
      </c>
      <c r="E54" s="259" t="s">
        <v>2614</v>
      </c>
      <c r="F54" s="296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>
        <v>45881</v>
      </c>
      <c r="C55" s="259" t="s">
        <v>2619</v>
      </c>
      <c r="D55" s="259" t="s">
        <v>2610</v>
      </c>
      <c r="E55" s="259" t="s">
        <v>2614</v>
      </c>
      <c r="F55" s="296">
        <v>1</v>
      </c>
      <c r="G55" s="260">
        <f t="shared" si="0"/>
        <v>486363.63636363635</v>
      </c>
      <c r="H55" s="261">
        <f t="shared" si="1"/>
        <v>486363.63636363635</v>
      </c>
      <c r="I55" s="261">
        <f t="shared" si="3"/>
        <v>48636.36363636364</v>
      </c>
      <c r="J55" s="261">
        <f t="shared" si="4"/>
        <v>0</v>
      </c>
      <c r="K55" s="261"/>
      <c r="L55" s="262">
        <v>535000</v>
      </c>
    </row>
    <row r="56" spans="1:12" ht="18" customHeight="1" x14ac:dyDescent="0.3">
      <c r="A56" s="258">
        <v>54</v>
      </c>
      <c r="B56" s="264">
        <v>45881</v>
      </c>
      <c r="C56" s="259" t="s">
        <v>2625</v>
      </c>
      <c r="D56" s="259" t="s">
        <v>2622</v>
      </c>
      <c r="E56" s="259" t="s">
        <v>2614</v>
      </c>
      <c r="F56" s="296">
        <v>1</v>
      </c>
      <c r="G56" s="260">
        <f t="shared" si="0"/>
        <v>218727.27272727271</v>
      </c>
      <c r="H56" s="261">
        <f t="shared" si="1"/>
        <v>218727.27272727271</v>
      </c>
      <c r="I56" s="261">
        <f t="shared" si="3"/>
        <v>21872.727272727272</v>
      </c>
      <c r="J56" s="261">
        <f t="shared" si="4"/>
        <v>0</v>
      </c>
      <c r="K56" s="261"/>
      <c r="L56" s="262">
        <v>240600</v>
      </c>
    </row>
    <row r="57" spans="1:12" ht="18" customHeight="1" x14ac:dyDescent="0.3">
      <c r="A57" s="258">
        <v>55</v>
      </c>
      <c r="B57" s="264">
        <v>45881</v>
      </c>
      <c r="C57" s="259" t="s">
        <v>2621</v>
      </c>
      <c r="D57" s="259" t="s">
        <v>2622</v>
      </c>
      <c r="E57" s="259" t="s">
        <v>2614</v>
      </c>
      <c r="F57" s="296">
        <v>1</v>
      </c>
      <c r="G57" s="260">
        <f t="shared" si="0"/>
        <v>22454.545454545452</v>
      </c>
      <c r="H57" s="261">
        <f t="shared" si="1"/>
        <v>22454.545454545452</v>
      </c>
      <c r="I57" s="261">
        <f t="shared" si="3"/>
        <v>2245.4545454545455</v>
      </c>
      <c r="J57" s="261">
        <f t="shared" si="4"/>
        <v>0</v>
      </c>
      <c r="K57" s="261"/>
      <c r="L57" s="262">
        <v>24700</v>
      </c>
    </row>
    <row r="58" spans="1:12" ht="18" customHeight="1" x14ac:dyDescent="0.3">
      <c r="A58" s="258">
        <v>56</v>
      </c>
      <c r="B58" s="264">
        <v>45881</v>
      </c>
      <c r="C58" s="259" t="s">
        <v>2620</v>
      </c>
      <c r="D58" s="259" t="s">
        <v>2610</v>
      </c>
      <c r="E58" s="259" t="s">
        <v>2614</v>
      </c>
      <c r="F58" s="296">
        <v>1</v>
      </c>
      <c r="G58" s="260">
        <f t="shared" si="0"/>
        <v>116363.63636363635</v>
      </c>
      <c r="H58" s="261">
        <f t="shared" si="1"/>
        <v>116363.63636363635</v>
      </c>
      <c r="I58" s="261">
        <f t="shared" si="3"/>
        <v>11636.363636363636</v>
      </c>
      <c r="J58" s="261">
        <f t="shared" si="4"/>
        <v>0</v>
      </c>
      <c r="K58" s="261"/>
      <c r="L58" s="262">
        <v>128000</v>
      </c>
    </row>
    <row r="59" spans="1:12" ht="18" customHeight="1" x14ac:dyDescent="0.3">
      <c r="A59" s="258">
        <v>57</v>
      </c>
      <c r="B59" s="264">
        <v>45881</v>
      </c>
      <c r="C59" s="259" t="s">
        <v>2615</v>
      </c>
      <c r="D59" s="259" t="s">
        <v>2616</v>
      </c>
      <c r="E59" s="259" t="s">
        <v>2614</v>
      </c>
      <c r="F59" s="296">
        <v>1</v>
      </c>
      <c r="G59" s="260">
        <f t="shared" si="0"/>
        <v>61818.181818181816</v>
      </c>
      <c r="H59" s="261">
        <f t="shared" si="1"/>
        <v>61818.181818181816</v>
      </c>
      <c r="I59" s="261">
        <f t="shared" si="3"/>
        <v>6181.818181818182</v>
      </c>
      <c r="J59" s="261">
        <f t="shared" si="4"/>
        <v>0</v>
      </c>
      <c r="K59" s="261">
        <f>J59*10%</f>
        <v>0</v>
      </c>
      <c r="L59" s="262">
        <v>68000</v>
      </c>
    </row>
    <row r="60" spans="1:12" ht="18" customHeight="1" x14ac:dyDescent="0.3">
      <c r="A60" s="258">
        <v>58</v>
      </c>
      <c r="B60" s="264">
        <v>45881</v>
      </c>
      <c r="C60" s="259" t="s">
        <v>2609</v>
      </c>
      <c r="D60" s="259" t="s">
        <v>2610</v>
      </c>
      <c r="E60" s="259" t="s">
        <v>2614</v>
      </c>
      <c r="F60" s="296">
        <v>1</v>
      </c>
      <c r="G60" s="260">
        <f t="shared" si="0"/>
        <v>777272.72727272718</v>
      </c>
      <c r="H60" s="261">
        <f t="shared" si="1"/>
        <v>777272.72727272718</v>
      </c>
      <c r="I60" s="261">
        <f t="shared" si="3"/>
        <v>77727.272727272721</v>
      </c>
      <c r="J60" s="261">
        <f t="shared" si="4"/>
        <v>0</v>
      </c>
      <c r="K60" s="261"/>
      <c r="L60" s="262">
        <v>855000</v>
      </c>
    </row>
    <row r="61" spans="1:12" ht="18" customHeight="1" x14ac:dyDescent="0.3">
      <c r="A61" s="258">
        <v>60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61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62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63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>
        <f>J64*10%</f>
        <v>0</v>
      </c>
      <c r="L64" s="262"/>
    </row>
    <row r="65" spans="1:12" ht="18" customHeight="1" x14ac:dyDescent="0.3">
      <c r="A65" s="258">
        <v>64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/>
      <c r="L65" s="262"/>
    </row>
    <row r="66" spans="1:12" ht="18" customHeight="1" x14ac:dyDescent="0.3">
      <c r="A66" s="258">
        <v>65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66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67</v>
      </c>
      <c r="B68" s="264"/>
      <c r="C68" s="259"/>
      <c r="D68" s="259"/>
      <c r="E68" s="259" t="s">
        <v>2614</v>
      </c>
      <c r="F68" s="260">
        <v>1</v>
      </c>
      <c r="G68" s="260">
        <f t="shared" ref="G68:G131" si="6">L68/F68/1.1</f>
        <v>0</v>
      </c>
      <c r="H68" s="261">
        <f t="shared" ref="H68:H131" si="7">F68*G68</f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68</v>
      </c>
      <c r="B69" s="264"/>
      <c r="C69" s="259"/>
      <c r="D69" s="259"/>
      <c r="E69" s="259" t="s">
        <v>2614</v>
      </c>
      <c r="F69" s="260">
        <v>1</v>
      </c>
      <c r="G69" s="260">
        <f t="shared" si="6"/>
        <v>0</v>
      </c>
      <c r="H69" s="261">
        <f t="shared" si="7"/>
        <v>0</v>
      </c>
      <c r="I69" s="261">
        <f t="shared" ref="I69:I132" si="8">H69*10%</f>
        <v>0</v>
      </c>
      <c r="J69" s="261">
        <f t="shared" ref="J69:J132" si="9">IF(E69="매출",F69*G69,0)</f>
        <v>0</v>
      </c>
      <c r="K69" s="261"/>
      <c r="L69" s="262"/>
    </row>
    <row r="70" spans="1:12" ht="18" customHeight="1" x14ac:dyDescent="0.3">
      <c r="A70" s="258">
        <v>69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si="8"/>
        <v>0</v>
      </c>
      <c r="J70" s="261">
        <f t="shared" si="9"/>
        <v>0</v>
      </c>
      <c r="K70" s="261">
        <f>J70*10%</f>
        <v>0</v>
      </c>
      <c r="L70" s="262"/>
    </row>
    <row r="71" spans="1:12" ht="18" customHeight="1" x14ac:dyDescent="0.3">
      <c r="A71" s="258">
        <v>70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/>
      <c r="L71" s="262"/>
    </row>
    <row r="72" spans="1:12" ht="18" customHeight="1" x14ac:dyDescent="0.3">
      <c r="A72" s="258">
        <v>71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72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73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74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75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>
        <f>J76*10%</f>
        <v>0</v>
      </c>
      <c r="L76" s="262"/>
    </row>
    <row r="77" spans="1:12" ht="18" customHeight="1" x14ac:dyDescent="0.3">
      <c r="A77" s="258">
        <v>76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/>
      <c r="L77" s="262"/>
    </row>
    <row r="78" spans="1:12" ht="18" customHeight="1" x14ac:dyDescent="0.3">
      <c r="A78" s="258">
        <v>77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78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79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80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81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>
        <f>J82*10%</f>
        <v>0</v>
      </c>
      <c r="L82" s="262"/>
    </row>
    <row r="83" spans="1:12" ht="18" customHeight="1" x14ac:dyDescent="0.3">
      <c r="A83" s="258"/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/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>
        <f>J88*10%</f>
        <v>0</v>
      </c>
      <c r="L88" s="262"/>
    </row>
    <row r="89" spans="1:12" ht="18" customHeight="1" x14ac:dyDescent="0.3">
      <c r="A89" s="258"/>
      <c r="B89" s="264"/>
      <c r="C89" s="259"/>
      <c r="D89" s="259"/>
      <c r="E89" s="259" t="s">
        <v>2611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/>
      <c r="L89" s="262"/>
    </row>
    <row r="90" spans="1:12" ht="18" customHeight="1" x14ac:dyDescent="0.3">
      <c r="A90" s="258"/>
      <c r="B90" s="264"/>
      <c r="C90" s="259"/>
      <c r="D90" s="259"/>
      <c r="E90" s="259" t="s">
        <v>2614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>
        <f>J94*10%</f>
        <v>0</v>
      </c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/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>
        <f>J100*10%</f>
        <v>0</v>
      </c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/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>
        <f>J106*10%</f>
        <v>0</v>
      </c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/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>
        <f>J112*10%</f>
        <v>0</v>
      </c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/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>
        <f>J118*10%</f>
        <v>0</v>
      </c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/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>
        <f>J124*10%</f>
        <v>0</v>
      </c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/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>
        <f>J130*10%</f>
        <v>0</v>
      </c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/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ref="G132:G148" si="10">L132/F132/1.1</f>
        <v>0</v>
      </c>
      <c r="H132" s="261">
        <f t="shared" ref="H132:H148" si="11">F132*G132</f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si="10"/>
        <v>0</v>
      </c>
      <c r="H133" s="261">
        <f t="shared" si="11"/>
        <v>0</v>
      </c>
      <c r="I133" s="261">
        <f t="shared" ref="I133:I148" si="12">H133*10%</f>
        <v>0</v>
      </c>
      <c r="J133" s="261">
        <f t="shared" ref="J133:J148" si="13">IF(E133="매출",F133*G133,0)</f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si="12"/>
        <v>0</v>
      </c>
      <c r="J134" s="261">
        <f t="shared" si="13"/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/>
      <c r="F135" s="260"/>
      <c r="G135" s="260" t="e">
        <f t="shared" si="10"/>
        <v>#DIV/0!</v>
      </c>
      <c r="H135" s="261" t="e">
        <f t="shared" si="11"/>
        <v>#DIV/0!</v>
      </c>
      <c r="I135" s="261" t="e">
        <f t="shared" si="12"/>
        <v>#DIV/0!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>
        <f>J136*10%</f>
        <v>0</v>
      </c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/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>
        <f>J142*10%</f>
        <v>0</v>
      </c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/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>
        <f>J148*10%</f>
        <v>0</v>
      </c>
      <c r="L148" s="262"/>
    </row>
    <row r="149" spans="1:12" ht="37.5" customHeight="1" x14ac:dyDescent="0.3">
      <c r="A149" s="258"/>
      <c r="B149" s="443" t="s">
        <v>2632</v>
      </c>
      <c r="C149" s="443"/>
      <c r="D149" s="443"/>
      <c r="E149" s="443"/>
      <c r="F149" s="443"/>
      <c r="G149" s="443"/>
      <c r="H149" s="263" t="e">
        <f>SUM(H3:H148)</f>
        <v>#DIV/0!</v>
      </c>
      <c r="I149" s="263" t="e">
        <f>SUM(I3:I148)</f>
        <v>#DIV/0!</v>
      </c>
      <c r="J149" s="263">
        <f>SUM(J3:J148)</f>
        <v>0</v>
      </c>
      <c r="K149" s="263">
        <f>SUM(K3:K148)</f>
        <v>0</v>
      </c>
      <c r="L149" s="262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0"/>
      <c r="B1" s="321"/>
      <c r="C1" s="321"/>
      <c r="D1" s="321"/>
      <c r="E1" s="321"/>
      <c r="F1" s="321"/>
      <c r="G1" s="321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2" t="s">
        <v>1226</v>
      </c>
      <c r="R1" s="322"/>
      <c r="S1" s="430"/>
      <c r="T1" s="430"/>
      <c r="U1" s="431"/>
    </row>
    <row r="2" spans="1:21" x14ac:dyDescent="0.3">
      <c r="A2" s="300" t="s">
        <v>70</v>
      </c>
      <c r="B2" s="301"/>
      <c r="C2" s="302" t="s">
        <v>2271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 x14ac:dyDescent="0.3">
      <c r="A3" s="375" t="s">
        <v>1194</v>
      </c>
      <c r="B3" s="37" t="s">
        <v>64</v>
      </c>
      <c r="C3" s="497" t="s">
        <v>1573</v>
      </c>
      <c r="D3" s="498"/>
      <c r="E3" s="498"/>
      <c r="F3" s="498"/>
      <c r="G3" s="498"/>
      <c r="H3" s="498"/>
      <c r="I3" s="498"/>
      <c r="J3" s="499"/>
      <c r="K3" s="381" t="s">
        <v>1195</v>
      </c>
      <c r="L3" s="37" t="s">
        <v>64</v>
      </c>
      <c r="M3" s="483" t="s">
        <v>970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 x14ac:dyDescent="0.3">
      <c r="A4" s="376"/>
      <c r="B4" s="37" t="s">
        <v>66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66</v>
      </c>
      <c r="M4" s="390" t="s">
        <v>968</v>
      </c>
      <c r="N4" s="391"/>
      <c r="O4" s="391"/>
      <c r="P4" s="391"/>
      <c r="Q4" s="391"/>
      <c r="R4" s="392"/>
      <c r="S4" s="38" t="s">
        <v>67</v>
      </c>
      <c r="T4" s="463" t="s">
        <v>78</v>
      </c>
      <c r="U4" s="464"/>
    </row>
    <row r="5" spans="1:21" ht="15.75" customHeight="1" x14ac:dyDescent="0.3">
      <c r="A5" s="376"/>
      <c r="B5" s="38" t="s">
        <v>65</v>
      </c>
      <c r="C5" s="390" t="s">
        <v>1111</v>
      </c>
      <c r="D5" s="391"/>
      <c r="E5" s="391"/>
      <c r="F5" s="391"/>
      <c r="G5" s="391"/>
      <c r="H5" s="391"/>
      <c r="I5" s="391"/>
      <c r="J5" s="392"/>
      <c r="K5" s="382"/>
      <c r="L5" s="38" t="s">
        <v>65</v>
      </c>
      <c r="M5" s="390" t="s">
        <v>79</v>
      </c>
      <c r="N5" s="391"/>
      <c r="O5" s="391"/>
      <c r="P5" s="391"/>
      <c r="Q5" s="391"/>
      <c r="R5" s="391"/>
      <c r="S5" s="391"/>
      <c r="T5" s="391"/>
      <c r="U5" s="393"/>
    </row>
    <row r="6" spans="1:21" ht="15.75" customHeight="1" x14ac:dyDescent="0.3">
      <c r="A6" s="377"/>
      <c r="B6" s="38" t="s">
        <v>80</v>
      </c>
      <c r="C6" s="390" t="s">
        <v>1110</v>
      </c>
      <c r="D6" s="391"/>
      <c r="E6" s="391"/>
      <c r="F6" s="391"/>
      <c r="G6" s="391"/>
      <c r="H6" s="391"/>
      <c r="I6" s="391"/>
      <c r="J6" s="392"/>
      <c r="K6" s="383"/>
      <c r="L6" s="38" t="s">
        <v>80</v>
      </c>
      <c r="M6" s="390" t="s">
        <v>71</v>
      </c>
      <c r="N6" s="391"/>
      <c r="O6" s="391"/>
      <c r="P6" s="391"/>
      <c r="Q6" s="391"/>
      <c r="R6" s="392"/>
      <c r="S6" s="38" t="s">
        <v>26</v>
      </c>
      <c r="T6" s="390" t="s">
        <v>980</v>
      </c>
      <c r="U6" s="393"/>
    </row>
    <row r="7" spans="1:21" ht="15.75" customHeight="1" x14ac:dyDescent="0.3">
      <c r="A7" s="309" t="s">
        <v>75</v>
      </c>
      <c r="B7" s="310"/>
      <c r="C7" s="310"/>
      <c r="D7" s="310"/>
      <c r="E7" s="372"/>
      <c r="F7" s="373" t="s">
        <v>83</v>
      </c>
      <c r="G7" s="310"/>
      <c r="H7" s="310"/>
      <c r="I7" s="372"/>
      <c r="J7" s="373" t="s">
        <v>72</v>
      </c>
      <c r="K7" s="372"/>
      <c r="L7" s="373" t="s">
        <v>46</v>
      </c>
      <c r="M7" s="310"/>
      <c r="N7" s="310"/>
      <c r="O7" s="310"/>
      <c r="P7" s="372"/>
      <c r="Q7" s="373" t="s">
        <v>73</v>
      </c>
      <c r="R7" s="310"/>
      <c r="S7" s="372"/>
      <c r="T7" s="373" t="s">
        <v>74</v>
      </c>
      <c r="U7" s="374"/>
    </row>
    <row r="8" spans="1:21" ht="15" customHeight="1" x14ac:dyDescent="0.3">
      <c r="A8" s="500" t="s">
        <v>1158</v>
      </c>
      <c r="B8" s="501"/>
      <c r="C8" s="501"/>
      <c r="D8" s="501"/>
      <c r="E8" s="502"/>
      <c r="F8" s="503"/>
      <c r="G8" s="501"/>
      <c r="H8" s="501"/>
      <c r="I8" s="502"/>
      <c r="J8" s="419">
        <v>1</v>
      </c>
      <c r="K8" s="418"/>
      <c r="L8" s="504">
        <v>1000000</v>
      </c>
      <c r="M8" s="505"/>
      <c r="N8" s="505"/>
      <c r="O8" s="505"/>
      <c r="P8" s="506"/>
      <c r="Q8" s="504">
        <v>1000000</v>
      </c>
      <c r="R8" s="505"/>
      <c r="S8" s="506"/>
      <c r="T8" s="423"/>
      <c r="U8" s="424"/>
    </row>
    <row r="9" spans="1:21" ht="15" customHeight="1" x14ac:dyDescent="0.3">
      <c r="A9" s="490"/>
      <c r="B9" s="491"/>
      <c r="C9" s="491"/>
      <c r="D9" s="491"/>
      <c r="E9" s="492"/>
      <c r="F9" s="493"/>
      <c r="G9" s="491"/>
      <c r="H9" s="491"/>
      <c r="I9" s="492"/>
      <c r="J9" s="408"/>
      <c r="K9" s="407"/>
      <c r="L9" s="487"/>
      <c r="M9" s="488"/>
      <c r="N9" s="488"/>
      <c r="O9" s="488"/>
      <c r="P9" s="489"/>
      <c r="Q9" s="487"/>
      <c r="R9" s="488"/>
      <c r="S9" s="489"/>
      <c r="T9" s="412"/>
      <c r="U9" s="413"/>
    </row>
    <row r="10" spans="1:21" ht="15" customHeight="1" x14ac:dyDescent="0.3">
      <c r="A10" s="490"/>
      <c r="B10" s="491"/>
      <c r="C10" s="491"/>
      <c r="D10" s="491"/>
      <c r="E10" s="492"/>
      <c r="F10" s="493"/>
      <c r="G10" s="491"/>
      <c r="H10" s="491"/>
      <c r="I10" s="492"/>
      <c r="J10" s="408"/>
      <c r="K10" s="407"/>
      <c r="L10" s="487"/>
      <c r="M10" s="488"/>
      <c r="N10" s="488"/>
      <c r="O10" s="488"/>
      <c r="P10" s="489"/>
      <c r="Q10" s="487"/>
      <c r="R10" s="488"/>
      <c r="S10" s="489"/>
      <c r="T10" s="412"/>
      <c r="U10" s="413"/>
    </row>
    <row r="11" spans="1:21" ht="15" customHeight="1" x14ac:dyDescent="0.3">
      <c r="A11" s="490"/>
      <c r="B11" s="491"/>
      <c r="C11" s="491"/>
      <c r="D11" s="491"/>
      <c r="E11" s="492"/>
      <c r="F11" s="493"/>
      <c r="G11" s="491"/>
      <c r="H11" s="491"/>
      <c r="I11" s="492"/>
      <c r="J11" s="408"/>
      <c r="K11" s="407"/>
      <c r="L11" s="487"/>
      <c r="M11" s="488"/>
      <c r="N11" s="488"/>
      <c r="O11" s="488"/>
      <c r="P11" s="489"/>
      <c r="Q11" s="487"/>
      <c r="R11" s="488"/>
      <c r="S11" s="489"/>
      <c r="T11" s="412"/>
      <c r="U11" s="413"/>
    </row>
    <row r="12" spans="1:21" ht="15" customHeight="1" x14ac:dyDescent="0.3">
      <c r="A12" s="490"/>
      <c r="B12" s="491"/>
      <c r="C12" s="491"/>
      <c r="D12" s="491"/>
      <c r="E12" s="492"/>
      <c r="F12" s="493"/>
      <c r="G12" s="491"/>
      <c r="H12" s="491"/>
      <c r="I12" s="492"/>
      <c r="J12" s="408"/>
      <c r="K12" s="407"/>
      <c r="L12" s="487"/>
      <c r="M12" s="488"/>
      <c r="N12" s="488"/>
      <c r="O12" s="488"/>
      <c r="P12" s="489"/>
      <c r="Q12" s="487"/>
      <c r="R12" s="488"/>
      <c r="S12" s="489"/>
      <c r="T12" s="412"/>
      <c r="U12" s="413"/>
    </row>
    <row r="13" spans="1:21" ht="15" customHeight="1" x14ac:dyDescent="0.3">
      <c r="A13" s="490"/>
      <c r="B13" s="491"/>
      <c r="C13" s="491"/>
      <c r="D13" s="491"/>
      <c r="E13" s="492"/>
      <c r="F13" s="494"/>
      <c r="G13" s="495"/>
      <c r="H13" s="495"/>
      <c r="I13" s="496"/>
      <c r="J13" s="408"/>
      <c r="K13" s="407"/>
      <c r="L13" s="487"/>
      <c r="M13" s="488"/>
      <c r="N13" s="488"/>
      <c r="O13" s="488"/>
      <c r="P13" s="489"/>
      <c r="Q13" s="487"/>
      <c r="R13" s="488"/>
      <c r="S13" s="489"/>
      <c r="T13" s="412"/>
      <c r="U13" s="413"/>
    </row>
    <row r="14" spans="1:21" ht="15" customHeight="1" x14ac:dyDescent="0.3">
      <c r="A14" s="490"/>
      <c r="B14" s="491"/>
      <c r="C14" s="491"/>
      <c r="D14" s="491"/>
      <c r="E14" s="492"/>
      <c r="F14" s="493"/>
      <c r="G14" s="491"/>
      <c r="H14" s="491"/>
      <c r="I14" s="492"/>
      <c r="J14" s="408"/>
      <c r="K14" s="407"/>
      <c r="L14" s="487"/>
      <c r="M14" s="488"/>
      <c r="N14" s="488"/>
      <c r="O14" s="488"/>
      <c r="P14" s="489"/>
      <c r="Q14" s="487"/>
      <c r="R14" s="488"/>
      <c r="S14" s="489"/>
      <c r="T14" s="412"/>
      <c r="U14" s="413"/>
    </row>
    <row r="15" spans="1:21" ht="15" customHeight="1" x14ac:dyDescent="0.3">
      <c r="A15" s="405"/>
      <c r="B15" s="406"/>
      <c r="C15" s="406"/>
      <c r="D15" s="406"/>
      <c r="E15" s="407"/>
      <c r="F15" s="408"/>
      <c r="G15" s="406"/>
      <c r="H15" s="406"/>
      <c r="I15" s="407"/>
      <c r="J15" s="408"/>
      <c r="K15" s="407"/>
      <c r="L15" s="477"/>
      <c r="M15" s="478"/>
      <c r="N15" s="478"/>
      <c r="O15" s="478"/>
      <c r="P15" s="479"/>
      <c r="Q15" s="477"/>
      <c r="R15" s="478"/>
      <c r="S15" s="479"/>
      <c r="T15" s="412"/>
      <c r="U15" s="413"/>
    </row>
    <row r="16" spans="1:21" ht="15" customHeight="1" x14ac:dyDescent="0.3">
      <c r="A16" s="405"/>
      <c r="B16" s="406"/>
      <c r="C16" s="406"/>
      <c r="D16" s="406"/>
      <c r="E16" s="407"/>
      <c r="F16" s="408"/>
      <c r="G16" s="406"/>
      <c r="H16" s="406"/>
      <c r="I16" s="407"/>
      <c r="J16" s="408"/>
      <c r="K16" s="407"/>
      <c r="L16" s="477"/>
      <c r="M16" s="478"/>
      <c r="N16" s="478"/>
      <c r="O16" s="478"/>
      <c r="P16" s="479"/>
      <c r="Q16" s="477"/>
      <c r="R16" s="478"/>
      <c r="S16" s="479"/>
      <c r="T16" s="412"/>
      <c r="U16" s="413"/>
    </row>
    <row r="17" spans="1:21" ht="15" customHeight="1" x14ac:dyDescent="0.3">
      <c r="A17" s="405"/>
      <c r="B17" s="406"/>
      <c r="C17" s="406"/>
      <c r="D17" s="406"/>
      <c r="E17" s="407"/>
      <c r="F17" s="408"/>
      <c r="G17" s="406"/>
      <c r="H17" s="406"/>
      <c r="I17" s="407"/>
      <c r="J17" s="408"/>
      <c r="K17" s="407"/>
      <c r="L17" s="477"/>
      <c r="M17" s="478"/>
      <c r="N17" s="478"/>
      <c r="O17" s="478"/>
      <c r="P17" s="479"/>
      <c r="Q17" s="477"/>
      <c r="R17" s="478"/>
      <c r="S17" s="479"/>
      <c r="T17" s="412"/>
      <c r="U17" s="413"/>
    </row>
    <row r="18" spans="1:21" ht="15" customHeight="1" x14ac:dyDescent="0.3">
      <c r="A18" s="405"/>
      <c r="B18" s="406"/>
      <c r="C18" s="406"/>
      <c r="D18" s="406"/>
      <c r="E18" s="407"/>
      <c r="F18" s="408"/>
      <c r="G18" s="406"/>
      <c r="H18" s="406"/>
      <c r="I18" s="407"/>
      <c r="J18" s="408"/>
      <c r="K18" s="407"/>
      <c r="L18" s="477"/>
      <c r="M18" s="478"/>
      <c r="N18" s="478"/>
      <c r="O18" s="478"/>
      <c r="P18" s="479"/>
      <c r="Q18" s="477"/>
      <c r="R18" s="478"/>
      <c r="S18" s="479"/>
      <c r="T18" s="412"/>
      <c r="U18" s="413"/>
    </row>
    <row r="19" spans="1:21" ht="15" customHeight="1" x14ac:dyDescent="0.3">
      <c r="A19" s="448"/>
      <c r="B19" s="449"/>
      <c r="C19" s="449"/>
      <c r="D19" s="449"/>
      <c r="E19" s="450"/>
      <c r="F19" s="451"/>
      <c r="G19" s="449"/>
      <c r="H19" s="449"/>
      <c r="I19" s="450"/>
      <c r="J19" s="451"/>
      <c r="K19" s="450"/>
      <c r="L19" s="465"/>
      <c r="M19" s="466"/>
      <c r="N19" s="466"/>
      <c r="O19" s="466"/>
      <c r="P19" s="467"/>
      <c r="Q19" s="465"/>
      <c r="R19" s="466"/>
      <c r="S19" s="467"/>
      <c r="T19" s="468"/>
      <c r="U19" s="469"/>
    </row>
    <row r="20" spans="1:21" x14ac:dyDescent="0.3">
      <c r="A20" s="309" t="s">
        <v>86</v>
      </c>
      <c r="B20" s="310"/>
      <c r="C20" s="310"/>
      <c r="D20" s="310"/>
      <c r="E20" s="310"/>
      <c r="F20" s="311">
        <v>2450000</v>
      </c>
      <c r="G20" s="311"/>
      <c r="H20" s="311"/>
      <c r="I20" s="312"/>
      <c r="J20" s="456">
        <f>SUM(J8:K19)</f>
        <v>1</v>
      </c>
      <c r="K20" s="456"/>
      <c r="L20" s="510" t="s">
        <v>965</v>
      </c>
      <c r="M20" s="511"/>
      <c r="N20" s="511"/>
      <c r="O20" s="511"/>
      <c r="P20" s="512"/>
      <c r="Q20" s="351">
        <f>SUM(Q8:S19)</f>
        <v>1000000</v>
      </c>
      <c r="R20" s="311"/>
      <c r="S20" s="311"/>
      <c r="T20" s="311"/>
      <c r="U20" s="352"/>
    </row>
    <row r="21" spans="1:21" ht="17.25" thickBot="1" x14ac:dyDescent="0.35">
      <c r="A21" s="314" t="s">
        <v>96</v>
      </c>
      <c r="B21" s="315"/>
      <c r="C21" s="315"/>
      <c r="D21" s="315"/>
      <c r="E21" s="315"/>
      <c r="F21" s="316">
        <f>F20+Q20</f>
        <v>3450000</v>
      </c>
      <c r="G21" s="316"/>
      <c r="H21" s="316"/>
      <c r="I21" s="317"/>
      <c r="J21" s="318" t="s">
        <v>971</v>
      </c>
      <c r="K21" s="315"/>
      <c r="L21" s="319" t="str">
        <f>T4</f>
        <v>장효주</v>
      </c>
      <c r="M21" s="319"/>
      <c r="N21" s="319"/>
      <c r="O21" s="318" t="s">
        <v>69</v>
      </c>
      <c r="P21" s="344"/>
      <c r="Q21" s="457" t="str">
        <f>C3</f>
        <v>제이오토(대구)</v>
      </c>
      <c r="R21" s="458"/>
      <c r="S21" s="458"/>
      <c r="T21" s="458"/>
      <c r="U21" s="459"/>
    </row>
    <row r="22" spans="1:21" ht="9" customHeight="1" x14ac:dyDescent="0.3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 x14ac:dyDescent="0.35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 x14ac:dyDescent="0.35">
      <c r="A24" s="460" t="s">
        <v>76</v>
      </c>
      <c r="B24" s="461"/>
      <c r="C24" s="461"/>
      <c r="D24" s="461"/>
      <c r="E24" s="461"/>
      <c r="F24" s="461"/>
      <c r="G24" s="461"/>
      <c r="H24" s="461"/>
      <c r="I24" s="461"/>
      <c r="J24" s="461"/>
      <c r="K24" s="461"/>
      <c r="L24" s="461"/>
      <c r="M24" s="461"/>
      <c r="N24" s="461"/>
      <c r="O24" s="461"/>
      <c r="P24" s="461"/>
      <c r="Q24" s="461"/>
      <c r="R24" s="461"/>
      <c r="S24" s="461"/>
      <c r="T24" s="461"/>
      <c r="U24" s="462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 x14ac:dyDescent="0.3">
      <c r="A26" s="375" t="s">
        <v>1194</v>
      </c>
      <c r="B26" s="37" t="s">
        <v>64</v>
      </c>
      <c r="C26" s="480" t="str">
        <f>C3</f>
        <v>제이오토(대구)</v>
      </c>
      <c r="D26" s="481"/>
      <c r="E26" s="481"/>
      <c r="F26" s="481"/>
      <c r="G26" s="481"/>
      <c r="H26" s="481"/>
      <c r="I26" s="481"/>
      <c r="J26" s="482"/>
      <c r="K26" s="381" t="s">
        <v>1195</v>
      </c>
      <c r="L26" s="37" t="s">
        <v>64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 x14ac:dyDescent="0.3">
      <c r="A27" s="376"/>
      <c r="B27" s="37" t="s">
        <v>66</v>
      </c>
      <c r="C27" s="507">
        <f>C4</f>
        <v>0</v>
      </c>
      <c r="D27" s="508"/>
      <c r="E27" s="508"/>
      <c r="F27" s="508"/>
      <c r="G27" s="508"/>
      <c r="H27" s="508"/>
      <c r="I27" s="508"/>
      <c r="J27" s="509"/>
      <c r="K27" s="382"/>
      <c r="L27" s="37" t="s">
        <v>66</v>
      </c>
      <c r="M27" s="390" t="str">
        <f>M4</f>
        <v>259-12-01768</v>
      </c>
      <c r="N27" s="391"/>
      <c r="O27" s="391"/>
      <c r="P27" s="391"/>
      <c r="Q27" s="391"/>
      <c r="R27" s="392"/>
      <c r="S27" s="38" t="s">
        <v>67</v>
      </c>
      <c r="T27" s="463" t="str">
        <f>T4</f>
        <v>장효주</v>
      </c>
      <c r="U27" s="464"/>
    </row>
    <row r="28" spans="1:21" ht="15.75" customHeight="1" x14ac:dyDescent="0.3">
      <c r="A28" s="376"/>
      <c r="B28" s="38" t="s">
        <v>10</v>
      </c>
      <c r="C28" s="390" t="str">
        <f>C5</f>
        <v>대구광역시 서구 가르뱅이로 53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tr">
        <f>M5</f>
        <v>대구 달서구 용산로 28(본리동)</v>
      </c>
      <c r="N28" s="391"/>
      <c r="O28" s="391"/>
      <c r="P28" s="391"/>
      <c r="Q28" s="391"/>
      <c r="R28" s="391"/>
      <c r="S28" s="391"/>
      <c r="T28" s="391"/>
      <c r="U28" s="393"/>
    </row>
    <row r="29" spans="1:21" ht="15.75" customHeight="1" x14ac:dyDescent="0.3">
      <c r="A29" s="377"/>
      <c r="B29" s="38" t="s">
        <v>80</v>
      </c>
      <c r="C29" s="390" t="str">
        <f>C6</f>
        <v>010-5102-8176</v>
      </c>
      <c r="D29" s="391"/>
      <c r="E29" s="391"/>
      <c r="F29" s="391"/>
      <c r="G29" s="391"/>
      <c r="H29" s="391"/>
      <c r="I29" s="391"/>
      <c r="J29" s="392"/>
      <c r="K29" s="383"/>
      <c r="L29" s="38" t="s">
        <v>80</v>
      </c>
      <c r="M29" s="390" t="str">
        <f>M6</f>
        <v>010-5168-3542</v>
      </c>
      <c r="N29" s="391"/>
      <c r="O29" s="391"/>
      <c r="P29" s="391"/>
      <c r="Q29" s="391"/>
      <c r="R29" s="392"/>
      <c r="S29" s="38" t="s">
        <v>26</v>
      </c>
      <c r="T29" s="390"/>
      <c r="U29" s="393"/>
    </row>
    <row r="30" spans="1:21" ht="15.75" customHeight="1" x14ac:dyDescent="0.3">
      <c r="A30" s="309" t="s">
        <v>75</v>
      </c>
      <c r="B30" s="310"/>
      <c r="C30" s="310"/>
      <c r="D30" s="310"/>
      <c r="E30" s="372"/>
      <c r="F30" s="373" t="s">
        <v>48</v>
      </c>
      <c r="G30" s="310"/>
      <c r="H30" s="310"/>
      <c r="I30" s="372"/>
      <c r="J30" s="373" t="s">
        <v>72</v>
      </c>
      <c r="K30" s="372"/>
      <c r="L30" s="373" t="s">
        <v>46</v>
      </c>
      <c r="M30" s="310"/>
      <c r="N30" s="310"/>
      <c r="O30" s="310"/>
      <c r="P30" s="372"/>
      <c r="Q30" s="373" t="s">
        <v>73</v>
      </c>
      <c r="R30" s="310"/>
      <c r="S30" s="372"/>
      <c r="T30" s="373" t="s">
        <v>74</v>
      </c>
      <c r="U30" s="374"/>
    </row>
    <row r="31" spans="1:21" ht="15" customHeight="1" x14ac:dyDescent="0.3">
      <c r="A31" s="474" t="str">
        <f>A8</f>
        <v>8HP70 VALBEBODY</v>
      </c>
      <c r="B31" s="475"/>
      <c r="C31" s="475"/>
      <c r="D31" s="475"/>
      <c r="E31" s="475"/>
      <c r="F31" s="475">
        <f>F8</f>
        <v>0</v>
      </c>
      <c r="G31" s="475"/>
      <c r="H31" s="475"/>
      <c r="I31" s="475"/>
      <c r="J31" s="475">
        <f>J8</f>
        <v>1</v>
      </c>
      <c r="K31" s="475"/>
      <c r="L31" s="476">
        <f>L8</f>
        <v>1000000</v>
      </c>
      <c r="M31" s="476"/>
      <c r="N31" s="476"/>
      <c r="O31" s="476"/>
      <c r="P31" s="476"/>
      <c r="Q31" s="476">
        <f>Q8</f>
        <v>1000000</v>
      </c>
      <c r="R31" s="476"/>
      <c r="S31" s="476"/>
      <c r="T31" s="475">
        <f>T8</f>
        <v>0</v>
      </c>
      <c r="U31" s="486"/>
    </row>
    <row r="32" spans="1:21" ht="15" customHeight="1" x14ac:dyDescent="0.3">
      <c r="A32" s="455">
        <f t="shared" ref="A32:A42" si="0">A9</f>
        <v>0</v>
      </c>
      <c r="B32" s="452"/>
      <c r="C32" s="452"/>
      <c r="D32" s="452"/>
      <c r="E32" s="452"/>
      <c r="F32" s="452">
        <f t="shared" ref="F32:F42" si="1">F9</f>
        <v>0</v>
      </c>
      <c r="G32" s="452"/>
      <c r="H32" s="452"/>
      <c r="I32" s="452"/>
      <c r="J32" s="452">
        <f t="shared" ref="J32:J42" si="2">J9</f>
        <v>0</v>
      </c>
      <c r="K32" s="452"/>
      <c r="L32" s="454">
        <f t="shared" ref="L32:L42" si="3">L9</f>
        <v>0</v>
      </c>
      <c r="M32" s="454"/>
      <c r="N32" s="454"/>
      <c r="O32" s="454"/>
      <c r="P32" s="454"/>
      <c r="Q32" s="454">
        <f t="shared" ref="Q32:Q42" si="4">Q9</f>
        <v>0</v>
      </c>
      <c r="R32" s="454"/>
      <c r="S32" s="454"/>
      <c r="T32" s="452">
        <f t="shared" ref="T32:T42" si="5">T9</f>
        <v>0</v>
      </c>
      <c r="U32" s="453"/>
    </row>
    <row r="33" spans="1:21" ht="15" customHeight="1" x14ac:dyDescent="0.3">
      <c r="A33" s="455">
        <f t="shared" si="0"/>
        <v>0</v>
      </c>
      <c r="B33" s="452"/>
      <c r="C33" s="452"/>
      <c r="D33" s="452"/>
      <c r="E33" s="452"/>
      <c r="F33" s="452">
        <f t="shared" si="1"/>
        <v>0</v>
      </c>
      <c r="G33" s="452"/>
      <c r="H33" s="452"/>
      <c r="I33" s="452"/>
      <c r="J33" s="452">
        <f t="shared" si="2"/>
        <v>0</v>
      </c>
      <c r="K33" s="452"/>
      <c r="L33" s="454">
        <f t="shared" si="3"/>
        <v>0</v>
      </c>
      <c r="M33" s="454"/>
      <c r="N33" s="454"/>
      <c r="O33" s="454"/>
      <c r="P33" s="454"/>
      <c r="Q33" s="454">
        <f t="shared" si="4"/>
        <v>0</v>
      </c>
      <c r="R33" s="454"/>
      <c r="S33" s="454"/>
      <c r="T33" s="452">
        <f t="shared" si="5"/>
        <v>0</v>
      </c>
      <c r="U33" s="453"/>
    </row>
    <row r="34" spans="1:21" ht="15" customHeight="1" x14ac:dyDescent="0.3">
      <c r="A34" s="455">
        <f t="shared" si="0"/>
        <v>0</v>
      </c>
      <c r="B34" s="452"/>
      <c r="C34" s="452"/>
      <c r="D34" s="452"/>
      <c r="E34" s="452"/>
      <c r="F34" s="452">
        <f t="shared" si="1"/>
        <v>0</v>
      </c>
      <c r="G34" s="452"/>
      <c r="H34" s="452"/>
      <c r="I34" s="452"/>
      <c r="J34" s="452">
        <v>1</v>
      </c>
      <c r="K34" s="452"/>
      <c r="L34" s="454">
        <f t="shared" si="3"/>
        <v>0</v>
      </c>
      <c r="M34" s="454"/>
      <c r="N34" s="454"/>
      <c r="O34" s="454"/>
      <c r="P34" s="454"/>
      <c r="Q34" s="454">
        <f t="shared" si="4"/>
        <v>0</v>
      </c>
      <c r="R34" s="454"/>
      <c r="S34" s="454"/>
      <c r="T34" s="452">
        <f t="shared" si="5"/>
        <v>0</v>
      </c>
      <c r="U34" s="453"/>
    </row>
    <row r="35" spans="1:21" ht="15" customHeight="1" x14ac:dyDescent="0.3">
      <c r="A35" s="455">
        <f t="shared" si="0"/>
        <v>0</v>
      </c>
      <c r="B35" s="452"/>
      <c r="C35" s="452"/>
      <c r="D35" s="452"/>
      <c r="E35" s="452"/>
      <c r="F35" s="452">
        <f t="shared" si="1"/>
        <v>0</v>
      </c>
      <c r="G35" s="452"/>
      <c r="H35" s="452"/>
      <c r="I35" s="452"/>
      <c r="J35" s="452">
        <f t="shared" si="2"/>
        <v>0</v>
      </c>
      <c r="K35" s="452"/>
      <c r="L35" s="454">
        <f t="shared" si="3"/>
        <v>0</v>
      </c>
      <c r="M35" s="454"/>
      <c r="N35" s="454"/>
      <c r="O35" s="454"/>
      <c r="P35" s="454"/>
      <c r="Q35" s="454">
        <f t="shared" si="4"/>
        <v>0</v>
      </c>
      <c r="R35" s="454"/>
      <c r="S35" s="454"/>
      <c r="T35" s="452">
        <f t="shared" si="5"/>
        <v>0</v>
      </c>
      <c r="U35" s="453"/>
    </row>
    <row r="36" spans="1:21" ht="15" customHeight="1" x14ac:dyDescent="0.3">
      <c r="A36" s="455">
        <f t="shared" si="0"/>
        <v>0</v>
      </c>
      <c r="B36" s="452"/>
      <c r="C36" s="452"/>
      <c r="D36" s="452"/>
      <c r="E36" s="452"/>
      <c r="F36" s="452">
        <f t="shared" si="1"/>
        <v>0</v>
      </c>
      <c r="G36" s="452"/>
      <c r="H36" s="452"/>
      <c r="I36" s="452"/>
      <c r="J36" s="452">
        <f t="shared" si="2"/>
        <v>0</v>
      </c>
      <c r="K36" s="452"/>
      <c r="L36" s="454">
        <f t="shared" si="3"/>
        <v>0</v>
      </c>
      <c r="M36" s="454"/>
      <c r="N36" s="454"/>
      <c r="O36" s="454"/>
      <c r="P36" s="454"/>
      <c r="Q36" s="454">
        <f t="shared" si="4"/>
        <v>0</v>
      </c>
      <c r="R36" s="454"/>
      <c r="S36" s="454"/>
      <c r="T36" s="452">
        <f t="shared" si="5"/>
        <v>0</v>
      </c>
      <c r="U36" s="453"/>
    </row>
    <row r="37" spans="1:21" ht="15" customHeight="1" x14ac:dyDescent="0.3">
      <c r="A37" s="455">
        <f t="shared" si="0"/>
        <v>0</v>
      </c>
      <c r="B37" s="452"/>
      <c r="C37" s="452"/>
      <c r="D37" s="452"/>
      <c r="E37" s="452"/>
      <c r="F37" s="452">
        <f t="shared" si="1"/>
        <v>0</v>
      </c>
      <c r="G37" s="452"/>
      <c r="H37" s="452"/>
      <c r="I37" s="452"/>
      <c r="J37" s="452">
        <f t="shared" si="2"/>
        <v>0</v>
      </c>
      <c r="K37" s="452"/>
      <c r="L37" s="454">
        <f t="shared" si="3"/>
        <v>0</v>
      </c>
      <c r="M37" s="454"/>
      <c r="N37" s="454"/>
      <c r="O37" s="454"/>
      <c r="P37" s="454"/>
      <c r="Q37" s="454">
        <f t="shared" si="4"/>
        <v>0</v>
      </c>
      <c r="R37" s="454"/>
      <c r="S37" s="454"/>
      <c r="T37" s="452">
        <f t="shared" si="5"/>
        <v>0</v>
      </c>
      <c r="U37" s="453"/>
    </row>
    <row r="38" spans="1:21" ht="15" customHeight="1" x14ac:dyDescent="0.3">
      <c r="A38" s="455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2">
        <f t="shared" si="2"/>
        <v>0</v>
      </c>
      <c r="K38" s="452"/>
      <c r="L38" s="454">
        <f t="shared" si="3"/>
        <v>0</v>
      </c>
      <c r="M38" s="454"/>
      <c r="N38" s="454"/>
      <c r="O38" s="454"/>
      <c r="P38" s="454"/>
      <c r="Q38" s="454">
        <f t="shared" si="4"/>
        <v>0</v>
      </c>
      <c r="R38" s="454"/>
      <c r="S38" s="454"/>
      <c r="T38" s="452">
        <f t="shared" si="5"/>
        <v>0</v>
      </c>
      <c r="U38" s="453"/>
    </row>
    <row r="39" spans="1:21" ht="15" customHeight="1" x14ac:dyDescent="0.3">
      <c r="A39" s="455">
        <f t="shared" si="0"/>
        <v>0</v>
      </c>
      <c r="B39" s="452"/>
      <c r="C39" s="452"/>
      <c r="D39" s="452"/>
      <c r="E39" s="452"/>
      <c r="F39" s="452">
        <f t="shared" si="1"/>
        <v>0</v>
      </c>
      <c r="G39" s="452"/>
      <c r="H39" s="452"/>
      <c r="I39" s="452"/>
      <c r="J39" s="452">
        <f t="shared" si="2"/>
        <v>0</v>
      </c>
      <c r="K39" s="452"/>
      <c r="L39" s="454">
        <f t="shared" si="3"/>
        <v>0</v>
      </c>
      <c r="M39" s="454"/>
      <c r="N39" s="454"/>
      <c r="O39" s="454"/>
      <c r="P39" s="454"/>
      <c r="Q39" s="454">
        <f t="shared" si="4"/>
        <v>0</v>
      </c>
      <c r="R39" s="454"/>
      <c r="S39" s="454"/>
      <c r="T39" s="452">
        <f t="shared" si="5"/>
        <v>0</v>
      </c>
      <c r="U39" s="453"/>
    </row>
    <row r="40" spans="1:21" ht="15" customHeight="1" x14ac:dyDescent="0.3">
      <c r="A40" s="455">
        <f t="shared" si="0"/>
        <v>0</v>
      </c>
      <c r="B40" s="452"/>
      <c r="C40" s="452"/>
      <c r="D40" s="452"/>
      <c r="E40" s="452"/>
      <c r="F40" s="452">
        <f t="shared" si="1"/>
        <v>0</v>
      </c>
      <c r="G40" s="452"/>
      <c r="H40" s="452"/>
      <c r="I40" s="452"/>
      <c r="J40" s="452">
        <f t="shared" si="2"/>
        <v>0</v>
      </c>
      <c r="K40" s="452"/>
      <c r="L40" s="454">
        <f t="shared" si="3"/>
        <v>0</v>
      </c>
      <c r="M40" s="454"/>
      <c r="N40" s="454"/>
      <c r="O40" s="454"/>
      <c r="P40" s="454"/>
      <c r="Q40" s="454">
        <f t="shared" si="4"/>
        <v>0</v>
      </c>
      <c r="R40" s="454"/>
      <c r="S40" s="454"/>
      <c r="T40" s="452">
        <f t="shared" si="5"/>
        <v>0</v>
      </c>
      <c r="U40" s="453"/>
    </row>
    <row r="41" spans="1:21" ht="15" customHeight="1" x14ac:dyDescent="0.3">
      <c r="A41" s="455">
        <f t="shared" si="0"/>
        <v>0</v>
      </c>
      <c r="B41" s="452"/>
      <c r="C41" s="452"/>
      <c r="D41" s="452"/>
      <c r="E41" s="452"/>
      <c r="F41" s="452">
        <f t="shared" si="1"/>
        <v>0</v>
      </c>
      <c r="G41" s="452"/>
      <c r="H41" s="452"/>
      <c r="I41" s="452"/>
      <c r="J41" s="452">
        <f t="shared" si="2"/>
        <v>0</v>
      </c>
      <c r="K41" s="452"/>
      <c r="L41" s="454">
        <f t="shared" si="3"/>
        <v>0</v>
      </c>
      <c r="M41" s="454"/>
      <c r="N41" s="454"/>
      <c r="O41" s="454"/>
      <c r="P41" s="454"/>
      <c r="Q41" s="454">
        <f t="shared" si="4"/>
        <v>0</v>
      </c>
      <c r="R41" s="454"/>
      <c r="S41" s="454"/>
      <c r="T41" s="452">
        <f t="shared" si="5"/>
        <v>0</v>
      </c>
      <c r="U41" s="453"/>
    </row>
    <row r="42" spans="1:21" ht="15" customHeight="1" x14ac:dyDescent="0.3">
      <c r="A42" s="470">
        <f t="shared" si="0"/>
        <v>0</v>
      </c>
      <c r="B42" s="471"/>
      <c r="C42" s="471"/>
      <c r="D42" s="471"/>
      <c r="E42" s="471"/>
      <c r="F42" s="471">
        <f t="shared" si="1"/>
        <v>0</v>
      </c>
      <c r="G42" s="471"/>
      <c r="H42" s="471"/>
      <c r="I42" s="471"/>
      <c r="J42" s="471">
        <f t="shared" si="2"/>
        <v>0</v>
      </c>
      <c r="K42" s="471"/>
      <c r="L42" s="472">
        <f t="shared" si="3"/>
        <v>0</v>
      </c>
      <c r="M42" s="472"/>
      <c r="N42" s="472"/>
      <c r="O42" s="472"/>
      <c r="P42" s="472"/>
      <c r="Q42" s="472">
        <f t="shared" si="4"/>
        <v>0</v>
      </c>
      <c r="R42" s="472"/>
      <c r="S42" s="472"/>
      <c r="T42" s="471">
        <f t="shared" si="5"/>
        <v>0</v>
      </c>
      <c r="U42" s="473"/>
    </row>
    <row r="43" spans="1:21" x14ac:dyDescent="0.3">
      <c r="A43" s="309" t="s">
        <v>86</v>
      </c>
      <c r="B43" s="310"/>
      <c r="C43" s="310"/>
      <c r="D43" s="310"/>
      <c r="E43" s="310"/>
      <c r="F43" s="311">
        <f>F20</f>
        <v>2450000</v>
      </c>
      <c r="G43" s="311"/>
      <c r="H43" s="311"/>
      <c r="I43" s="312"/>
      <c r="J43" s="456">
        <f>J20</f>
        <v>1</v>
      </c>
      <c r="K43" s="456"/>
      <c r="L43" s="510" t="s">
        <v>965</v>
      </c>
      <c r="M43" s="511"/>
      <c r="N43" s="511"/>
      <c r="O43" s="511"/>
      <c r="P43" s="512"/>
      <c r="Q43" s="513">
        <f>Q20</f>
        <v>1000000</v>
      </c>
      <c r="R43" s="514"/>
      <c r="S43" s="514"/>
      <c r="T43" s="514"/>
      <c r="U43" s="515"/>
    </row>
    <row r="44" spans="1:21" ht="17.25" thickBot="1" x14ac:dyDescent="0.35">
      <c r="A44" s="314" t="s">
        <v>96</v>
      </c>
      <c r="B44" s="315"/>
      <c r="C44" s="315"/>
      <c r="D44" s="315"/>
      <c r="E44" s="315"/>
      <c r="F44" s="316">
        <f>F21</f>
        <v>3450000</v>
      </c>
      <c r="G44" s="316"/>
      <c r="H44" s="316"/>
      <c r="I44" s="317"/>
      <c r="J44" s="318" t="s">
        <v>971</v>
      </c>
      <c r="K44" s="315"/>
      <c r="L44" s="319" t="str">
        <f>L21</f>
        <v>장효주</v>
      </c>
      <c r="M44" s="319"/>
      <c r="N44" s="319"/>
      <c r="O44" s="318" t="s">
        <v>69</v>
      </c>
      <c r="P44" s="344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87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712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3166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3167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3168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3169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3170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3171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3172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3173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3174</v>
      </c>
    </row>
    <row r="595" spans="1:4" x14ac:dyDescent="0.3">
      <c r="A595">
        <v>619</v>
      </c>
      <c r="B595" s="13">
        <v>45866</v>
      </c>
      <c r="C595" t="s">
        <v>3175</v>
      </c>
      <c r="D595" t="s">
        <v>3178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3179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3180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3181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3182</v>
      </c>
    </row>
    <row r="600" spans="1:4" x14ac:dyDescent="0.3">
      <c r="A600">
        <v>624</v>
      </c>
      <c r="B600" s="13">
        <v>45866</v>
      </c>
      <c r="C600" t="s">
        <v>3183</v>
      </c>
      <c r="D600" t="s">
        <v>3188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3216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3217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3218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3219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3220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3221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3222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3223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3228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3229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3230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3232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3233</v>
      </c>
    </row>
    <row r="614" spans="1:4" x14ac:dyDescent="0.3">
      <c r="A614">
        <v>638</v>
      </c>
      <c r="B614" s="13">
        <v>45868</v>
      </c>
      <c r="C614" t="s">
        <v>3234</v>
      </c>
      <c r="D614" t="s">
        <v>3238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3239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3242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3243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3244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3245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3246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3249</v>
      </c>
    </row>
    <row r="622" spans="1:4" x14ac:dyDescent="0.3">
      <c r="A622">
        <v>646</v>
      </c>
      <c r="B622" s="13">
        <v>45870</v>
      </c>
      <c r="C622" t="s">
        <v>3250</v>
      </c>
      <c r="D622" t="s">
        <v>3251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3252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3253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3257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3258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3259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3260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3261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3262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3264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3265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3266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3267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3269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3270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3271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3272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3285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3286</v>
      </c>
    </row>
    <row r="641" spans="1:4" x14ac:dyDescent="0.3">
      <c r="A641">
        <v>665</v>
      </c>
      <c r="B641" s="13">
        <v>45875</v>
      </c>
      <c r="C641" t="s">
        <v>3279</v>
      </c>
      <c r="D641" t="s">
        <v>3291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3293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3294</v>
      </c>
    </row>
    <row r="644" spans="1:4" x14ac:dyDescent="0.3">
      <c r="A644">
        <v>668</v>
      </c>
      <c r="B644" s="13">
        <v>45875</v>
      </c>
      <c r="C644" t="s">
        <v>3295</v>
      </c>
      <c r="D644" t="s">
        <v>3296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3297</v>
      </c>
    </row>
    <row r="646" spans="1:4" x14ac:dyDescent="0.3">
      <c r="A646">
        <v>670</v>
      </c>
      <c r="B646" s="13">
        <v>45875</v>
      </c>
      <c r="C646" t="s">
        <v>1610</v>
      </c>
      <c r="D646" t="s">
        <v>3299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3300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3306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3307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3308</v>
      </c>
    </row>
    <row r="651" spans="1:4" x14ac:dyDescent="0.3">
      <c r="A651">
        <v>675</v>
      </c>
      <c r="B651" s="13">
        <v>45877</v>
      </c>
      <c r="C651" t="s">
        <v>3311</v>
      </c>
      <c r="D651" t="s">
        <v>3312</v>
      </c>
    </row>
    <row r="652" spans="1:4" x14ac:dyDescent="0.3">
      <c r="A652">
        <v>676</v>
      </c>
      <c r="B652" s="13">
        <v>45877</v>
      </c>
      <c r="C652" t="s">
        <v>3314</v>
      </c>
      <c r="D652" t="s">
        <v>3318</v>
      </c>
    </row>
    <row r="653" spans="1:4" x14ac:dyDescent="0.3">
      <c r="A653">
        <v>677</v>
      </c>
      <c r="B653" s="13">
        <v>45877</v>
      </c>
      <c r="C653" t="s">
        <v>3311</v>
      </c>
      <c r="D653" t="s">
        <v>3319</v>
      </c>
    </row>
    <row r="654" spans="1:4" x14ac:dyDescent="0.3">
      <c r="A654">
        <v>678</v>
      </c>
      <c r="B654" s="13">
        <v>45877</v>
      </c>
      <c r="C654" t="s">
        <v>3314</v>
      </c>
      <c r="D654" t="s">
        <v>3320</v>
      </c>
    </row>
    <row r="655" spans="1:4" x14ac:dyDescent="0.3">
      <c r="A655">
        <v>679</v>
      </c>
      <c r="B655" s="13">
        <v>45877</v>
      </c>
      <c r="C655" t="s">
        <v>3311</v>
      </c>
      <c r="D655" t="s">
        <v>3321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3323</v>
      </c>
    </row>
    <row r="657" spans="1:4" x14ac:dyDescent="0.3">
      <c r="A657">
        <v>681</v>
      </c>
      <c r="B657" s="13">
        <v>45878</v>
      </c>
      <c r="C657" t="s">
        <v>3324</v>
      </c>
      <c r="D657" t="s">
        <v>3325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3326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3327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3328</v>
      </c>
    </row>
    <row r="661" spans="1:4" x14ac:dyDescent="0.3">
      <c r="A661">
        <v>685</v>
      </c>
      <c r="B661" t="s">
        <v>3330</v>
      </c>
      <c r="C661" t="s">
        <v>1526</v>
      </c>
      <c r="D661" t="s">
        <v>3331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3332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3333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3334</v>
      </c>
    </row>
    <row r="665" spans="1:4" x14ac:dyDescent="0.3">
      <c r="A665">
        <v>689</v>
      </c>
      <c r="B665" s="13">
        <v>45881</v>
      </c>
      <c r="C665" t="s">
        <v>1499</v>
      </c>
      <c r="D665" t="s">
        <v>3335</v>
      </c>
    </row>
    <row r="666" spans="1:4" x14ac:dyDescent="0.3">
      <c r="A666">
        <v>690</v>
      </c>
      <c r="B666" s="13">
        <v>45881</v>
      </c>
      <c r="C666" t="s">
        <v>1505</v>
      </c>
      <c r="D666" t="s">
        <v>3336</v>
      </c>
    </row>
    <row r="667" spans="1:4" x14ac:dyDescent="0.3">
      <c r="A667">
        <v>691</v>
      </c>
      <c r="B667" s="13">
        <v>45881</v>
      </c>
      <c r="C667" t="s">
        <v>2369</v>
      </c>
      <c r="D667" t="s">
        <v>3337</v>
      </c>
    </row>
    <row r="668" spans="1:4" x14ac:dyDescent="0.3">
      <c r="A668">
        <v>692</v>
      </c>
      <c r="B668" s="13">
        <v>45881</v>
      </c>
      <c r="C668" t="s">
        <v>3144</v>
      </c>
      <c r="D668" t="s">
        <v>3339</v>
      </c>
    </row>
    <row r="669" spans="1:4" x14ac:dyDescent="0.3">
      <c r="A669">
        <v>693</v>
      </c>
      <c r="B669" s="13">
        <v>45882</v>
      </c>
      <c r="C669" t="s">
        <v>1840</v>
      </c>
      <c r="D669" t="s">
        <v>3344</v>
      </c>
    </row>
    <row r="670" spans="1:4" x14ac:dyDescent="0.3">
      <c r="A670">
        <v>694</v>
      </c>
      <c r="B670" s="13">
        <v>45882</v>
      </c>
      <c r="C670" t="s">
        <v>1613</v>
      </c>
      <c r="D670" t="s">
        <v>3345</v>
      </c>
    </row>
    <row r="671" spans="1:4" x14ac:dyDescent="0.3">
      <c r="A671">
        <v>695</v>
      </c>
      <c r="B671" s="13">
        <v>45882</v>
      </c>
      <c r="C671" t="s">
        <v>1431</v>
      </c>
      <c r="D671" t="s">
        <v>3346</v>
      </c>
    </row>
    <row r="672" spans="1:4" x14ac:dyDescent="0.3">
      <c r="A672">
        <v>696</v>
      </c>
      <c r="B672" s="13">
        <v>45882</v>
      </c>
      <c r="C672" t="s">
        <v>1610</v>
      </c>
      <c r="D672" t="s">
        <v>3347</v>
      </c>
    </row>
    <row r="673" spans="1:4" x14ac:dyDescent="0.3">
      <c r="A673">
        <v>697</v>
      </c>
      <c r="B673" s="13">
        <v>45882</v>
      </c>
      <c r="C673" t="s">
        <v>1027</v>
      </c>
      <c r="D673" t="s">
        <v>3348</v>
      </c>
    </row>
    <row r="674" spans="1:4" x14ac:dyDescent="0.3">
      <c r="A674">
        <v>698</v>
      </c>
      <c r="B674" s="13">
        <v>45882</v>
      </c>
      <c r="C674" t="s">
        <v>3352</v>
      </c>
      <c r="D674" t="s">
        <v>3356</v>
      </c>
    </row>
    <row r="675" spans="1:4" x14ac:dyDescent="0.3">
      <c r="A675">
        <v>699</v>
      </c>
      <c r="B675" s="13">
        <v>45882</v>
      </c>
      <c r="C675" t="s">
        <v>3349</v>
      </c>
      <c r="D675" t="s">
        <v>3358</v>
      </c>
    </row>
    <row r="676" spans="1:4" x14ac:dyDescent="0.3">
      <c r="A676">
        <v>700</v>
      </c>
      <c r="B676" s="13">
        <v>45883</v>
      </c>
      <c r="C676" t="s">
        <v>1499</v>
      </c>
      <c r="D676" t="s">
        <v>3359</v>
      </c>
    </row>
    <row r="677" spans="1:4" x14ac:dyDescent="0.3">
      <c r="A677">
        <v>701</v>
      </c>
      <c r="B677" s="13">
        <v>45883</v>
      </c>
      <c r="C677" t="s">
        <v>1511</v>
      </c>
      <c r="D677" t="s">
        <v>3361</v>
      </c>
    </row>
    <row r="678" spans="1:4" x14ac:dyDescent="0.3">
      <c r="A678">
        <v>702</v>
      </c>
      <c r="B678" s="13">
        <v>45883</v>
      </c>
      <c r="C678" t="s">
        <v>994</v>
      </c>
      <c r="D678" t="s">
        <v>3363</v>
      </c>
    </row>
    <row r="679" spans="1:4" x14ac:dyDescent="0.3">
      <c r="A679">
        <v>703</v>
      </c>
      <c r="B679" s="13">
        <v>45883</v>
      </c>
      <c r="C679" t="s">
        <v>1035</v>
      </c>
      <c r="D679" t="s">
        <v>3364</v>
      </c>
    </row>
    <row r="680" spans="1:4" x14ac:dyDescent="0.3">
      <c r="A680">
        <v>704</v>
      </c>
      <c r="B680" s="13">
        <v>45883</v>
      </c>
      <c r="C680" t="s">
        <v>1259</v>
      </c>
      <c r="D680" t="s">
        <v>3366</v>
      </c>
    </row>
    <row r="681" spans="1:4" x14ac:dyDescent="0.3">
      <c r="A681">
        <v>705</v>
      </c>
      <c r="B681" s="13">
        <v>45883</v>
      </c>
      <c r="C681" t="s">
        <v>3367</v>
      </c>
      <c r="D681" t="s">
        <v>3369</v>
      </c>
    </row>
    <row r="682" spans="1:4" x14ac:dyDescent="0.3">
      <c r="A682">
        <v>706</v>
      </c>
      <c r="B682" s="13">
        <v>45883</v>
      </c>
      <c r="C682" t="s">
        <v>2679</v>
      </c>
      <c r="D682" t="s">
        <v>3370</v>
      </c>
    </row>
    <row r="683" spans="1:4" x14ac:dyDescent="0.3">
      <c r="A683">
        <v>707</v>
      </c>
      <c r="B683" s="13">
        <v>45883</v>
      </c>
      <c r="C683" t="s">
        <v>2475</v>
      </c>
      <c r="D683" t="s">
        <v>3371</v>
      </c>
    </row>
    <row r="684" spans="1:4" x14ac:dyDescent="0.3">
      <c r="A684">
        <v>708</v>
      </c>
      <c r="B684" s="13">
        <v>45884</v>
      </c>
      <c r="C684" t="s">
        <v>1481</v>
      </c>
      <c r="D684" t="s">
        <v>3378</v>
      </c>
    </row>
    <row r="685" spans="1:4" x14ac:dyDescent="0.3">
      <c r="A685">
        <v>709</v>
      </c>
      <c r="B685" s="13">
        <v>45884</v>
      </c>
      <c r="C685" t="s">
        <v>1431</v>
      </c>
      <c r="D685" t="s">
        <v>3379</v>
      </c>
    </row>
    <row r="686" spans="1:4" x14ac:dyDescent="0.3">
      <c r="A686">
        <v>710</v>
      </c>
      <c r="B686" s="13">
        <v>45884</v>
      </c>
      <c r="C686" t="s">
        <v>3380</v>
      </c>
      <c r="D686" t="s">
        <v>3383</v>
      </c>
    </row>
    <row r="687" spans="1:4" x14ac:dyDescent="0.3">
      <c r="A687">
        <v>711</v>
      </c>
      <c r="B687" s="13">
        <v>45885</v>
      </c>
      <c r="C687" t="s">
        <v>1755</v>
      </c>
      <c r="D687" t="s">
        <v>3386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174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1640199.6000000015</v>
      </c>
      <c r="I2" s="201" t="s">
        <v>3372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3372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3372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14065000.199999999</v>
      </c>
      <c r="I17" s="52" t="s">
        <v>3372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3240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3372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659999.69999999925</v>
      </c>
      <c r="J20" t="s">
        <v>3373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  <c r="I21" s="52" t="s">
        <v>3372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8369000</v>
      </c>
      <c r="I37" s="52" t="s">
        <v>3372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3372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3372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690000</v>
      </c>
      <c r="I57" s="52" t="s">
        <v>3372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1000000</v>
      </c>
      <c r="I62" s="52" t="s">
        <v>3372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3372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3247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1000000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2810000</v>
      </c>
      <c r="I79" s="52" t="s">
        <v>3310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3247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1000000</v>
      </c>
      <c r="I84" s="52" t="s">
        <v>3372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3278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722000.09999999963</v>
      </c>
      <c r="I92" s="52" t="s">
        <v>3372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3372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  <c r="I97" s="52" t="s">
        <v>3372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3372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3287</v>
      </c>
      <c r="C107" t="s">
        <v>3288</v>
      </c>
      <c r="E107" t="s">
        <v>3289</v>
      </c>
      <c r="F107" t="s">
        <v>969</v>
      </c>
      <c r="G107" t="s">
        <v>3290</v>
      </c>
      <c r="H107" s="201">
        <f>SUMIF(주문_리스트!C:C,거래처!B107,주문_리스트!K:K)+SUMIF(주문_리스트!C:C,거래처!B107,주문_리스트!L:L)-450000</f>
        <v>670000</v>
      </c>
      <c r="I107" s="52" t="s">
        <v>3372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1650000</v>
      </c>
      <c r="I108" s="52" t="s">
        <v>3372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925000</v>
      </c>
      <c r="I109" s="52" t="s">
        <v>3372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3240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3189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  <c r="I117" s="52" t="s">
        <v>3343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1876</v>
      </c>
      <c r="C126" t="s">
        <v>3254</v>
      </c>
      <c r="E126" t="s">
        <v>3255</v>
      </c>
      <c r="F126" t="s">
        <v>969</v>
      </c>
      <c r="G126" t="s">
        <v>3256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3278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3240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3175</v>
      </c>
      <c r="C167" t="s">
        <v>3176</v>
      </c>
      <c r="E167" t="s">
        <v>3177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3183</v>
      </c>
      <c r="C168" t="s">
        <v>3184</v>
      </c>
      <c r="D168" t="s">
        <v>3185</v>
      </c>
      <c r="E168" t="s">
        <v>3186</v>
      </c>
      <c r="F168" t="s">
        <v>983</v>
      </c>
      <c r="G168" t="s">
        <v>3187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3234</v>
      </c>
      <c r="C169" t="s">
        <v>3235</v>
      </c>
      <c r="E169" t="s">
        <v>3236</v>
      </c>
      <c r="F169" t="s">
        <v>983</v>
      </c>
      <c r="G169" t="s">
        <v>3237</v>
      </c>
      <c r="H169" s="201">
        <f>SUMIF(주문_리스트!C:C,거래처!B169,주문_리스트!K:K)+SUMIF(주문_리스트!C:C,거래처!B169,주문_리스트!L:L)</f>
        <v>0</v>
      </c>
      <c r="I169" s="52" t="s">
        <v>3240</v>
      </c>
    </row>
    <row r="170" spans="1:9" x14ac:dyDescent="0.3">
      <c r="A170">
        <v>169</v>
      </c>
      <c r="B170" t="s">
        <v>3279</v>
      </c>
      <c r="C170" t="s">
        <v>3280</v>
      </c>
      <c r="E170" t="s">
        <v>3281</v>
      </c>
      <c r="F170" t="s">
        <v>969</v>
      </c>
      <c r="G170" t="s">
        <v>3282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3314</v>
      </c>
      <c r="C171" t="s">
        <v>3315</v>
      </c>
      <c r="E171" t="s">
        <v>3316</v>
      </c>
      <c r="F171" t="s">
        <v>983</v>
      </c>
      <c r="G171" t="s">
        <v>3317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A172">
        <v>171</v>
      </c>
      <c r="B172" t="s">
        <v>3349</v>
      </c>
      <c r="C172" t="s">
        <v>3350</v>
      </c>
      <c r="E172" t="s">
        <v>3351</v>
      </c>
      <c r="F172" t="s">
        <v>969</v>
      </c>
      <c r="H172" s="201">
        <f>SUMIF(주문_리스트!C:C,거래처!B172,주문_리스트!K:K)+SUMIF(주문_리스트!C:C,거래처!B172,주문_리스트!L:L)</f>
        <v>0</v>
      </c>
    </row>
    <row r="173" spans="1:9" x14ac:dyDescent="0.3">
      <c r="A173">
        <v>172</v>
      </c>
      <c r="B173" t="s">
        <v>3353</v>
      </c>
      <c r="C173" t="s">
        <v>3354</v>
      </c>
      <c r="E173" t="s">
        <v>3355</v>
      </c>
      <c r="F173" t="s">
        <v>36</v>
      </c>
      <c r="G173" t="s">
        <v>3360</v>
      </c>
      <c r="H173" s="201">
        <f>SUMIF(주문_리스트!C:C,거래처!B173,주문_리스트!K:K)+SUMIF(주문_리스트!C:C,거래처!B173,주문_리스트!L:L)</f>
        <v>0</v>
      </c>
    </row>
    <row r="174" spans="1:9" x14ac:dyDescent="0.3">
      <c r="A174">
        <v>173</v>
      </c>
      <c r="B174" t="s">
        <v>3380</v>
      </c>
      <c r="C174" t="s">
        <v>3381</v>
      </c>
      <c r="E174" t="s">
        <v>3382</v>
      </c>
      <c r="F174" t="s">
        <v>969</v>
      </c>
      <c r="G174" t="s">
        <v>136</v>
      </c>
      <c r="H174" s="201">
        <f>SUMIF(주문_리스트!C:C,거래처!B174,주문_리스트!K:K)+SUMIF(주문_리스트!C:C,거래처!B174,주문_리스트!L:L)</f>
        <v>856900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8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A218" sqref="A218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218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-22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-10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-60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-75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-37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-3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-17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-32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-6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-22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-22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-4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-13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-17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-75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3231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3283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3292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3329</v>
      </c>
      <c r="D218" s="197" t="s">
        <v>2446</v>
      </c>
      <c r="E218" s="197" t="s">
        <v>3329</v>
      </c>
      <c r="F218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3231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3283</v>
      </c>
      <c r="E216" s="197">
        <v>6058008068</v>
      </c>
    </row>
    <row r="217" spans="1:6" x14ac:dyDescent="0.3">
      <c r="D217" s="197" t="s">
        <v>3292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6" t="s">
        <v>12</v>
      </c>
      <c r="C4" s="517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3199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3199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3190</v>
      </c>
      <c r="J86" s="53" t="s">
        <v>2226</v>
      </c>
      <c r="K86" s="17" t="s">
        <v>3190</v>
      </c>
      <c r="L86" s="17">
        <v>2200000</v>
      </c>
    </row>
    <row r="87" spans="6:12" ht="18" customHeight="1" x14ac:dyDescent="0.3">
      <c r="F87" s="17">
        <v>72</v>
      </c>
      <c r="I87" s="17" t="s">
        <v>3191</v>
      </c>
      <c r="J87" s="53" t="s">
        <v>3203</v>
      </c>
      <c r="K87" s="17" t="s">
        <v>3191</v>
      </c>
      <c r="L87" s="17">
        <v>1500000</v>
      </c>
    </row>
    <row r="88" spans="6:12" ht="18" customHeight="1" x14ac:dyDescent="0.3">
      <c r="F88" s="17">
        <v>73</v>
      </c>
      <c r="I88" s="17" t="s">
        <v>3192</v>
      </c>
      <c r="J88" s="53" t="s">
        <v>2245</v>
      </c>
      <c r="K88" s="17" t="s">
        <v>3192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3204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3193</v>
      </c>
      <c r="J118" s="53" t="s">
        <v>3205</v>
      </c>
      <c r="K118" s="17" t="s">
        <v>3193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3206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2025-08-16T03:00:28Z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