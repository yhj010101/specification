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5710CAA-F7AC-48EA-B449-2C22259CEDCF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8" i="4" l="1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C211" i="56" s="1"/>
  <c r="F21" i="53"/>
  <c r="F44" i="53" s="1"/>
  <c r="Q43" i="53"/>
  <c r="C201" i="56" l="1"/>
  <c r="C174" i="56"/>
  <c r="C86" i="56"/>
  <c r="C7" i="56"/>
  <c r="C171" i="56"/>
  <c r="C117" i="56"/>
  <c r="C192" i="56"/>
  <c r="C138" i="56"/>
  <c r="C77" i="56"/>
  <c r="C176" i="56"/>
  <c r="C216" i="56"/>
  <c r="C189" i="56"/>
  <c r="C162" i="56"/>
  <c r="C135" i="56"/>
  <c r="C102" i="56"/>
  <c r="C6" i="56"/>
  <c r="C210" i="56"/>
  <c r="C156" i="56"/>
  <c r="C129" i="56"/>
  <c r="C99" i="56"/>
  <c r="C116" i="56"/>
  <c r="C104" i="56"/>
  <c r="C122" i="56"/>
  <c r="C183" i="56"/>
  <c r="C207" i="56"/>
  <c r="C180" i="56"/>
  <c r="C153" i="56"/>
  <c r="C126" i="56"/>
  <c r="C94" i="56"/>
  <c r="C85" i="56"/>
  <c r="C157" i="56"/>
  <c r="C120" i="56"/>
  <c r="C19" i="56"/>
  <c r="C144" i="56"/>
  <c r="C209" i="56"/>
  <c r="C169" i="56"/>
  <c r="C10" i="56"/>
  <c r="C147" i="56"/>
  <c r="C79" i="56"/>
  <c r="C198" i="56"/>
  <c r="C83" i="56"/>
  <c r="C219" i="56"/>
  <c r="C165" i="56"/>
  <c r="C111" i="56"/>
  <c r="C146" i="56"/>
  <c r="C206" i="56"/>
  <c r="C170" i="56"/>
  <c r="C140" i="56"/>
  <c r="C76" i="56"/>
  <c r="C121" i="56"/>
  <c r="C208" i="56"/>
  <c r="C151" i="56"/>
  <c r="C222" i="56"/>
  <c r="C204" i="56"/>
  <c r="C186" i="56"/>
  <c r="C168" i="56"/>
  <c r="C150" i="56"/>
  <c r="C132" i="56"/>
  <c r="C114" i="56"/>
  <c r="C97" i="56"/>
  <c r="C80" i="56"/>
  <c r="C107" i="56"/>
  <c r="C69" i="56"/>
  <c r="C200" i="56"/>
  <c r="C167" i="56"/>
  <c r="C134" i="56"/>
  <c r="C72" i="56"/>
  <c r="C87" i="56"/>
  <c r="C136" i="56"/>
  <c r="C24" i="56"/>
  <c r="C101" i="56"/>
  <c r="C63" i="56"/>
  <c r="C191" i="56"/>
  <c r="C164" i="56"/>
  <c r="C128" i="56"/>
  <c r="C60" i="56"/>
  <c r="C29" i="56"/>
  <c r="C118" i="56"/>
  <c r="C202" i="56"/>
  <c r="C41" i="56"/>
  <c r="C12" i="56"/>
  <c r="C221" i="56"/>
  <c r="C188" i="56"/>
  <c r="C119" i="56"/>
  <c r="C15" i="56"/>
  <c r="C48" i="56"/>
  <c r="C78" i="56"/>
  <c r="C108" i="56"/>
  <c r="C96" i="56"/>
  <c r="C155" i="56"/>
  <c r="C13" i="56"/>
  <c r="C213" i="56"/>
  <c r="C195" i="56"/>
  <c r="C177" i="56"/>
  <c r="C159" i="56"/>
  <c r="C141" i="56"/>
  <c r="C123" i="56"/>
  <c r="C105" i="56"/>
  <c r="C89" i="56"/>
  <c r="C8" i="56"/>
  <c r="C91" i="56"/>
  <c r="C212" i="56"/>
  <c r="C185" i="56"/>
  <c r="C149" i="56"/>
  <c r="C113" i="56"/>
  <c r="C4" i="56"/>
  <c r="C84" i="56"/>
  <c r="C187" i="56"/>
  <c r="C53" i="56"/>
  <c r="C224" i="56"/>
  <c r="C203" i="56"/>
  <c r="C182" i="56"/>
  <c r="C158" i="56"/>
  <c r="C137" i="56"/>
  <c r="C110" i="56"/>
  <c r="C5" i="56"/>
  <c r="C103" i="56"/>
  <c r="C26" i="56"/>
  <c r="C100" i="56"/>
  <c r="C62" i="56"/>
  <c r="C37" i="56"/>
  <c r="C145" i="56"/>
  <c r="C218" i="56"/>
  <c r="C194" i="56"/>
  <c r="C173" i="56"/>
  <c r="C152" i="56"/>
  <c r="C131" i="56"/>
  <c r="C82" i="56"/>
  <c r="C3" i="56"/>
  <c r="C28" i="56"/>
  <c r="C31" i="56"/>
  <c r="C32" i="56"/>
  <c r="C220" i="56"/>
  <c r="C75" i="56"/>
  <c r="C93" i="56"/>
  <c r="C54" i="56"/>
  <c r="C193" i="56"/>
  <c r="C74" i="56"/>
  <c r="C56" i="56"/>
  <c r="C172" i="56"/>
  <c r="C27" i="56"/>
  <c r="C115" i="56"/>
  <c r="C130" i="56"/>
  <c r="C52" i="56"/>
  <c r="C88" i="56"/>
  <c r="C51" i="56"/>
  <c r="C175" i="56"/>
  <c r="C65" i="56"/>
  <c r="C55" i="56"/>
  <c r="C154" i="56"/>
  <c r="C38" i="56"/>
  <c r="C50" i="56"/>
  <c r="C95" i="56"/>
  <c r="C178" i="56"/>
  <c r="C223" i="56"/>
  <c r="C71" i="56"/>
  <c r="C112" i="56"/>
  <c r="C127" i="56"/>
  <c r="C44" i="56"/>
  <c r="C215" i="56"/>
  <c r="C197" i="56"/>
  <c r="C179" i="56"/>
  <c r="C161" i="56"/>
  <c r="C143" i="56"/>
  <c r="C125" i="56"/>
  <c r="C98" i="56"/>
  <c r="C66" i="56"/>
  <c r="C11" i="56"/>
  <c r="C139" i="56"/>
  <c r="C57" i="56"/>
  <c r="C34" i="56"/>
  <c r="C190" i="56"/>
  <c r="C73" i="56"/>
  <c r="C205" i="56"/>
  <c r="C81" i="56"/>
  <c r="C184" i="56"/>
  <c r="C46" i="56"/>
  <c r="C109" i="56"/>
  <c r="C67" i="56"/>
  <c r="C58" i="56"/>
  <c r="C217" i="56"/>
  <c r="C43" i="56"/>
  <c r="C30" i="56"/>
  <c r="C163" i="56"/>
  <c r="C36" i="56"/>
  <c r="C40" i="56"/>
  <c r="C14" i="56"/>
  <c r="C133" i="56"/>
  <c r="C33" i="56"/>
  <c r="C166" i="56"/>
  <c r="C70" i="56"/>
  <c r="C199" i="56"/>
  <c r="C92" i="56"/>
  <c r="C160" i="56"/>
  <c r="C16" i="56"/>
  <c r="C25" i="56"/>
  <c r="C148" i="56"/>
  <c r="C61" i="56"/>
  <c r="C181" i="56"/>
  <c r="C68" i="56"/>
  <c r="C142" i="56"/>
  <c r="C2" i="56"/>
  <c r="C214" i="56"/>
  <c r="C106" i="56"/>
  <c r="C42" i="56"/>
  <c r="C20" i="56"/>
  <c r="C47" i="56"/>
  <c r="C59" i="56"/>
  <c r="C196" i="56"/>
  <c r="C90" i="56"/>
  <c r="C35" i="56"/>
  <c r="C17" i="56"/>
  <c r="C21" i="56"/>
  <c r="C23" i="56"/>
  <c r="C64" i="56"/>
  <c r="C18" i="56"/>
  <c r="C39" i="56"/>
  <c r="C9" i="56"/>
  <c r="C124" i="56"/>
  <c r="C49" i="56"/>
  <c r="C45" i="56"/>
  <c r="C22" i="56"/>
  <c r="D186" i="56" l="1"/>
  <c r="D162" i="56"/>
  <c r="D23" i="56"/>
  <c r="D39" i="56"/>
  <c r="D42" i="56"/>
  <c r="D214" i="56"/>
  <c r="D64" i="56"/>
  <c r="D204" i="56"/>
  <c r="D40" i="56"/>
  <c r="D120" i="56"/>
  <c r="D16" i="56"/>
  <c r="D31" i="56"/>
  <c r="D221" i="56"/>
  <c r="D108" i="56"/>
  <c r="D184" i="56"/>
  <c r="D134" i="56"/>
  <c r="D159" i="56"/>
  <c r="D52" i="56"/>
  <c r="D4" i="56"/>
  <c r="D126" i="56"/>
  <c r="D220" i="56"/>
  <c r="D140" i="56"/>
  <c r="D20" i="56"/>
  <c r="D190" i="56"/>
  <c r="D215" i="56"/>
  <c r="D124" i="56"/>
  <c r="D65" i="56"/>
  <c r="D171" i="56"/>
  <c r="D58" i="56"/>
  <c r="D84" i="56"/>
  <c r="D85" i="56"/>
  <c r="D180" i="56"/>
  <c r="D62" i="56"/>
  <c r="D152" i="56"/>
  <c r="D177" i="56"/>
  <c r="D127" i="56"/>
  <c r="D27" i="56"/>
  <c r="D191" i="56"/>
  <c r="D198" i="56"/>
  <c r="D81" i="56"/>
  <c r="D121" i="56"/>
  <c r="D158" i="56"/>
  <c r="D77" i="56"/>
  <c r="D130" i="56"/>
  <c r="D34" i="56"/>
  <c r="D125" i="56"/>
  <c r="D44" i="56"/>
  <c r="D150" i="56"/>
  <c r="D9" i="56"/>
  <c r="D115" i="56"/>
  <c r="D157" i="56"/>
  <c r="D164" i="56"/>
  <c r="D83" i="56"/>
  <c r="D189" i="56"/>
  <c r="D219" i="56"/>
  <c r="D166" i="56"/>
  <c r="D131" i="56"/>
  <c r="D156" i="56"/>
  <c r="D160" i="56"/>
  <c r="D87" i="56"/>
  <c r="D8" i="56"/>
  <c r="D14" i="56"/>
  <c r="D54" i="56"/>
  <c r="D196" i="56"/>
  <c r="D142" i="56"/>
  <c r="D33" i="56"/>
  <c r="D74" i="56"/>
  <c r="D149" i="56"/>
  <c r="D6" i="56"/>
  <c r="D174" i="56"/>
  <c r="D147" i="56"/>
  <c r="D43" i="56"/>
  <c r="D151" i="56"/>
  <c r="D193" i="56"/>
  <c r="D170" i="56"/>
  <c r="D89" i="56"/>
  <c r="D195" i="56"/>
  <c r="D2" i="56"/>
  <c r="D37" i="56"/>
  <c r="D154" i="56"/>
  <c r="D88" i="56"/>
  <c r="D209" i="56"/>
  <c r="D165" i="56"/>
  <c r="D59" i="56"/>
  <c r="D187" i="56"/>
  <c r="D3" i="56"/>
  <c r="D176" i="56"/>
  <c r="D94" i="56"/>
  <c r="D106" i="56"/>
  <c r="D24" i="56"/>
  <c r="D57" i="56"/>
  <c r="D143" i="56"/>
  <c r="D107" i="56"/>
  <c r="D168" i="56"/>
  <c r="D223" i="56"/>
  <c r="D13" i="56"/>
  <c r="D182" i="56"/>
  <c r="D99" i="56"/>
  <c r="D207" i="56"/>
  <c r="D118" i="56"/>
  <c r="D36" i="56"/>
  <c r="D133" i="56"/>
  <c r="D175" i="56"/>
  <c r="D167" i="56"/>
  <c r="D86" i="56"/>
  <c r="D192" i="56"/>
  <c r="D18" i="56"/>
  <c r="D109" i="56"/>
  <c r="D38" i="56"/>
  <c r="D51" i="56"/>
  <c r="D188" i="56"/>
  <c r="D105" i="56"/>
  <c r="D213" i="56"/>
  <c r="D30" i="56"/>
  <c r="D95" i="56"/>
  <c r="D26" i="56"/>
  <c r="D119" i="56"/>
  <c r="D63" i="56"/>
  <c r="D21" i="56"/>
  <c r="D145" i="56"/>
  <c r="D48" i="56"/>
  <c r="D60" i="56"/>
  <c r="D194" i="56"/>
  <c r="D111" i="56"/>
  <c r="D50" i="56"/>
  <c r="D139" i="56"/>
  <c r="D161" i="56"/>
  <c r="D80" i="56"/>
  <c r="D22" i="56"/>
  <c r="D181" i="56"/>
  <c r="D100" i="56"/>
  <c r="D72" i="56"/>
  <c r="D200" i="56"/>
  <c r="D117" i="56"/>
  <c r="D7" i="56"/>
  <c r="D222" i="56"/>
  <c r="D199" i="56"/>
  <c r="D76" i="56"/>
  <c r="D10" i="56"/>
  <c r="D70" i="56"/>
  <c r="D110" i="56"/>
  <c r="D138" i="56"/>
  <c r="D67" i="56"/>
  <c r="D15" i="56"/>
  <c r="D91" i="56"/>
  <c r="D201" i="56"/>
  <c r="D169" i="56"/>
  <c r="D173" i="56"/>
  <c r="D90" i="56"/>
  <c r="D28" i="56"/>
  <c r="D101" i="56"/>
  <c r="D53" i="56"/>
  <c r="D98" i="56"/>
  <c r="D132" i="56"/>
  <c r="D25" i="56"/>
  <c r="D146" i="56"/>
  <c r="D116" i="56"/>
  <c r="D129" i="56"/>
  <c r="D211" i="56"/>
  <c r="D92" i="56"/>
  <c r="D32" i="56"/>
  <c r="D5" i="56"/>
  <c r="D185" i="56"/>
  <c r="D102" i="56"/>
  <c r="D210" i="56"/>
  <c r="D217" i="56"/>
  <c r="D136" i="56"/>
  <c r="D82" i="56"/>
  <c r="D206" i="56"/>
  <c r="D123" i="56"/>
  <c r="D144" i="56"/>
  <c r="D75" i="56"/>
  <c r="D202" i="56"/>
  <c r="D29" i="56"/>
  <c r="D137" i="56"/>
  <c r="D96" i="56"/>
  <c r="D17" i="56"/>
  <c r="D46" i="56"/>
  <c r="D172" i="56"/>
  <c r="D93" i="56"/>
  <c r="D212" i="56"/>
  <c r="D183" i="56"/>
  <c r="D68" i="56"/>
  <c r="D205" i="56"/>
  <c r="D11" i="56"/>
  <c r="D179" i="56"/>
  <c r="D97" i="56"/>
  <c r="D45" i="56"/>
  <c r="D61" i="56"/>
  <c r="D208" i="56"/>
  <c r="D104" i="56"/>
  <c r="D218" i="56"/>
  <c r="D135" i="56"/>
  <c r="D41" i="56"/>
  <c r="D203" i="56"/>
  <c r="D78" i="56"/>
  <c r="D19" i="56"/>
  <c r="D113" i="56"/>
  <c r="D224" i="56"/>
  <c r="D141" i="56"/>
  <c r="D216" i="56"/>
  <c r="D178" i="56"/>
  <c r="D71" i="56"/>
  <c r="D103" i="56"/>
  <c r="D155" i="56"/>
  <c r="D12" i="56"/>
  <c r="D35" i="56"/>
  <c r="D112" i="56"/>
  <c r="D55" i="56"/>
  <c r="D122" i="56"/>
  <c r="D69" i="56"/>
  <c r="D47" i="56"/>
  <c r="D163" i="56"/>
  <c r="D73" i="56"/>
  <c r="D66" i="56"/>
  <c r="D197" i="56"/>
  <c r="D114" i="56"/>
  <c r="D49" i="56"/>
  <c r="D148" i="56"/>
  <c r="D56" i="56"/>
  <c r="D128" i="56"/>
  <c r="D79" i="56"/>
  <c r="D153" i="56"/>
  <c r="F14" i="56" l="1"/>
  <c r="F13" i="56"/>
  <c r="F12" i="56"/>
</calcChain>
</file>

<file path=xl/sharedStrings.xml><?xml version="1.0" encoding="utf-8"?>
<sst xmlns="http://schemas.openxmlformats.org/spreadsheetml/2006/main" count="9695" uniqueCount="3491">
  <si>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</si>
  <si>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</si>
  <si>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</si>
  <si>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</si>
  <si>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</si>
  <si>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</si>
  <si>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</si>
  <si>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</si>
  <si>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</si>
  <si>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</si>
  <si>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</si>
  <si>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</si>
  <si>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</si>
  <si>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</si>
  <si>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</si>
  <si>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</si>
  <si>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</si>
  <si>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</si>
  <si>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</si>
  <si>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</si>
  <si>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</si>
  <si>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</si>
  <si>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</si>
  <si>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</si>
  <si>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</si>
  <si>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</si>
  <si>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</si>
  <si>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</si>
  <si>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</si>
  <si>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</si>
  <si>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</si>
  <si>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</si>
  <si>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</si>
  <si>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</si>
  <si>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</si>
  <si>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</si>
  <si>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</si>
  <si>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</si>
  <si>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</si>
  <si>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</si>
  <si>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</si>
  <si>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</si>
  <si>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</si>
  <si>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</si>
  <si>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</si>
  <si>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</si>
  <si>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</si>
  <si>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</si>
  <si>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</si>
  <si>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</si>
  <si>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</si>
  <si>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</si>
  <si>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</si>
  <si>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</si>
  <si>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</si>
  <si>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</si>
  <si>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</si>
  <si>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</si>
  <si>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</si>
  <si>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</si>
  <si>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</si>
  <si>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</si>
  <si>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</si>
  <si>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</si>
  <si>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</si>
  <si>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</si>
  <si>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</si>
  <si>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</si>
  <si>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</si>
  <si>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</si>
  <si>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</si>
  <si>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</si>
  <si>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</si>
  <si>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</si>
  <si>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</si>
  <si>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</si>
  <si>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</si>
  <si>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</si>
  <si>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</si>
  <si>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</si>
  <si>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</si>
  <si>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</si>
  <si>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</si>
  <si>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</si>
  <si>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</si>
  <si>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</si>
  <si>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</si>
  <si>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</si>
  <si>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</si>
  <si>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</si>
  <si>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</si>
  <si>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</si>
  <si>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</si>
  <si>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</si>
  <si>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</si>
  <si>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</si>
  <si>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</si>
  <si>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</si>
  <si>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</si>
  <si>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</si>
  <si>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</si>
  <si>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</si>
  <si>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</si>
  <si>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</si>
  <si>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</si>
  <si>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</si>
  <si>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</si>
  <si>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</si>
  <si>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</si>
  <si>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</si>
  <si>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</si>
  <si>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</si>
  <si>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</si>
  <si>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</si>
  <si>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</si>
  <si>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</si>
  <si>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</si>
  <si>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</si>
  <si>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</si>
  <si>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</si>
  <si>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</si>
  <si>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</si>
  <si>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</si>
  <si>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</si>
  <si>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</si>
  <si>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</si>
  <si>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</si>
  <si>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</si>
  <si>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</si>
  <si>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</si>
  <si>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</si>
  <si>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</si>
  <si>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</si>
  <si>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</si>
  <si>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</si>
  <si>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</si>
  <si>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</si>
  <si>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</si>
  <si>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</si>
  <si>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</si>
  <si>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</si>
  <si>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</si>
  <si>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</si>
  <si>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</si>
  <si>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</si>
  <si>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</si>
  <si>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</si>
  <si>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</si>
  <si>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</si>
  <si>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</si>
  <si>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</si>
  <si>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</si>
  <si>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</si>
  <si>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</si>
  <si>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</si>
  <si>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</si>
  <si>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</si>
  <si>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</si>
  <si>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</si>
  <si>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</si>
  <si>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</si>
  <si>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</si>
  <si>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</si>
  <si>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</si>
  <si>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</si>
  <si>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</si>
  <si>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</si>
  <si>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</si>
  <si>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</si>
  <si>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</si>
  <si>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</si>
  <si>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</si>
  <si>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</si>
  <si>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</si>
  <si>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</si>
  <si>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</si>
  <si>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</si>
  <si>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</si>
  <si>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</si>
  <si>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</si>
  <si>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</si>
  <si>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</si>
  <si>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</si>
  <si>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</si>
  <si>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</si>
  <si>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</si>
  <si>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</si>
  <si>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</si>
  <si>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</si>
  <si>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</si>
  <si>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</si>
  <si>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</si>
  <si>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</si>
  <si>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</si>
  <si>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</si>
  <si>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</si>
  <si>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</si>
  <si>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</si>
  <si>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</si>
  <si>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</si>
  <si>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</si>
  <si>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</si>
  <si>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</si>
  <si>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</si>
  <si>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</si>
  <si>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</si>
  <si>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</si>
  <si>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</si>
  <si>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</si>
  <si>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</si>
  <si>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</si>
  <si>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</si>
  <si>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</si>
  <si>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</si>
  <si>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</si>
  <si>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</si>
  <si>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</si>
  <si>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</si>
  <si>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</si>
  <si>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</si>
  <si>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</si>
  <si>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</si>
  <si>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</si>
  <si>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</si>
  <si>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</si>
  <si>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</si>
  <si>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</si>
  <si>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</si>
  <si>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</si>
  <si>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</si>
  <si>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</si>
  <si>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</si>
  <si>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</si>
  <si>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</si>
  <si>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</si>
  <si>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</si>
  <si>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</si>
  <si>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</si>
  <si>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</si>
  <si>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</si>
  <si>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</si>
  <si>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</si>
  <si>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</si>
  <si>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</si>
  <si>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</si>
  <si>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</si>
  <si>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</si>
  <si>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</si>
  <si>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</si>
  <si>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</si>
  <si>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</si>
  <si>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</si>
  <si>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</si>
  <si>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</si>
  <si>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</si>
  <si>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</si>
  <si>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</si>
  <si>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</si>
  <si>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</si>
  <si>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</si>
  <si>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</si>
  <si>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</si>
  <si>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</si>
  <si>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</si>
  <si>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</si>
  <si>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</si>
  <si>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</si>
  <si>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</si>
  <si>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</si>
  <si>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</si>
  <si>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</si>
  <si>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</si>
  <si>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</si>
  <si>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</si>
  <si>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</si>
  <si>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</si>
  <si>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</si>
  <si>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</si>
  <si>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</si>
  <si>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</si>
  <si>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</si>
  <si>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</si>
  <si>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</si>
  <si>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</si>
  <si>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</si>
  <si>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</si>
  <si>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</si>
  <si>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</si>
  <si>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</si>
  <si>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</si>
  <si>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</si>
  <si>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</si>
  <si>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</si>
  <si>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</si>
  <si>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</si>
  <si>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</si>
  <si>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</si>
  <si>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</si>
  <si>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</si>
  <si>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</si>
  <si>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</si>
  <si>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</si>
  <si>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</si>
  <si>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</si>
  <si>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</si>
  <si>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</si>
  <si>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</si>
  <si>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</si>
  <si>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</si>
  <si>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</si>
  <si>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</si>
  <si>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</si>
  <si>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</si>
  <si>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</si>
  <si>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</si>
  <si>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</si>
  <si>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</si>
  <si>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</si>
  <si>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</si>
  <si>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</si>
  <si>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</si>
  <si>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</si>
  <si>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</si>
  <si>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</si>
  <si>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</si>
  <si>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</si>
  <si>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</si>
  <si>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</si>
  <si>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</si>
  <si>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</si>
  <si>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</si>
  <si>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</si>
  <si>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</si>
  <si>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</si>
  <si>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</si>
  <si>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</si>
  <si>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</si>
  <si>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</si>
  <si>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</si>
  <si>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</si>
  <si>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</si>
  <si>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</si>
  <si>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</si>
  <si>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</si>
  <si>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</si>
  <si>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</si>
  <si>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</si>
  <si>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</si>
  <si>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</si>
  <si>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</si>
  <si>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</si>
  <si>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</si>
  <si>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</si>
  <si>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</si>
  <si>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</si>
  <si>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</si>
  <si>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</si>
  <si>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</si>
  <si>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</si>
  <si>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</si>
  <si>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</si>
  <si>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</si>
  <si>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</si>
  <si>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</si>
  <si>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</si>
  <si>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</si>
  <si>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</si>
  <si>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</si>
  <si>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</si>
  <si>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</si>
  <si>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</si>
  <si>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</si>
  <si>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</si>
  <si>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</si>
  <si>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</si>
  <si>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</si>
  <si>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</si>
  <si>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</si>
  <si>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</si>
  <si>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</si>
  <si>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</si>
  <si>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</si>
  <si>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</si>
  <si>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</si>
  <si>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</si>
  <si>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</si>
  <si>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</si>
  <si>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</si>
  <si>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</si>
  <si>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</si>
  <si>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</si>
  <si>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</si>
  <si>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</si>
  <si>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</si>
  <si>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</si>
  <si>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</si>
  <si>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</si>
  <si>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</si>
  <si>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</si>
  <si>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</si>
  <si>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</si>
  <si>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</si>
  <si>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</si>
  <si>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</si>
  <si>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</si>
  <si>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</si>
  <si>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</si>
  <si>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</si>
  <si>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</si>
  <si>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</si>
  <si>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</si>
  <si>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</si>
  <si>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</si>
  <si>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</si>
  <si>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</si>
  <si>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</si>
  <si>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</si>
  <si>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</si>
  <si>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</si>
  <si>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</si>
  <si>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</si>
  <si>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</si>
  <si>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</si>
  <si>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</si>
  <si>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</si>
  <si>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</si>
  <si>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</si>
  <si>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</si>
  <si>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</si>
  <si>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</si>
  <si>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</si>
  <si>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</si>
  <si>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</si>
  <si>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</si>
  <si>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</si>
  <si>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</si>
  <si>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</si>
  <si>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</si>
  <si>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</si>
  <si>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</si>
  <si>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</si>
  <si>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</si>
  <si>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</si>
  <si>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</si>
  <si>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</si>
  <si>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</si>
  <si>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</si>
  <si>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</si>
  <si>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</si>
  <si>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</si>
  <si>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</si>
  <si>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</si>
  <si>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</si>
  <si>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</si>
  <si>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</si>
  <si>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</si>
  <si>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</si>
  <si>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</si>
  <si>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</si>
  <si>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</si>
  <si>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</si>
  <si>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</si>
  <si>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</si>
  <si>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</si>
  <si>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</si>
  <si>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</si>
  <si>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</si>
  <si>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</si>
  <si>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</si>
  <si>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</si>
  <si>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</si>
  <si>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</si>
  <si>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</si>
  <si>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</si>
  <si>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</si>
  <si>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</si>
  <si>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</si>
  <si>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</si>
  <si>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</si>
  <si>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</si>
  <si>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</si>
  <si>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</si>
  <si>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</si>
  <si>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</si>
  <si>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</si>
  <si>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</si>
  <si>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</si>
  <si>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</si>
  <si>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</si>
  <si>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</si>
  <si>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</si>
  <si>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</si>
  <si>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</si>
  <si>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</si>
  <si>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</si>
  <si>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</si>
  <si>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</si>
  <si>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</si>
  <si>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</si>
  <si>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</si>
  <si>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</si>
  <si>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</si>
  <si>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</si>
  <si>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</si>
  <si>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</si>
  <si>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</si>
  <si>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</si>
  <si>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</si>
  <si>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</si>
  <si>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</si>
  <si>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</si>
  <si>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</si>
  <si>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</si>
  <si>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</si>
  <si>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</si>
  <si>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</si>
  <si>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</si>
  <si>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</si>
  <si>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</si>
  <si>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</si>
  <si>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</si>
  <si>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</si>
  <si>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</si>
  <si>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</si>
  <si>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</si>
  <si>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</si>
  <si>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</si>
  <si>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</si>
  <si>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</si>
  <si>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</si>
  <si>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</si>
  <si>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</si>
  <si>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</si>
  <si>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</si>
  <si>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</si>
  <si>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</si>
  <si>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</si>
  <si>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</si>
  <si>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</si>
  <si>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</si>
  <si>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</si>
  <si>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</si>
  <si>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</si>
  <si>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</si>
  <si>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</si>
  <si>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</si>
  <si>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</si>
  <si>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</si>
  <si>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</si>
  <si>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</si>
  <si>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</si>
  <si>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</si>
  <si>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</si>
  <si>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</si>
  <si>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</si>
  <si>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</si>
  <si>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</si>
  <si>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</si>
  <si>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</si>
  <si>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</si>
  <si>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</si>
  <si>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</si>
  <si>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</si>
  <si>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</si>
  <si>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</si>
  <si>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</si>
  <si>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</si>
  <si>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</si>
  <si>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</si>
  <si>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</si>
  <si>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</si>
  <si>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</si>
  <si>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</si>
  <si>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</si>
  <si>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</si>
  <si>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</si>
  <si>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</si>
  <si>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</si>
  <si>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</si>
  <si>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</si>
  <si>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</si>
  <si>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</si>
  <si>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</si>
  <si>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</si>
  <si>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</si>
  <si>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</si>
  <si>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</si>
  <si>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</si>
  <si>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</si>
  <si>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</si>
  <si>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</si>
  <si>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</si>
  <si>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</si>
  <si>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</si>
  <si>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</si>
  <si>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</si>
  <si>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</si>
  <si>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</si>
  <si>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</si>
  <si>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</si>
  <si>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</si>
  <si>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</si>
  <si>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</si>
  <si>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</si>
  <si>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</si>
  <si>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</si>
  <si>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</si>
  <si>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</si>
  <si>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</si>
  <si>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</si>
  <si>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</si>
  <si>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</si>
  <si>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</si>
  <si>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</si>
  <si>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</si>
  <si>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</si>
  <si>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</si>
  <si>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</si>
  <si>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</si>
  <si>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</si>
  <si>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</si>
  <si>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</si>
  <si>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</si>
  <si>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</si>
  <si>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</si>
  <si>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</si>
  <si>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</si>
  <si>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</si>
  <si>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</si>
  <si>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</si>
  <si>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</si>
  <si>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</si>
  <si>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</si>
  <si>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</si>
  <si>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</si>
  <si>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</si>
  <si>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</si>
  <si>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</si>
  <si>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</si>
  <si>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</si>
  <si>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</si>
  <si>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</si>
  <si>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</si>
  <si>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</si>
  <si>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</si>
  <si>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</si>
  <si>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</si>
  <si>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</si>
  <si>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</si>
  <si>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</si>
  <si>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</si>
  <si>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</si>
  <si>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</si>
  <si>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</si>
  <si>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</si>
  <si>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</si>
  <si>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</si>
  <si>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</si>
  <si>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</si>
  <si>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</si>
  <si>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</si>
  <si>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</si>
  <si>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</si>
  <si>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</si>
  <si>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</si>
  <si>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</si>
  <si>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</si>
  <si>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</si>
  <si>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</si>
  <si>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</si>
  <si>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</si>
  <si>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</si>
  <si>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</si>
  <si>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</si>
  <si>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</si>
  <si>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</si>
  <si>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</si>
  <si>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</si>
  <si>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</si>
  <si>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</si>
  <si>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</si>
  <si>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</si>
  <si>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</si>
  <si>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</si>
  <si>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</si>
  <si>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</si>
  <si>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</si>
  <si>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</si>
  <si>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</si>
  <si>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</si>
  <si>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</si>
  <si>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</si>
  <si>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</si>
  <si>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</si>
  <si>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</si>
  <si>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</si>
  <si>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</si>
  <si>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</si>
  <si>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</si>
  <si>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</si>
  <si>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</si>
  <si>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</si>
  <si>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</si>
  <si>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</si>
  <si>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</si>
  <si>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</si>
  <si>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</si>
  <si>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</si>
  <si>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</si>
  <si>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</si>
  <si>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</si>
  <si>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</si>
  <si>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</si>
  <si>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</si>
  <si>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</si>
  <si>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</si>
  <si>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</si>
  <si>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</si>
  <si>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</si>
  <si>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</si>
  <si>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</si>
  <si>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</si>
  <si>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</si>
  <si>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</si>
  <si>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</si>
  <si>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</si>
  <si>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</si>
  <si>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</si>
  <si>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</si>
  <si>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</si>
  <si>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</si>
  <si>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</si>
  <si>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</si>
  <si>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</si>
  <si>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</si>
  <si>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</si>
  <si>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</si>
  <si>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</si>
  <si>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</si>
  <si>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</si>
  <si>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</si>
  <si>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</si>
  <si>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</si>
  <si>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</si>
  <si>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</si>
  <si>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</si>
  <si>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</si>
  <si>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</si>
  <si>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</si>
  <si>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</si>
  <si>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</si>
  <si>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</si>
  <si>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</si>
  <si>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</si>
  <si>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</si>
  <si>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</si>
  <si>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</si>
  <si>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</si>
  <si>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</si>
  <si>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</si>
  <si>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</si>
  <si>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</si>
  <si>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</si>
  <si>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</si>
  <si>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</si>
  <si>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</si>
  <si>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</si>
  <si>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</si>
  <si>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</si>
  <si>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</si>
  <si>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</si>
  <si>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</si>
  <si>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</si>
  <si>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</si>
  <si>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</si>
  <si>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</si>
  <si>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</si>
  <si>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</si>
  <si>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</si>
  <si>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</si>
  <si>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</si>
  <si>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</si>
  <si>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</si>
  <si>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</si>
  <si>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</si>
  <si>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</si>
  <si>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</si>
  <si>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</si>
  <si>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</si>
  <si>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</si>
  <si>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</si>
  <si>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</si>
  <si>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</si>
  <si>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</si>
  <si>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</si>
  <si>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</si>
  <si>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</si>
  <si>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</si>
  <si>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</si>
  <si>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</si>
  <si>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</si>
  <si>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</si>
  <si>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</si>
  <si>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</si>
  <si>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</si>
  <si>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</si>
  <si>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</si>
  <si>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</si>
  <si>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</si>
  <si>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</si>
  <si>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</si>
  <si>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</si>
  <si>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</si>
  <si>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</si>
  <si>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</si>
  <si>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</si>
  <si>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</si>
  <si>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</si>
  <si>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</si>
  <si>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</si>
  <si>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</si>
  <si>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</si>
  <si>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</si>
  <si>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</si>
  <si>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</si>
  <si>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</si>
  <si>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</si>
  <si>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</si>
  <si>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</si>
  <si>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</si>
  <si>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</si>
  <si>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</si>
  <si>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</si>
  <si>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</si>
  <si>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</si>
  <si>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</si>
  <si>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</si>
  <si>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</si>
  <si>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</si>
  <si>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</si>
  <si>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</si>
  <si>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</si>
  <si>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</si>
  <si>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</si>
  <si>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</si>
  <si>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</si>
  <si>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</si>
  <si>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</si>
  <si>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</si>
  <si>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</si>
  <si>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</si>
  <si>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</si>
  <si>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</si>
  <si>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</si>
  <si>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</si>
  <si>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</si>
  <si>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</si>
  <si>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</si>
  <si>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</si>
  <si>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</si>
  <si>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</si>
  <si>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</si>
  <si>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</si>
  <si>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</si>
  <si>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</si>
  <si>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</si>
  <si>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</si>
  <si>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</si>
  <si>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</si>
  <si>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</si>
  <si>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</si>
  <si>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</si>
  <si>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</si>
  <si>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</si>
  <si>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</si>
  <si>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</si>
  <si>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</si>
  <si>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</si>
  <si>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</si>
  <si>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</si>
  <si>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</si>
  <si>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</si>
  <si>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</si>
  <si>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</si>
  <si>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</si>
  <si>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</si>
  <si>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</si>
  <si>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</si>
  <si>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</si>
  <si>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</si>
  <si>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</si>
  <si>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</si>
  <si>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</si>
  <si>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</si>
  <si>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</si>
  <si>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</si>
  <si>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</si>
  <si>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</si>
  <si>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</si>
  <si>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</si>
  <si>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</si>
  <si>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</si>
  <si>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</si>
  <si>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</si>
  <si>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</si>
  <si>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</si>
  <si>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</si>
  <si>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</si>
  <si>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</si>
  <si>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</si>
  <si>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</si>
  <si>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</si>
  <si>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</si>
  <si>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</si>
  <si>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</si>
  <si>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</si>
  <si>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</si>
  <si>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</si>
  <si>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</si>
  <si>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</si>
  <si>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</si>
  <si>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</si>
  <si>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</si>
  <si>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</si>
  <si>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</si>
  <si>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</si>
  <si>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</si>
  <si>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</si>
  <si>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</si>
  <si>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</si>
  <si>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</si>
  <si>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</si>
  <si>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</si>
  <si>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</si>
  <si>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</si>
  <si>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</si>
  <si>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</si>
  <si>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</si>
  <si>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</si>
  <si>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</si>
  <si>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</si>
  <si>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</si>
  <si>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</si>
  <si>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</si>
  <si>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</si>
  <si>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</si>
  <si>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</si>
  <si>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</si>
  <si>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</si>
  <si>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</si>
  <si>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</si>
  <si>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</si>
  <si>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</si>
  <si>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</si>
  <si>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</si>
  <si>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</si>
  <si>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</si>
  <si>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</si>
  <si>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</si>
  <si>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</si>
  <si>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</si>
  <si>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</si>
  <si>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</si>
  <si>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</si>
  <si>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</si>
  <si>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</si>
  <si>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</si>
  <si>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</si>
  <si>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</si>
  <si>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</si>
  <si>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</si>
  <si>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</si>
  <si>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</si>
  <si>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</si>
  <si>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</si>
  <si>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</si>
  <si>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</si>
  <si>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</si>
  <si>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</si>
  <si>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</si>
  <si>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</si>
  <si>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</si>
  <si>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</si>
  <si>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</si>
  <si>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</si>
  <si>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</si>
  <si>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</si>
  <si>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</si>
  <si>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</si>
  <si>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</si>
  <si>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</si>
  <si>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</si>
  <si>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</si>
  <si>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</si>
  <si>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</si>
  <si>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</si>
  <si>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</si>
  <si>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</si>
  <si>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</si>
  <si>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</si>
  <si>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</si>
  <si>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</si>
  <si>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</si>
  <si>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</si>
  <si>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</si>
  <si>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</si>
  <si>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</si>
  <si>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</si>
  <si>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</si>
  <si>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</si>
  <si>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</si>
  <si>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</si>
  <si>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</si>
  <si>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</si>
  <si>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</si>
  <si>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</si>
  <si>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</si>
  <si>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</si>
  <si>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</si>
  <si>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</si>
  <si>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</si>
  <si>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</si>
  <si>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</si>
  <si>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</si>
  <si>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</si>
  <si>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</si>
  <si>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</si>
  <si>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</si>
  <si>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</si>
  <si>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</si>
  <si>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</si>
  <si>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</si>
  <si>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</si>
  <si>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</si>
  <si>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</si>
  <si>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</si>
  <si>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</si>
  <si>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</si>
  <si>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</si>
  <si>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</si>
  <si>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</si>
  <si>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</si>
  <si>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</si>
  <si>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</si>
  <si>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</si>
  <si>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</si>
  <si>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</si>
  <si>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</si>
  <si>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</si>
  <si>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</si>
  <si>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</si>
  <si>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</si>
  <si>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</si>
  <si>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</si>
  <si>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</si>
  <si>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</si>
  <si>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</si>
  <si>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</si>
  <si>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</si>
  <si>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</si>
  <si>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</si>
  <si>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</si>
  <si>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</si>
  <si>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</si>
  <si>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</si>
  <si>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</si>
  <si>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</si>
  <si>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</si>
  <si>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</si>
  <si>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</si>
  <si>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</si>
  <si>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</si>
  <si>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</si>
  <si>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</si>
  <si>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</si>
  <si>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</si>
  <si>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</si>
  <si>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</si>
  <si>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</si>
  <si>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</si>
  <si>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</si>
  <si>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</si>
  <si>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</si>
  <si>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</si>
  <si>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</si>
  <si>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</si>
  <si>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</si>
  <si>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</si>
  <si>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</si>
  <si>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</si>
  <si>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</si>
  <si>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</si>
  <si>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</si>
  <si>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</si>
  <si>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</si>
  <si>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</si>
  <si>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</si>
  <si>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</si>
  <si>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</si>
  <si>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</si>
  <si>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</si>
  <si>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</si>
  <si>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</si>
  <si>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</si>
  <si>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</si>
  <si>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</si>
  <si>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</si>
  <si>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</si>
  <si>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</si>
  <si>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</si>
  <si>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</si>
  <si>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</si>
  <si>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</si>
  <si>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</si>
  <si>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</si>
  <si>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</si>
  <si>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</si>
  <si>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</si>
  <si>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</si>
  <si>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</si>
  <si>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</si>
  <si>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</si>
  <si>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</si>
  <si>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</si>
  <si>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</si>
  <si>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</si>
  <si>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</si>
  <si>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</si>
  <si>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</si>
  <si>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</si>
  <si>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</si>
  <si>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</si>
  <si>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</si>
  <si>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</si>
  <si>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</si>
  <si>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</si>
  <si>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</si>
  <si>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</si>
  <si>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</si>
  <si>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</si>
  <si>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</si>
  <si>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</si>
  <si>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</si>
  <si>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</si>
  <si>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</si>
  <si>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</si>
  <si>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</si>
  <si>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</si>
  <si>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</si>
  <si>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</si>
  <si>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</si>
  <si>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</si>
  <si>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</si>
  <si>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</si>
  <si>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</si>
  <si>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</si>
  <si>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</si>
  <si>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</si>
  <si>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</si>
  <si>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</si>
  <si>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</si>
  <si>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</si>
  <si>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</si>
  <si>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</si>
  <si>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</si>
  <si>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</si>
  <si>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</si>
  <si>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</si>
  <si>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</si>
  <si>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</si>
  <si>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</si>
  <si>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</si>
  <si>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</si>
  <si>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</si>
  <si>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</si>
  <si>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</si>
  <si>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</si>
  <si>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</si>
  <si>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</si>
  <si>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</si>
  <si>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</si>
  <si>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</si>
  <si>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</si>
  <si>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</si>
  <si>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</si>
  <si>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</si>
  <si>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</si>
  <si>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</si>
  <si>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</si>
  <si>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</si>
  <si>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</si>
  <si>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</si>
  <si>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</si>
  <si>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</si>
  <si>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</si>
  <si>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</si>
  <si>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</si>
  <si>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</si>
  <si>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</si>
  <si>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</si>
  <si>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</si>
  <si>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</si>
  <si>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</si>
  <si>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</si>
  <si>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</si>
  <si>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</si>
  <si>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</si>
  <si>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</si>
  <si>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</si>
  <si>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</si>
  <si>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</si>
  <si>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</si>
  <si>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</si>
  <si>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</si>
  <si>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</si>
  <si>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</si>
  <si>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</si>
  <si>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</si>
  <si>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</si>
  <si>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</si>
  <si>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</si>
  <si>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</si>
  <si>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</si>
  <si>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</si>
  <si>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</si>
  <si>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</si>
  <si>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</si>
  <si>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</si>
  <si>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</si>
  <si>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</si>
  <si>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</si>
  <si>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</si>
  <si>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</si>
  <si>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</si>
  <si>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</si>
  <si>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</si>
  <si>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</si>
  <si>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</si>
  <si>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</si>
  <si>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</si>
  <si>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</si>
  <si>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</si>
  <si>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</si>
  <si>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</si>
  <si>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</si>
  <si>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</si>
  <si>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</si>
  <si>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</si>
  <si>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</si>
  <si>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</si>
  <si>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</si>
  <si>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</si>
  <si>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</si>
  <si>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</si>
  <si>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</si>
  <si>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</si>
  <si>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</si>
  <si>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</si>
  <si>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</si>
  <si>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</si>
  <si>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</si>
  <si>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</si>
  <si>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</si>
  <si>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</si>
  <si>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</si>
  <si>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</si>
  <si>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</si>
  <si>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</si>
  <si>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</si>
  <si>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</si>
  <si>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</si>
  <si>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</si>
  <si>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</si>
  <si>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</si>
  <si>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</si>
  <si>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</si>
  <si>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</si>
  <si>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</si>
  <si>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</si>
  <si>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</si>
  <si>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</si>
  <si>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</si>
  <si>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</si>
  <si>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</si>
  <si>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</si>
  <si>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</si>
  <si>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</si>
  <si>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</si>
  <si>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</si>
  <si>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</si>
  <si>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</si>
  <si>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</si>
  <si>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</si>
  <si>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</si>
  <si>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</si>
  <si>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</si>
  <si>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</si>
  <si>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</si>
  <si>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</si>
  <si>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</si>
  <si>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</si>
  <si>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</si>
  <si>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</si>
  <si>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</si>
  <si>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</si>
  <si>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</si>
  <si>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</si>
  <si>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</si>
  <si>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</si>
  <si>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</si>
  <si>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</si>
  <si>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</si>
  <si>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</si>
  <si>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</si>
  <si>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</si>
  <si>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</si>
  <si>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</si>
  <si>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</si>
  <si>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</si>
  <si>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</si>
  <si>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</si>
  <si>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</si>
  <si>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</si>
  <si>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</si>
  <si>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</si>
  <si>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</si>
  <si>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</si>
  <si>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</si>
  <si>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</si>
  <si>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</si>
  <si>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</si>
  <si>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</si>
  <si>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</si>
  <si>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</si>
  <si>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</si>
  <si>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</si>
  <si>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</si>
  <si>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</si>
  <si>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</si>
  <si>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</si>
  <si>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</si>
  <si>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</si>
  <si>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</si>
  <si>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</si>
  <si>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</si>
  <si>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</si>
  <si>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</si>
  <si>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</si>
  <si>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</si>
  <si>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</si>
  <si>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</si>
  <si>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</si>
  <si>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</si>
  <si>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</si>
  <si>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</si>
  <si>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</si>
  <si>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</si>
  <si>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</si>
  <si>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</si>
  <si>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</si>
  <si>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</si>
  <si>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</si>
  <si>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</si>
  <si>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</si>
  <si>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</si>
  <si>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</si>
  <si>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</si>
  <si>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</si>
  <si>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</si>
  <si>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</si>
  <si>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</si>
  <si>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</si>
  <si>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</si>
  <si>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</si>
  <si>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</si>
  <si>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</si>
  <si>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</si>
  <si>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</si>
  <si>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</si>
  <si>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</si>
  <si>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</si>
  <si>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</si>
  <si>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</si>
  <si>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</si>
  <si>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</si>
  <si>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</si>
  <si>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</si>
  <si>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</si>
  <si>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</si>
  <si>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</si>
  <si>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</si>
  <si>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</si>
  <si>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</si>
  <si>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</si>
  <si>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</si>
  <si>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</si>
  <si>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</si>
  <si>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</si>
  <si>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</si>
  <si>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</si>
  <si>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</si>
  <si>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</si>
  <si>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</si>
  <si>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</si>
  <si>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</si>
  <si>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</si>
  <si>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</si>
  <si>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</si>
  <si>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</si>
  <si>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</si>
  <si>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</si>
  <si>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</si>
  <si>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</si>
  <si>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</si>
  <si>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</si>
  <si>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</si>
  <si>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</si>
  <si>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</si>
  <si>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</si>
  <si>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</si>
  <si>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</si>
  <si>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</si>
  <si>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</si>
  <si>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</si>
  <si>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</si>
  <si>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</si>
  <si>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</si>
  <si>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</si>
  <si>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</si>
  <si>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</si>
  <si>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</si>
  <si>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</si>
  <si>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</si>
  <si>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</si>
  <si>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</si>
  <si>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</si>
  <si>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</si>
  <si>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</si>
  <si>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</si>
  <si>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</si>
  <si>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</si>
  <si>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</si>
  <si>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</si>
  <si>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</si>
  <si>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</si>
  <si>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</si>
  <si>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</si>
  <si>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</si>
  <si>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</si>
  <si>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</si>
  <si>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</si>
  <si>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</si>
  <si>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</si>
  <si>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</si>
  <si>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</si>
  <si>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</si>
  <si>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</si>
  <si>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</si>
  <si>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</si>
  <si>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</si>
  <si>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</si>
  <si>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</si>
  <si>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</si>
  <si>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</si>
  <si>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</si>
  <si>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</si>
  <si>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</si>
  <si>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</si>
  <si>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</si>
  <si>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</si>
  <si>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</si>
  <si>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</si>
  <si>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</si>
  <si>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</si>
  <si>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</si>
  <si>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</si>
  <si>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</si>
  <si>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</si>
  <si>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</si>
  <si>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</si>
  <si>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</si>
  <si>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</si>
  <si>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</si>
  <si>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</si>
  <si>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</si>
  <si>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</si>
  <si>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</si>
  <si>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</si>
  <si>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</si>
  <si>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</si>
  <si>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</si>
  <si>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</si>
  <si>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</si>
  <si>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</si>
  <si>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</si>
  <si>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</si>
  <si>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</si>
  <si>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</si>
  <si>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</si>
  <si>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</si>
  <si>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</si>
  <si>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</si>
  <si>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</si>
  <si>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</si>
  <si>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</si>
  <si>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</si>
  <si>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</si>
  <si>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</si>
  <si>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</si>
  <si>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</si>
  <si>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</si>
  <si>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</si>
  <si>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</si>
  <si>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</si>
  <si>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</si>
  <si>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</si>
  <si>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</si>
  <si>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</si>
  <si>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</si>
  <si>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</si>
  <si>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</si>
  <si>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</si>
  <si>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</si>
  <si>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</si>
  <si>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</si>
  <si>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</si>
  <si>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</si>
  <si>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</si>
  <si>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</si>
  <si>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</si>
  <si>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</si>
  <si>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</si>
  <si>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</si>
  <si>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</si>
  <si>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</si>
  <si>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</si>
  <si>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</si>
  <si>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</si>
  <si>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</si>
  <si>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</si>
  <si>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</si>
  <si>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</si>
  <si>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</si>
  <si>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</si>
  <si>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</si>
  <si>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</si>
  <si>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</si>
  <si>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</si>
  <si>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</si>
  <si>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</si>
  <si>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</si>
  <si>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</si>
  <si>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</si>
  <si>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</si>
  <si>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</si>
  <si>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</si>
  <si>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</si>
  <si>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</si>
  <si>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</si>
  <si>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</si>
  <si>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</si>
  <si>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</si>
  <si>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</si>
  <si>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</si>
  <si>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</si>
  <si>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</si>
  <si>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</si>
  <si>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</si>
  <si>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</si>
  <si>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</si>
  <si>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</si>
  <si>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</si>
  <si>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</si>
  <si>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</si>
  <si>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</si>
  <si>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</si>
  <si>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</si>
  <si>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</si>
  <si>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</si>
  <si>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</si>
  <si>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</si>
  <si>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</si>
  <si>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</si>
  <si>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</si>
  <si>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</si>
  <si>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</si>
  <si>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</si>
  <si>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</si>
  <si>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</si>
  <si>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</si>
  <si>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</si>
  <si>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</si>
  <si>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</si>
  <si>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</si>
  <si>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</si>
  <si>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</si>
  <si>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</si>
  <si>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</si>
  <si>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</si>
  <si>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</si>
  <si>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</si>
  <si>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</si>
  <si>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</si>
  <si>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</si>
  <si>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</si>
  <si>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</si>
  <si>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</si>
  <si>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</si>
  <si>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</si>
  <si>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</si>
  <si>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</si>
  <si>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</si>
  <si>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</si>
  <si>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</si>
  <si>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</si>
  <si>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</si>
  <si>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</si>
  <si>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</si>
  <si>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</si>
  <si>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</si>
  <si>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</si>
  <si>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</si>
  <si>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</si>
  <si>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</si>
  <si>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</si>
  <si>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</si>
  <si>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</si>
  <si>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</si>
  <si>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</si>
  <si>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</si>
  <si>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</si>
  <si>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</si>
  <si>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</si>
  <si>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</si>
  <si>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</si>
  <si>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</si>
  <si>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</si>
  <si>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</si>
  <si>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</si>
  <si>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</si>
  <si>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</si>
  <si>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</si>
  <si>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</si>
  <si>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</si>
  <si>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</si>
  <si>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</si>
  <si>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</si>
  <si>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</si>
  <si>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</si>
  <si>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</si>
  <si>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</si>
  <si>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</si>
  <si>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</si>
  <si>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</si>
  <si>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</si>
  <si>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</si>
  <si>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</si>
  <si>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</si>
  <si>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</si>
  <si>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</si>
  <si>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</si>
  <si>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</si>
  <si>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</si>
  <si>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</si>
  <si>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</si>
  <si>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</si>
  <si>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</si>
  <si>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</si>
  <si>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</si>
  <si>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</si>
  <si>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</si>
  <si>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</si>
  <si>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</si>
  <si>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</si>
  <si>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</si>
  <si>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</si>
  <si>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</si>
  <si>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</si>
  <si>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</si>
  <si>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</si>
  <si>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</si>
  <si>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</si>
  <si>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</si>
  <si>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</si>
  <si>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</si>
  <si>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</si>
  <si>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</si>
  <si>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</si>
  <si>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</si>
  <si>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</si>
  <si>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</si>
  <si>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</si>
  <si>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</si>
  <si>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</si>
  <si>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</si>
  <si>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</si>
  <si>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</si>
  <si>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</si>
  <si>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</si>
  <si>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</si>
  <si>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</si>
  <si>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</si>
  <si>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</si>
  <si>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</si>
  <si>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</si>
  <si>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</si>
  <si>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</si>
  <si>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</si>
  <si>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</si>
  <si>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</si>
  <si>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</si>
  <si>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</si>
  <si>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</si>
  <si>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</si>
  <si>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</si>
  <si>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</si>
  <si>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</si>
  <si>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</si>
  <si>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</si>
  <si>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</si>
  <si>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</si>
  <si>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</si>
  <si>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</si>
  <si>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</si>
  <si>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</si>
  <si>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</si>
  <si>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</si>
  <si>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</si>
  <si>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</si>
  <si>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</si>
  <si>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</si>
  <si>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</si>
  <si>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</si>
  <si>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</si>
  <si>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</si>
  <si>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</si>
  <si>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</si>
  <si>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</si>
  <si>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</si>
  <si>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</si>
  <si>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</si>
  <si>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</si>
  <si>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</si>
  <si>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</si>
  <si>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</si>
  <si>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</si>
  <si>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</si>
  <si>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</si>
  <si>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</si>
  <si>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</si>
  <si>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</si>
  <si>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</si>
  <si>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</si>
  <si>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</si>
  <si>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</si>
  <si>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</si>
  <si>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</si>
  <si>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</si>
  <si>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</si>
  <si>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</si>
  <si>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</si>
  <si>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</si>
  <si>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</si>
  <si>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</si>
  <si>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</si>
  <si>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</si>
  <si>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</si>
  <si>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</si>
  <si>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</si>
  <si>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</si>
  <si>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</si>
  <si>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</si>
  <si>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</si>
  <si>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</si>
  <si>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</si>
  <si>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</si>
  <si>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</si>
  <si>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</si>
  <si>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</si>
  <si>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</si>
  <si>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</si>
  <si>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</si>
  <si>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</si>
  <si>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</si>
  <si>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</si>
  <si>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</si>
  <si>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</si>
  <si>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</si>
  <si>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</si>
  <si>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</si>
  <si>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</si>
  <si>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</si>
  <si>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</si>
  <si>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</si>
  <si>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</si>
  <si>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</si>
  <si>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</si>
  <si>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</si>
  <si>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</si>
  <si>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</si>
  <si>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</si>
  <si>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</si>
  <si>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</si>
  <si>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</si>
  <si>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</si>
  <si>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</si>
  <si>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</si>
  <si>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</si>
  <si>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</si>
  <si>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</si>
  <si>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</si>
  <si>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</si>
  <si>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</si>
  <si>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</si>
  <si>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</si>
  <si>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</si>
  <si>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</si>
  <si>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</si>
  <si>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</si>
  <si>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</si>
  <si>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</si>
  <si>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</si>
  <si>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</si>
  <si>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</si>
  <si>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</si>
  <si>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</si>
  <si>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</si>
  <si>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</si>
  <si>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</si>
  <si>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</si>
  <si>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</si>
  <si>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</si>
  <si>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</si>
  <si>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</si>
  <si>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</si>
  <si>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</si>
  <si>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</si>
  <si>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</si>
  <si>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</si>
  <si>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</si>
  <si>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</si>
  <si>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</si>
  <si>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</si>
  <si>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</si>
  <si>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</si>
  <si>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</si>
  <si>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</si>
  <si>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</si>
  <si>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</si>
  <si>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</si>
  <si>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</si>
  <si>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</si>
  <si>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</si>
  <si>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</si>
  <si>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</si>
  <si>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</si>
  <si>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</si>
  <si>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</si>
  <si>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</si>
  <si>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</si>
  <si>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</si>
  <si>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</si>
  <si>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</si>
  <si>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</si>
  <si>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</si>
  <si>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</si>
  <si>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</si>
  <si>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</si>
  <si>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</si>
  <si>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</si>
  <si>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</si>
  <si>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</si>
  <si>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</si>
  <si>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</si>
  <si>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</si>
  <si>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</si>
  <si>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</si>
  <si>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</si>
  <si>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</si>
  <si>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</si>
  <si>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</si>
  <si>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</si>
  <si>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</si>
  <si>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</si>
  <si>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</si>
  <si>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</si>
  <si>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</si>
  <si>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</si>
  <si>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</si>
  <si>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</si>
  <si>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</si>
  <si>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</si>
  <si>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</si>
  <si>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</si>
  <si>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</si>
  <si>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</si>
  <si>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</si>
  <si>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</si>
  <si>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</si>
  <si>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</si>
  <si>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</si>
  <si>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</si>
  <si>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</si>
  <si>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</si>
  <si>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</si>
  <si>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</si>
  <si>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</si>
  <si>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</si>
  <si>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</si>
  <si>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</si>
  <si>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</si>
  <si>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</si>
  <si>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</si>
  <si>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</si>
  <si>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</si>
  <si>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</si>
  <si>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</si>
  <si>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</si>
  <si>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</si>
  <si>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</si>
  <si>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</si>
  <si>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</si>
  <si>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</si>
  <si>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</si>
  <si>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</si>
  <si>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</si>
  <si>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</si>
  <si>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</si>
  <si>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</si>
  <si>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</si>
  <si>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</si>
  <si>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</si>
  <si>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</si>
  <si>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</si>
  <si>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</si>
  <si>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</si>
  <si>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</si>
  <si>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</si>
  <si>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</si>
  <si>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</si>
  <si>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</si>
  <si>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</si>
  <si>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</si>
  <si>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</si>
  <si>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</si>
  <si>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</si>
  <si>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</si>
  <si>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</si>
  <si>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</si>
  <si>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</si>
  <si>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</si>
  <si>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</si>
  <si>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</si>
  <si>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</si>
  <si>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</si>
  <si>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</si>
  <si>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</si>
  <si>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</si>
  <si>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</si>
  <si>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</si>
  <si>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</si>
  <si>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</si>
  <si>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</si>
  <si>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</si>
  <si>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</si>
  <si>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</si>
  <si>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</si>
  <si>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</si>
  <si>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</si>
  <si>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</si>
  <si>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</si>
  <si>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</si>
  <si>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</si>
  <si>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</si>
  <si>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</si>
  <si>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</si>
  <si>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</si>
  <si>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</si>
  <si>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</si>
  <si>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</si>
  <si>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</si>
  <si>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</si>
  <si>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</si>
  <si>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</si>
  <si>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</si>
  <si>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</si>
  <si>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</si>
  <si>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</si>
  <si>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</si>
  <si>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</si>
  <si>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</si>
  <si>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</si>
  <si>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</si>
  <si>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</si>
  <si>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</si>
  <si>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</si>
  <si>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</si>
  <si>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</si>
  <si>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</si>
  <si>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</si>
  <si>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</si>
  <si>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</si>
  <si>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</si>
  <si>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</si>
  <si>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</si>
  <si>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</si>
  <si>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</si>
  <si>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</si>
  <si>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</si>
  <si>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</si>
  <si>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</si>
  <si>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</si>
  <si>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</si>
  <si>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</si>
  <si>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</si>
  <si>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</si>
  <si>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</si>
  <si>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</si>
  <si>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</si>
  <si>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</si>
  <si>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</si>
  <si>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</si>
  <si>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</si>
  <si>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</si>
  <si>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</si>
  <si>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</si>
  <si>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</si>
  <si>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</si>
  <si>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</si>
  <si>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</si>
  <si>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</si>
  <si>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</si>
  <si>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</si>
  <si>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</si>
  <si>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</si>
  <si>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</si>
  <si>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</si>
  <si>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</si>
  <si>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</si>
  <si>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</si>
  <si>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</si>
  <si>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</si>
  <si>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</si>
  <si>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</si>
  <si>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</si>
  <si>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</si>
  <si>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</si>
  <si>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</si>
  <si>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</si>
  <si>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</si>
  <si>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</si>
  <si>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</si>
  <si>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</si>
  <si>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</si>
  <si>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</si>
  <si>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</si>
  <si>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</si>
  <si>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</si>
  <si>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</si>
  <si>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</si>
  <si>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</si>
  <si>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</si>
  <si>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</si>
  <si>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</si>
  <si>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</si>
  <si>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</si>
  <si>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</si>
  <si>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</si>
  <si>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</si>
  <si>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</si>
  <si>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</si>
  <si>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</si>
  <si>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</si>
  <si>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</si>
  <si>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</si>
  <si>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</si>
  <si>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</si>
  <si>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</si>
  <si>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</si>
  <si>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</si>
  <si>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</si>
  <si>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</si>
  <si>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</si>
  <si>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</si>
  <si>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</si>
  <si>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</si>
  <si>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</si>
  <si>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</si>
  <si>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</si>
  <si>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</si>
  <si>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</si>
  <si>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</si>
  <si>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</si>
  <si>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</si>
  <si>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</si>
  <si>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</si>
  <si>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</si>
  <si>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</si>
  <si>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</si>
  <si>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</si>
  <si>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</si>
  <si>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</si>
  <si>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</si>
  <si>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</si>
  <si>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</si>
  <si>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</si>
  <si>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</si>
  <si>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</si>
  <si>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</si>
  <si>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</si>
  <si>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</si>
  <si>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</si>
  <si>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</si>
  <si>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</si>
  <si>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</si>
  <si>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</si>
  <si>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</si>
  <si>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</si>
  <si>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</si>
  <si>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</si>
  <si>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</si>
  <si>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</si>
  <si>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</si>
  <si>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</si>
  <si>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</si>
  <si>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</si>
  <si>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</si>
  <si>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</si>
  <si>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</si>
  <si>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</si>
  <si>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</si>
  <si>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</si>
  <si>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</si>
  <si>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</si>
  <si>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</si>
  <si>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</si>
  <si>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</si>
  <si>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</si>
  <si>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</si>
  <si>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</si>
  <si>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</si>
  <si>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</si>
  <si>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</si>
  <si>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</si>
  <si>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</si>
  <si>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</si>
  <si>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</si>
  <si>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</si>
  <si>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</si>
  <si>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</si>
  <si>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</si>
  <si>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</si>
  <si>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</si>
  <si>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</si>
  <si>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</si>
  <si>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</si>
  <si>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</si>
  <si>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</si>
  <si>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</si>
  <si>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</si>
  <si>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</si>
  <si>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</si>
  <si>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</si>
  <si>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</si>
  <si>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</si>
  <si>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</si>
  <si>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</si>
  <si>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</si>
  <si>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</si>
  <si>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</si>
  <si>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</si>
  <si>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</si>
  <si>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</si>
  <si>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</si>
  <si>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</si>
  <si>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</si>
  <si>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</si>
  <si>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</si>
  <si>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</si>
  <si>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</si>
  <si>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</si>
  <si>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</si>
  <si>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</si>
  <si>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</si>
  <si>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</si>
  <si>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</si>
  <si>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</si>
  <si>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</si>
  <si>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</si>
  <si>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</si>
  <si>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</si>
  <si>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</si>
  <si>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</si>
  <si>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</si>
  <si>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</si>
  <si>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</si>
  <si>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</si>
  <si>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</si>
  <si>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</si>
  <si>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</si>
  <si>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</si>
  <si>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</si>
  <si>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</si>
  <si>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</si>
  <si>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</si>
  <si>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</si>
  <si>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</si>
  <si>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</si>
  <si>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</si>
  <si>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</si>
  <si>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</si>
  <si>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</si>
  <si>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</si>
  <si>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</si>
  <si>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</si>
  <si>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</si>
  <si>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</si>
  <si>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</si>
  <si>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</si>
  <si>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</si>
  <si>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</si>
  <si>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</si>
  <si>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</si>
  <si>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</si>
  <si>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</si>
  <si>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</si>
  <si>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</si>
  <si>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</si>
  <si>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</si>
  <si>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</si>
  <si>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</si>
  <si>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</si>
  <si>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</si>
  <si>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</si>
  <si>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</si>
  <si>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</si>
  <si>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</si>
  <si>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</si>
  <si>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</si>
  <si>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</si>
  <si>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</si>
  <si>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</si>
  <si>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</si>
  <si>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</si>
  <si>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</si>
  <si>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</si>
  <si>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</si>
  <si>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</si>
  <si>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</si>
  <si>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</si>
  <si>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</si>
  <si>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</si>
  <si>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</si>
  <si>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</si>
  <si>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</si>
  <si>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</si>
  <si>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</si>
  <si>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</si>
  <si>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</si>
  <si>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</si>
  <si>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</si>
  <si>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</si>
  <si>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</si>
  <si>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</si>
  <si>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</si>
  <si>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</si>
  <si>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</si>
  <si>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</si>
  <si>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</si>
  <si>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</si>
  <si>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</si>
  <si>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</si>
  <si>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</si>
  <si>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</si>
  <si>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</si>
  <si>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</si>
  <si>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</si>
  <si>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</si>
  <si>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</si>
  <si>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</si>
  <si>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</si>
  <si>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</si>
  <si>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</si>
  <si>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</si>
  <si>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</si>
  <si>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</si>
  <si>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</si>
  <si>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</si>
  <si>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</si>
  <si>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</si>
  <si>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</si>
  <si>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</si>
  <si>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</si>
  <si>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</si>
  <si>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</si>
  <si>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</si>
  <si>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</si>
  <si>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</si>
  <si>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</si>
  <si>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</si>
  <si>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</si>
  <si>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</si>
  <si>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</si>
  <si>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</si>
  <si>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</si>
  <si>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</si>
  <si>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</si>
  <si>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</si>
  <si>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</si>
  <si>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</si>
  <si>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</si>
  <si>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</si>
  <si>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</si>
  <si>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</si>
  <si>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</si>
  <si>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</si>
  <si>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</si>
  <si>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</si>
  <si>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</si>
  <si>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</si>
  <si>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</si>
  <si>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</si>
  <si>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</si>
  <si>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</si>
  <si>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</si>
  <si>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</si>
  <si>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</si>
  <si>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</si>
  <si>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</si>
  <si>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</si>
  <si>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</si>
  <si>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</si>
  <si>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</si>
  <si>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</si>
  <si>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</si>
  <si>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</si>
  <si>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</si>
  <si>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</si>
  <si>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</si>
  <si>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</si>
  <si>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</si>
  <si>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</si>
  <si>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</si>
  <si>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</si>
  <si>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</si>
  <si>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</si>
  <si>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</si>
  <si>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</si>
  <si>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</si>
  <si>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</si>
  <si>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</si>
  <si>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</si>
  <si>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</si>
  <si>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</si>
  <si>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</si>
  <si>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</si>
  <si>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</si>
  <si>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</si>
  <si>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</si>
  <si>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</si>
  <si>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</si>
  <si>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</si>
  <si>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</si>
  <si>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</si>
  <si>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</si>
  <si>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</si>
  <si>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</si>
  <si>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</si>
  <si>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</si>
  <si>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</si>
  <si>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</si>
  <si>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</si>
  <si>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</si>
  <si>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</si>
  <si>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</si>
  <si>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</si>
  <si>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</si>
  <si>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</si>
  <si>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</si>
  <si>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</si>
  <si>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</si>
  <si>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</si>
  <si>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</si>
  <si>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</si>
  <si>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</si>
  <si>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</si>
  <si>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</si>
  <si>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</si>
  <si>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</si>
  <si>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</si>
  <si>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</si>
  <si>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</si>
  <si>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</si>
  <si>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</si>
  <si>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</si>
  <si>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</si>
  <si>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</si>
  <si>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</si>
  <si>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</si>
  <si>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</si>
  <si>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</si>
  <si>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</si>
  <si>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</si>
  <si>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</si>
  <si>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</si>
  <si>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</si>
  <si>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</si>
  <si>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</si>
  <si>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</si>
  <si>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</si>
  <si>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</si>
  <si>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</si>
  <si>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</si>
  <si>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</si>
  <si>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</si>
  <si>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</si>
  <si>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</si>
  <si>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</si>
  <si>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</si>
  <si>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</si>
  <si>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</si>
  <si>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</si>
  <si>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</si>
  <si>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</si>
  <si>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</si>
  <si>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</si>
  <si>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</si>
  <si>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</si>
  <si>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</si>
  <si>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</si>
  <si>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</si>
  <si>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</si>
  <si>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</si>
  <si>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</si>
  <si>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</si>
  <si>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</si>
  <si>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</si>
  <si>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</si>
  <si>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</si>
  <si>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</si>
  <si>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</si>
  <si>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</si>
  <si>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</si>
  <si>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</si>
  <si>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</si>
  <si>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</si>
  <si>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</si>
  <si>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</si>
  <si>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</si>
  <si>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</si>
  <si>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</si>
  <si>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</si>
  <si>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</si>
  <si>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</si>
  <si>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</si>
  <si>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</si>
  <si>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</si>
  <si>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</si>
  <si>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</si>
  <si>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</si>
  <si>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</si>
  <si>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</si>
  <si>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</si>
  <si>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</si>
  <si>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</si>
  <si>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</si>
  <si>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</si>
  <si>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</si>
  <si>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</si>
  <si>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</si>
  <si>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</si>
  <si>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</si>
  <si>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</si>
  <si>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</si>
  <si>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</si>
  <si>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</si>
  <si>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</si>
  <si>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</si>
  <si>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</si>
  <si>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</si>
  <si>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</si>
  <si>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</si>
  <si>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</si>
  <si>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</si>
  <si>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</si>
  <si>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</si>
  <si>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</si>
  <si>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</si>
  <si>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</si>
  <si>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</si>
  <si>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</si>
  <si>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</si>
  <si>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</si>
  <si>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</si>
  <si>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</si>
  <si>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</si>
  <si>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</si>
  <si>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</si>
  <si>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</si>
  <si>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</si>
  <si>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</si>
  <si>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</si>
  <si>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</si>
  <si>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</si>
  <si>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</si>
  <si>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</si>
  <si>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</si>
  <si>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</si>
  <si>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</si>
  <si>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</si>
  <si>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</si>
  <si>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</si>
  <si>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</si>
  <si>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</si>
  <si>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</si>
  <si>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</si>
  <si>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</si>
  <si>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</si>
  <si>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</si>
  <si>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</si>
  <si>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</si>
  <si>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</si>
  <si>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</si>
  <si>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</si>
  <si>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</si>
  <si>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</si>
  <si>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</si>
  <si>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</si>
  <si>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</si>
  <si>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</si>
  <si>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</si>
  <si>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</si>
  <si>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</si>
  <si>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</si>
  <si>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</si>
  <si>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</si>
  <si>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</si>
  <si>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</si>
  <si>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</si>
  <si>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</si>
  <si>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</si>
  <si>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</si>
  <si>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</si>
  <si>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</si>
  <si>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</si>
  <si>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</si>
  <si>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</si>
  <si>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</si>
  <si>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</si>
  <si>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</si>
  <si>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</si>
  <si>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</si>
  <si>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</si>
  <si>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</si>
  <si>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</si>
  <si>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</si>
  <si>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</si>
  <si>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</si>
  <si>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</si>
  <si>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</si>
  <si>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</si>
  <si>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</si>
  <si>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</si>
  <si>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</si>
  <si>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</si>
  <si>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</si>
  <si>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</si>
  <si>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</si>
  <si>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</si>
  <si>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</si>
  <si>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</si>
  <si>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</si>
  <si>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</si>
  <si>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</si>
  <si>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</si>
  <si>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</si>
  <si>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</si>
  <si>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</si>
  <si>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</si>
  <si>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</si>
  <si>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</si>
  <si>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</si>
  <si>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</si>
  <si>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</si>
  <si>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</si>
  <si>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</si>
  <si>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</si>
  <si>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</si>
  <si>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</si>
  <si>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</si>
  <si>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</si>
  <si>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</si>
  <si>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</si>
  <si>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</si>
  <si>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</si>
  <si>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</si>
  <si>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</si>
  <si>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</si>
  <si>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</si>
  <si>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</si>
  <si>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</si>
  <si>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</si>
  <si>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</si>
  <si>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</si>
  <si>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</si>
  <si>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</si>
  <si>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</si>
  <si>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</si>
  <si>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</si>
  <si>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</si>
  <si>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</si>
  <si>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</si>
  <si>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</si>
  <si>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</si>
  <si>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</si>
  <si>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</si>
  <si>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</si>
  <si>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</si>
  <si>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</si>
  <si>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</si>
  <si>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</si>
  <si>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</si>
  <si>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</si>
  <si>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</si>
  <si>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</si>
  <si>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</si>
  <si>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</si>
  <si>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</si>
  <si>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</si>
  <si>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</si>
  <si>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</si>
  <si>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</si>
  <si>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</si>
  <si>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</si>
  <si>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</si>
  <si>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</si>
  <si>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</si>
  <si>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</si>
  <si>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</si>
  <si>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</si>
  <si>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</si>
  <si>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</si>
  <si>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</si>
  <si>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</si>
  <si>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</si>
  <si>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</si>
  <si>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</si>
  <si>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</si>
  <si>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</si>
  <si>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</si>
  <si>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</si>
  <si>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</si>
  <si>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</si>
  <si>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</si>
  <si>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</si>
  <si>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</si>
  <si>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</si>
  <si>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</si>
  <si>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</si>
  <si>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</si>
  <si>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</si>
  <si>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</si>
  <si>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</si>
  <si>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</si>
  <si>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</si>
  <si>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</si>
  <si>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</si>
  <si>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</si>
  <si>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</si>
  <si>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</si>
  <si>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</si>
  <si>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</si>
  <si>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</si>
  <si>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</si>
  <si>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</si>
  <si>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</si>
  <si>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</si>
  <si>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</si>
  <si>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</si>
  <si>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</si>
  <si>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</si>
  <si>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</si>
  <si>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</si>
  <si>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</si>
  <si>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</si>
  <si>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</si>
  <si>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</si>
  <si>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</si>
  <si>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</si>
  <si>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</si>
  <si>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</si>
  <si>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</si>
  <si>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</si>
  <si>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</si>
  <si>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</si>
  <si>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</si>
  <si>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</si>
  <si>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</si>
  <si>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</si>
  <si>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</si>
  <si>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</si>
  <si>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</si>
  <si>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</si>
  <si>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</si>
  <si>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</si>
  <si>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</si>
  <si>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</si>
  <si>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</si>
  <si>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</si>
  <si>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</si>
  <si>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</si>
  <si>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</si>
  <si>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</si>
  <si>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</si>
  <si>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</si>
  <si>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</si>
  <si>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</si>
  <si>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</si>
  <si>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</si>
  <si>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</si>
  <si>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</si>
  <si>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</si>
  <si>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</si>
  <si>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</si>
  <si>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</si>
  <si>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</si>
  <si>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</si>
  <si>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</si>
  <si>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</si>
  <si>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</si>
  <si>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</si>
  <si>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</si>
  <si>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</si>
  <si>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</si>
  <si>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</si>
  <si>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</si>
  <si>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</si>
  <si>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</si>
  <si>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</si>
  <si>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</si>
  <si>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</si>
  <si>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</si>
  <si>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</si>
  <si>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</si>
  <si>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</si>
  <si>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</si>
  <si>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</si>
  <si>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</si>
  <si>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</si>
  <si>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</si>
  <si>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</si>
  <si>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</si>
  <si>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</si>
  <si>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</si>
  <si>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</si>
  <si>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</si>
  <si>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</si>
  <si>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</si>
  <si>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</si>
  <si>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</si>
  <si>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</si>
  <si>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</si>
  <si>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</si>
  <si>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</si>
  <si>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</si>
  <si>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</si>
  <si>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</si>
  <si>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</si>
  <si>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</si>
  <si>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</si>
  <si>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</si>
  <si>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</si>
  <si>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</si>
  <si>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</si>
  <si>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</si>
  <si>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</si>
  <si>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</si>
  <si>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</si>
  <si>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</si>
  <si>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</si>
  <si>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</si>
  <si>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</si>
  <si>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</si>
  <si>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</si>
  <si>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</si>
  <si>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</si>
  <si>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</si>
  <si>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</si>
  <si>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</si>
  <si>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</si>
  <si>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</si>
  <si>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</si>
  <si>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</si>
  <si>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</si>
  <si>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</si>
  <si>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</si>
  <si>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</si>
  <si>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</si>
  <si>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</si>
  <si>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</si>
  <si>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</si>
  <si>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</si>
  <si>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</si>
  <si>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</si>
  <si>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</si>
  <si>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</si>
  <si>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</si>
  <si>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</si>
  <si>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</si>
  <si>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</si>
  <si>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</si>
  <si>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</si>
  <si>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</si>
  <si>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</si>
  <si>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</si>
  <si>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</si>
  <si>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</si>
  <si>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</si>
  <si>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</si>
  <si>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</si>
  <si>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</si>
  <si>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</si>
  <si>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</si>
  <si>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</si>
  <si>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</si>
  <si>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</si>
  <si>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</si>
  <si>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</si>
  <si>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</si>
  <si>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</si>
  <si>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</si>
  <si>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</si>
  <si>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</si>
  <si>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</si>
  <si>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</si>
  <si>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</si>
  <si>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</si>
  <si>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</si>
  <si>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</si>
  <si>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</si>
  <si>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</si>
  <si>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</si>
  <si>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</si>
  <si>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</si>
  <si>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</si>
  <si>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</si>
  <si>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</si>
  <si>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</si>
  <si>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</si>
  <si>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</si>
  <si>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</si>
  <si>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</si>
  <si>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</si>
  <si>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</si>
  <si>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</si>
  <si>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</si>
  <si>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</si>
  <si>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</si>
  <si>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</si>
  <si>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</si>
  <si>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</si>
  <si>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</si>
  <si>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</si>
  <si>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</si>
  <si>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</si>
  <si>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</si>
  <si>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</si>
  <si>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</si>
  <si>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</si>
  <si>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</si>
  <si>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</si>
  <si>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</si>
  <si>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</si>
  <si>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</si>
  <si>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</si>
  <si>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</si>
  <si>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</si>
  <si>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</si>
  <si>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</si>
  <si>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</si>
  <si>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</si>
  <si>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</si>
  <si>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</si>
  <si>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</si>
  <si>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</si>
  <si>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</si>
  <si>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</si>
  <si>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</si>
  <si>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</si>
  <si>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</si>
  <si>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</si>
  <si>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</si>
  <si>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</si>
  <si>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</si>
  <si>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</si>
  <si>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</si>
  <si>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</si>
  <si>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</si>
  <si>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</si>
  <si>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</si>
  <si>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</si>
  <si>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</si>
  <si>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</si>
  <si>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</si>
  <si>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</si>
  <si>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</si>
  <si>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</si>
  <si>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</si>
  <si>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</si>
  <si>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</si>
  <si>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</si>
  <si>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</si>
  <si>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</si>
  <si>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</si>
  <si>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</si>
  <si>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</si>
  <si>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</si>
  <si>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</si>
  <si>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</si>
  <si>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</si>
  <si>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</si>
  <si>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</si>
  <si>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</si>
  <si>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</si>
  <si>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</si>
  <si>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</si>
  <si>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</si>
  <si>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</si>
  <si>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</si>
  <si>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</si>
  <si>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</si>
  <si>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</si>
  <si>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</si>
  <si>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</si>
  <si>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</si>
  <si>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</si>
  <si>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</si>
  <si>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</si>
  <si>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</si>
  <si>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</si>
  <si>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</si>
  <si>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</si>
  <si>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</si>
  <si>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</si>
  <si>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</si>
  <si>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</si>
  <si>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</si>
  <si>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</si>
  <si>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</si>
  <si>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</si>
  <si>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</si>
  <si>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</si>
  <si>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</si>
  <si>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</si>
  <si>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</si>
  <si>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</si>
  <si>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</si>
  <si>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</si>
  <si>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</si>
  <si>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</si>
  <si>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</si>
  <si>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</si>
  <si>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</si>
  <si>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</si>
  <si>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</si>
  <si>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</si>
  <si>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</si>
  <si>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</si>
  <si>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</si>
  <si>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</si>
  <si>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</si>
  <si>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</si>
  <si>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</si>
  <si>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</si>
  <si>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</si>
  <si>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</si>
  <si>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</si>
  <si>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</si>
  <si>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</si>
  <si>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</si>
  <si>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</si>
  <si>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</si>
  <si>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</si>
  <si>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</si>
  <si>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</si>
  <si>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</si>
  <si>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</si>
  <si>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</si>
  <si>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</si>
  <si>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</si>
  <si>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</si>
  <si>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</si>
  <si>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</si>
  <si>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</si>
  <si>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</si>
  <si>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</si>
  <si>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</si>
  <si>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</si>
  <si>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</si>
  <si>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</si>
  <si>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</si>
  <si>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</si>
  <si>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</si>
  <si>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</si>
  <si>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</si>
  <si>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</si>
  <si>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</si>
  <si>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</si>
  <si>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</si>
  <si>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</si>
  <si>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</si>
  <si>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</si>
  <si>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</si>
  <si>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</si>
  <si>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</si>
  <si>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</si>
  <si>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</si>
  <si>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</si>
  <si>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</si>
  <si>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</si>
  <si>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</si>
  <si>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</si>
  <si>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</si>
  <si>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</si>
  <si>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</si>
  <si>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</si>
  <si>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</si>
  <si>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</si>
  <si>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</si>
  <si>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</si>
  <si>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</si>
  <si>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</si>
  <si>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</si>
  <si>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</si>
  <si>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</si>
  <si>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</si>
  <si>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</si>
  <si>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</si>
  <si>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</si>
  <si>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</si>
  <si>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</si>
  <si>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</si>
  <si>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</si>
  <si>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</si>
  <si>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</si>
  <si>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</si>
  <si>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</si>
  <si>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</si>
  <si>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</si>
  <si>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</si>
  <si>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</si>
  <si>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</si>
  <si>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</si>
  <si>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</si>
  <si>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</si>
  <si>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</si>
  <si>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</si>
  <si>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</si>
  <si>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</si>
  <si>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</si>
  <si>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</si>
  <si>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</si>
  <si>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</si>
  <si>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</si>
  <si>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</si>
  <si>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</si>
  <si>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</si>
  <si>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</si>
  <si>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</si>
  <si>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</si>
  <si>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</si>
  <si>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</si>
  <si>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</si>
  <si>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</si>
  <si>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</si>
  <si>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</si>
  <si>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</si>
  <si>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</si>
  <si>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</si>
  <si>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</si>
  <si>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</si>
  <si>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</si>
  <si>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</si>
  <si>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</si>
  <si>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</si>
  <si>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</si>
  <si>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</si>
  <si>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</si>
  <si>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</si>
  <si>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</si>
  <si>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</si>
  <si>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</si>
  <si>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</si>
  <si>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</si>
  <si>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</si>
  <si>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</si>
  <si>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</si>
  <si>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</si>
  <si>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</si>
  <si>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</si>
  <si>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</si>
  <si>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</si>
  <si>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</si>
  <si>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</si>
  <si>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</si>
  <si>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</si>
  <si>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</si>
  <si>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</si>
  <si>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</si>
  <si>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</si>
  <si>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</si>
  <si>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</si>
  <si>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</si>
  <si>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</si>
  <si>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</si>
  <si>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</si>
  <si>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</si>
  <si>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</si>
  <si>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</si>
  <si>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</si>
  <si>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</si>
  <si>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</si>
  <si>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</si>
  <si>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</si>
  <si>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</si>
  <si>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</si>
  <si>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</si>
  <si>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</si>
  <si>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</si>
  <si>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</si>
  <si>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</si>
  <si>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</si>
  <si>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</si>
  <si>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</si>
  <si>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</si>
  <si>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</si>
  <si>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</si>
  <si>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</si>
  <si>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</si>
  <si>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</si>
  <si>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</si>
  <si>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</si>
  <si>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</si>
  <si>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</si>
  <si>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</si>
  <si>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</si>
  <si>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</si>
  <si>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</si>
  <si>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</si>
  <si>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</si>
  <si>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</si>
  <si>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</si>
  <si>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</si>
  <si>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</si>
  <si>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</si>
  <si>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</si>
  <si>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</si>
  <si>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</si>
  <si>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</si>
  <si>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</si>
  <si>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</si>
  <si>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</si>
  <si>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</si>
  <si>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</si>
  <si>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</si>
  <si>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</si>
  <si>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</si>
  <si>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</si>
  <si>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</si>
  <si>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</si>
  <si>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</si>
  <si>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</si>
  <si>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</si>
  <si>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</si>
  <si>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</si>
  <si>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</si>
  <si>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</si>
  <si>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</si>
  <si>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</si>
  <si>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</si>
  <si>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</si>
  <si>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</si>
  <si>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</si>
  <si>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</si>
  <si>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</si>
  <si>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</si>
  <si>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</si>
  <si>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</si>
  <si>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</si>
  <si>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</si>
  <si>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</si>
  <si>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</si>
  <si>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</si>
  <si>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</si>
  <si>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</si>
  <si>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</si>
  <si>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</si>
  <si>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</si>
  <si>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</si>
  <si>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</si>
  <si>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</si>
  <si>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</si>
  <si>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</si>
  <si>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</si>
  <si>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</si>
  <si>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</si>
  <si>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</si>
  <si>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</si>
  <si>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</si>
  <si>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</si>
  <si>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</si>
  <si>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</si>
  <si>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</si>
  <si>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</si>
  <si>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</si>
  <si>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</si>
  <si>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</si>
  <si>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</si>
  <si>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</si>
  <si>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</si>
  <si>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</si>
  <si>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</si>
  <si>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</si>
  <si>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</si>
  <si>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</si>
  <si>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</si>
  <si>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</si>
  <si>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</si>
  <si>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</si>
  <si>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</si>
  <si>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</si>
  <si>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</si>
  <si>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</si>
  <si>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</si>
  <si>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</si>
  <si>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</si>
  <si>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</si>
  <si>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</si>
  <si>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</si>
  <si>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</si>
  <si>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</si>
  <si>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</si>
  <si>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</si>
  <si>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</si>
  <si>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</si>
  <si>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</si>
  <si>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</si>
  <si>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</si>
  <si>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</si>
  <si>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</si>
  <si>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</si>
  <si>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</si>
  <si>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</si>
  <si>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</si>
  <si>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</si>
  <si>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</si>
  <si>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</si>
  <si>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</si>
  <si>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</si>
  <si>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</si>
  <si>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</si>
  <si>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</si>
  <si>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</si>
  <si>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</si>
  <si>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</si>
  <si>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</si>
  <si>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</si>
  <si>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</si>
  <si>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</si>
  <si>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</si>
  <si>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</si>
  <si>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</si>
  <si>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</si>
  <si>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</si>
  <si>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</si>
  <si>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</si>
  <si>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</si>
  <si>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</si>
  <si>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</si>
  <si>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</si>
  <si>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</si>
  <si>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</si>
  <si>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</si>
  <si>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</si>
  <si>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</si>
  <si>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</si>
  <si>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</si>
  <si>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</si>
  <si>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</si>
  <si>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</si>
  <si>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</si>
  <si>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</si>
  <si>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</si>
  <si>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</si>
  <si>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</si>
  <si>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</si>
  <si>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</si>
  <si>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</si>
  <si>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</si>
  <si>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</si>
  <si>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</si>
  <si>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</si>
  <si>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</si>
  <si>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</si>
  <si>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</si>
  <si>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</si>
  <si>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</si>
  <si>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</si>
  <si>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</si>
  <si>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</si>
  <si>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</si>
  <si>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</si>
  <si>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</si>
  <si>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</si>
  <si>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</si>
  <si>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</si>
  <si>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</si>
  <si>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</si>
  <si>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</si>
  <si>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</si>
  <si>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</si>
  <si>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</si>
  <si>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</si>
  <si>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</si>
  <si>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</si>
  <si>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</si>
  <si>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</si>
  <si>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</si>
  <si>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</si>
  <si>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</si>
  <si>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</si>
  <si>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</si>
  <si>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</si>
  <si>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</si>
  <si>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</si>
  <si>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</si>
  <si>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</si>
  <si>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</si>
  <si>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</si>
  <si>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</si>
  <si>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</si>
  <si>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</si>
  <si>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</si>
  <si>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</si>
  <si>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</si>
  <si>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</si>
  <si>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</si>
  <si>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</si>
  <si>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</si>
  <si>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</si>
  <si>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</si>
  <si>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</si>
  <si>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</si>
  <si>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</si>
  <si>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</si>
  <si>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</si>
  <si>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</si>
  <si>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</si>
  <si>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</si>
  <si>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</si>
  <si>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</si>
  <si>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</si>
  <si>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</si>
  <si>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</si>
  <si>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</si>
  <si>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</si>
  <si>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</si>
  <si>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</si>
  <si>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</si>
  <si>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</si>
  <si>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</si>
  <si>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</si>
  <si>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</si>
  <si>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</si>
  <si>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</si>
  <si>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</si>
  <si>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</si>
  <si>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</si>
  <si>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</si>
  <si>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</si>
  <si>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</si>
  <si>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</si>
  <si>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</si>
  <si>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</si>
  <si>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</si>
  <si>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</si>
  <si>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</si>
  <si>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</si>
  <si>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</si>
  <si>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</si>
  <si>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</si>
  <si>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</si>
  <si>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</si>
  <si>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</si>
  <si>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</si>
  <si>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</si>
  <si>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</si>
  <si>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</si>
  <si>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</si>
  <si>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</si>
  <si>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</si>
  <si>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</si>
  <si>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</si>
  <si>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</si>
  <si>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</si>
  <si>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</si>
  <si>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</si>
  <si>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</si>
  <si>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</si>
  <si>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</si>
  <si>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</si>
  <si>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</si>
  <si>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</si>
  <si>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</si>
  <si>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</si>
  <si>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</si>
  <si>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</si>
  <si>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</si>
  <si>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</si>
  <si>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</si>
  <si>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</si>
  <si>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</si>
  <si>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</si>
  <si>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</si>
  <si>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</si>
  <si>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</si>
  <si>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</si>
  <si>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</si>
  <si>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</si>
  <si>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</si>
  <si>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</si>
  <si>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</si>
  <si>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</si>
  <si>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</si>
  <si>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</si>
  <si>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</si>
  <si>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</si>
  <si>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</si>
  <si>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</si>
  <si>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</si>
  <si>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</si>
  <si>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</si>
  <si>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</si>
  <si>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</si>
  <si>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</si>
  <si>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</si>
  <si>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</si>
  <si>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</si>
  <si>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</si>
  <si>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</si>
  <si>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</si>
  <si>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</si>
  <si>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</si>
  <si>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</si>
  <si>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</si>
  <si>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</si>
  <si>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</si>
  <si>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</si>
  <si>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</si>
  <si>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</si>
  <si>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</si>
  <si>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</si>
  <si>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</si>
  <si>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</si>
  <si>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</si>
  <si>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</si>
  <si>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</si>
  <si>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</si>
  <si>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</si>
  <si>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</si>
  <si>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</si>
  <si>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</si>
  <si>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</si>
  <si>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</si>
  <si>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</si>
  <si>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</si>
  <si>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2025-08-26</t>
  </si>
  <si>
    <t>제이오토(대구)_250826_175157.xlsx</t>
  </si>
  <si>
    <t>이시아오토(대구)_250826_175233.xlsx</t>
  </si>
  <si>
    <t>농협 3520106511413</t>
    <phoneticPr fontId="2" type="noConversion"/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</si>
  <si>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</si>
  <si>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</si>
  <si>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</si>
  <si>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</si>
  <si>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</si>
  <si>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</si>
  <si>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Clysler</t>
    <phoneticPr fontId="2" type="noConversion"/>
  </si>
  <si>
    <t>6058008114</t>
    <phoneticPr fontId="2" type="noConversion"/>
  </si>
  <si>
    <t>준오토샵(충주)_250826_180015.xlsx</t>
  </si>
  <si>
    <t>준오토샵(충주)_250826_180033.xlsx</t>
  </si>
  <si>
    <t>준오토샵(충주)_250826_180033.xlsx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</si>
</sst>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AZ제일오토미션(순천)</c:v>
                </c:pt>
                <c:pt idx="2">
                  <c:v>진영오토(남양주)</c:v>
                </c:pt>
                <c:pt idx="3">
                  <c:v>새흰돌오토미션(전남순천)</c:v>
                </c:pt>
                <c:pt idx="4">
                  <c:v>조이오토(대구)</c:v>
                </c:pt>
                <c:pt idx="5">
                  <c:v>대구오토(대구)</c:v>
                </c:pt>
                <c:pt idx="6">
                  <c:v>대륙오토(대구)</c:v>
                </c:pt>
                <c:pt idx="7">
                  <c:v>한국오토(노원)</c:v>
                </c:pt>
                <c:pt idx="8">
                  <c:v>대명오토(서울서초)</c:v>
                </c:pt>
                <c:pt idx="9">
                  <c:v>SJ모터스(부산)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15478000</c:v>
                </c:pt>
                <c:pt idx="1">
                  <c:v>6661901</c:v>
                </c:pt>
                <c:pt idx="2">
                  <c:v>6000000</c:v>
                </c:pt>
                <c:pt idx="3">
                  <c:v>4150000</c:v>
                </c:pt>
                <c:pt idx="4">
                  <c:v>4010000</c:v>
                </c:pt>
                <c:pt idx="5">
                  <c:v>4469000</c:v>
                </c:pt>
                <c:pt idx="6">
                  <c:v>4265000</c:v>
                </c:pt>
                <c:pt idx="7">
                  <c:v>3140000</c:v>
                </c:pt>
                <c:pt idx="8">
                  <c:v>3080000</c:v>
                </c:pt>
                <c:pt idx="9">
                  <c:v>2995000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AZ제일오토미션(순천)</c:v>
                      </c:pt>
                      <c:pt idx="2">
                        <c:v>진영오토(남양주)</c:v>
                      </c:pt>
                      <c:pt idx="3">
                        <c:v>새흰돌오토미션(전남순천)</c:v>
                      </c:pt>
                      <c:pt idx="4">
                        <c:v>조이오토(대구)</c:v>
                      </c:pt>
                      <c:pt idx="5">
                        <c:v>대구오토(대구)</c:v>
                      </c:pt>
                      <c:pt idx="6">
                        <c:v>대륙오토(대구)</c:v>
                      </c:pt>
                      <c:pt idx="7">
                        <c:v>한국오토(노원)</c:v>
                      </c:pt>
                      <c:pt idx="8">
                        <c:v>대명오토(서울서초)</c:v>
                      </c:pt>
                      <c:pt idx="9">
                        <c:v>SJ모터스(부산)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10</c:v>
                      </c:pt>
                      <c:pt idx="8">
                        <c:v>11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2416</v>
      </c>
    </row>
    <row r="4" spans="14:17" x14ac:dyDescent="0.3">
      <c r="Q4" s="95" t="s">
        <v>3223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2416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2416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1642</v>
      </c>
      <c r="D1" s="180" t="s">
        <v>36</v>
      </c>
      <c r="E1" s="180" t="s">
        <v>1643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6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6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6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6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6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2459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2459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2505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2506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2507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2508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2539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6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2460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2574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2581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2581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2460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2460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2630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2507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2640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2658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2676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2564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2564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2701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2716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2720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2720</v>
      </c>
    </row>
    <row r="106" spans="1:6" x14ac:dyDescent="0.3">
      <c r="A106">
        <v>105</v>
      </c>
      <c r="B106" s="13">
        <v>45833</v>
      </c>
      <c r="C106" t="s">
        <v>2735</v>
      </c>
      <c r="D106" t="s">
        <v>2736</v>
      </c>
      <c r="E106">
        <v>24800</v>
      </c>
      <c r="F106" t="s">
        <v>2737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2777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2822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2834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2835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2507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2905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2923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2979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1212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3479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45895</v>
      </c>
      <c r="U2" s="306"/>
    </row>
    <row r="3" spans="1:21" ht="24.95" customHeight="1" x14ac:dyDescent="0.3">
      <c r="A3" s="373" t="s">
        <v>1180</v>
      </c>
      <c r="B3" s="37" t="s">
        <v>59</v>
      </c>
      <c r="C3" s="376" t="s">
        <v>2964</v>
      </c>
      <c r="D3" s="377"/>
      <c r="E3" s="377"/>
      <c r="F3" s="377"/>
      <c r="G3" s="377"/>
      <c r="H3" s="377"/>
      <c r="I3" s="377"/>
      <c r="J3" s="378"/>
      <c r="K3" s="379" t="s">
        <v>1181</v>
      </c>
      <c r="L3" s="37" t="s">
        <v>59</v>
      </c>
      <c r="M3" s="382" t="s">
        <v>965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2978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2977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34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3486</v>
      </c>
      <c r="B8" s="415"/>
      <c r="C8" s="415"/>
      <c r="D8" s="415"/>
      <c r="E8" s="416"/>
      <c r="F8" s="417" t="s">
        <v>3487</v>
      </c>
      <c r="G8" s="415"/>
      <c r="H8" s="415"/>
      <c r="I8" s="416"/>
      <c r="J8" s="423">
        <v>650000</v>
      </c>
      <c r="K8" s="423"/>
      <c r="L8" s="423"/>
      <c r="M8" s="423"/>
      <c r="N8" s="423"/>
      <c r="O8" s="424">
        <v>1</v>
      </c>
      <c r="P8" s="424"/>
      <c r="Q8" s="418">
        <v>65000</v>
      </c>
      <c r="R8" s="419"/>
      <c r="S8" s="420"/>
      <c r="T8" s="421">
        <v>715000</v>
      </c>
      <c r="U8" s="422"/>
    </row>
    <row r="9" spans="1:21" ht="15.6" customHeight="1" x14ac:dyDescent="0.3">
      <c r="A9" s="403" t="s">
        <v>2201</v>
      </c>
      <c r="B9" s="404"/>
      <c r="C9" s="404"/>
      <c r="D9" s="404"/>
      <c r="E9" s="405"/>
      <c r="F9" s="406"/>
      <c r="G9" s="404"/>
      <c r="H9" s="404"/>
      <c r="I9" s="405"/>
      <c r="J9" s="412">
        <v>25000</v>
      </c>
      <c r="K9" s="412"/>
      <c r="L9" s="412"/>
      <c r="M9" s="412"/>
      <c r="N9" s="412"/>
      <c r="O9" s="413">
        <v>1</v>
      </c>
      <c r="P9" s="413"/>
      <c r="Q9" s="407"/>
      <c r="R9" s="408"/>
      <c r="S9" s="409"/>
      <c r="T9" s="410">
        <v>25000</v>
      </c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2352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81</v>
      </c>
      <c r="B20" s="308"/>
      <c r="C20" s="308"/>
      <c r="D20" s="308"/>
      <c r="E20" s="308"/>
      <c r="F20" s="309">
        <v>0</v>
      </c>
      <c r="G20" s="309"/>
      <c r="H20" s="309"/>
      <c r="I20" s="310"/>
      <c r="J20" s="346">
        <f>SUM(J8:N19)</f>
        <v>675000</v>
      </c>
      <c r="K20" s="347"/>
      <c r="L20" s="347"/>
      <c r="M20" s="347"/>
      <c r="N20" s="348"/>
      <c r="O20" s="311">
        <f>SUM(O8:P19)</f>
        <v>2</v>
      </c>
      <c r="P20" s="311"/>
      <c r="Q20" s="349">
        <f>SUM(Q8:S19)</f>
        <v>65000</v>
      </c>
      <c r="R20" s="309"/>
      <c r="S20" s="310"/>
      <c r="T20" s="309">
        <f>SUM(T8:U15)</f>
        <v>740000</v>
      </c>
      <c r="U20" s="350"/>
    </row>
    <row r="21" spans="1:21" ht="20.100000000000001" customHeight="1" thickBot="1" x14ac:dyDescent="0.35">
      <c r="A21" s="312" t="s">
        <v>91</v>
      </c>
      <c r="B21" s="313"/>
      <c r="C21" s="313"/>
      <c r="D21" s="313"/>
      <c r="E21" s="313"/>
      <c r="F21" s="314">
        <f>F20+T20+Q20</f>
        <v>805000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준오토샵(충주)</v>
      </c>
      <c r="R21" s="317"/>
      <c r="S21" s="317"/>
      <c r="T21" s="317"/>
      <c r="U21" s="369"/>
    </row>
    <row r="22" spans="1:21" ht="20.100000000000001" customHeight="1" x14ac:dyDescent="0.3">
      <c r="A22" s="296" t="s">
        <v>3490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1212</v>
      </c>
      <c r="R24" s="320"/>
      <c r="S24" s="321">
        <f>S1</f>
        <v>0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45895</v>
      </c>
      <c r="U25" s="306"/>
    </row>
    <row r="26" spans="1:21" ht="24.95" customHeight="1" x14ac:dyDescent="0.3">
      <c r="A26" s="373" t="s">
        <v>1180</v>
      </c>
      <c r="B26" s="37" t="s">
        <v>59</v>
      </c>
      <c r="C26" s="376" t="str">
        <f>C3</f>
        <v>준오토샵(충주)</v>
      </c>
      <c r="D26" s="377"/>
      <c r="E26" s="377"/>
      <c r="F26" s="377"/>
      <c r="G26" s="377"/>
      <c r="H26" s="377"/>
      <c r="I26" s="377"/>
      <c r="J26" s="378"/>
      <c r="K26" s="379" t="s">
        <v>1181</v>
      </c>
      <c r="L26" s="37" t="s">
        <v>59</v>
      </c>
      <c r="M26" s="382" t="s">
        <v>965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963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충북 충주시 문화동 215-1번지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010-2888-0963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대신(화물)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Clysler</v>
      </c>
      <c r="B31" s="364"/>
      <c r="C31" s="364"/>
      <c r="D31" s="364"/>
      <c r="E31" s="364"/>
      <c r="F31" s="364" t="str">
        <f>F8</f>
        <v>6058008114</v>
      </c>
      <c r="G31" s="364"/>
      <c r="H31" s="364"/>
      <c r="I31" s="364"/>
      <c r="J31" s="368">
        <f>J8</f>
        <v>650000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65000</v>
      </c>
      <c r="R31" s="365"/>
      <c r="S31" s="365"/>
      <c r="T31" s="366">
        <f>T8</f>
        <v>715000</v>
      </c>
      <c r="U31" s="367"/>
    </row>
    <row r="32" spans="1:21" ht="15.6" customHeight="1" x14ac:dyDescent="0.3">
      <c r="A32" s="356" t="str">
        <f t="shared" ref="A32:A38" si="0">A9</f>
        <v>퀵버스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25000</v>
      </c>
      <c r="K32" s="361"/>
      <c r="L32" s="361"/>
      <c r="M32" s="361"/>
      <c r="N32" s="361"/>
      <c r="O32" s="361">
        <f t="shared" ref="O32:O38" si="3">O9</f>
        <v>1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25000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2352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81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675000</v>
      </c>
      <c r="K43" s="347"/>
      <c r="L43" s="347"/>
      <c r="M43" s="347"/>
      <c r="N43" s="348"/>
      <c r="O43" s="311">
        <f>O20</f>
        <v>2</v>
      </c>
      <c r="P43" s="311"/>
      <c r="Q43" s="349">
        <f>Q20</f>
        <v>65000</v>
      </c>
      <c r="R43" s="309"/>
      <c r="S43" s="309"/>
      <c r="T43" s="309">
        <f>T20</f>
        <v>740000</v>
      </c>
      <c r="U43" s="350"/>
    </row>
    <row r="44" spans="1:21" ht="20.100000000000001" customHeight="1" thickBot="1" x14ac:dyDescent="0.35">
      <c r="A44" s="312" t="s">
        <v>91</v>
      </c>
      <c r="B44" s="313"/>
      <c r="C44" s="313"/>
      <c r="D44" s="313"/>
      <c r="E44" s="313"/>
      <c r="F44" s="314">
        <f>F21</f>
        <v>805000</v>
      </c>
      <c r="G44" s="314"/>
      <c r="H44" s="314"/>
      <c r="I44" s="315"/>
      <c r="J44" s="316" t="s">
        <v>966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준오토샵(충주)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2357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675000</v>
      </c>
      <c r="H1" s="107">
        <f>SUM(H2:H4)</f>
        <v>2</v>
      </c>
      <c r="I1" s="107">
        <f>SUM(I2:I4)</f>
        <v>65000</v>
      </c>
      <c r="J1" s="107">
        <f>SUM(J2:J4)</f>
        <v>740000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3476</v>
      </c>
      <c r="C2" s="47" t="s">
        <v>2962</v>
      </c>
      <c r="D2" s="294" t="s">
        <v>3484</v>
      </c>
      <c r="E2" t="s">
        <v>3485</v>
      </c>
      <c r="F2" s="294" t="s">
        <v>3484</v>
      </c>
      <c r="G2">
        <v>650000</v>
      </c>
      <c r="H2">
        <v>1</v>
      </c>
      <c r="I2" s="226">
        <v>65000</v>
      </c>
      <c r="J2" s="226">
        <v>715000</v>
      </c>
    </row>
    <row r="3" spans="1:12" x14ac:dyDescent="0.3">
      <c r="A3" s="47">
        <v>2</v>
      </c>
      <c r="B3" s="47" t="s">
        <v>3476</v>
      </c>
      <c r="C3" s="47" t="s">
        <v>2962</v>
      </c>
      <c r="E3" t="s">
        <v>1537</v>
      </c>
      <c r="G3">
        <v>25000</v>
      </c>
      <c r="H3">
        <v>1</v>
      </c>
      <c r="I3" s="226"/>
      <c r="J3" s="226">
        <v>25000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1999</v>
      </c>
      <c r="B6" s="169" t="s">
        <v>49</v>
      </c>
      <c r="C6" s="170" t="s">
        <v>1350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2350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2347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2348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1136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1183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1211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1136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1144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1576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1577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92"/>
  <sheetViews>
    <sheetView workbookViewId="0">
      <pane xSplit="1" ySplit="1" topLeftCell="B1361" activePane="bottomRight" state="frozen"/>
      <selection activeCell="N26" sqref="N26"/>
      <selection pane="topRight" activeCell="N26" sqref="N26"/>
      <selection pane="bottomLeft" activeCell="N26" sqref="N26"/>
      <selection pane="bottomRight" activeCell="A1392" sqref="A1392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1136</v>
      </c>
      <c r="J1" s="263" t="s">
        <v>1228</v>
      </c>
      <c r="K1" s="262" t="s">
        <v>58</v>
      </c>
      <c r="L1" s="262" t="s">
        <v>1688</v>
      </c>
      <c r="M1" s="262" t="s">
        <v>4</v>
      </c>
      <c r="N1" s="97">
        <v>1392</v>
      </c>
    </row>
    <row r="2" spans="1:15" x14ac:dyDescent="0.3">
      <c r="A2" s="275">
        <v>1</v>
      </c>
      <c r="B2" s="265">
        <v>45723</v>
      </c>
      <c r="C2" s="264" t="s">
        <v>2170</v>
      </c>
      <c r="D2" s="266">
        <v>2821402</v>
      </c>
      <c r="E2" s="264" t="s">
        <v>2789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1455</v>
      </c>
      <c r="D3" s="266" t="s">
        <v>1378</v>
      </c>
      <c r="E3" s="264" t="s">
        <v>1218</v>
      </c>
      <c r="F3" s="264" t="s">
        <v>1378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1455</v>
      </c>
      <c r="E4" s="264" t="s">
        <v>1158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1409</v>
      </c>
      <c r="E5" s="264" t="s">
        <v>1149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1417</v>
      </c>
      <c r="E6" s="264" t="s">
        <v>1150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1417</v>
      </c>
      <c r="E7" s="264" t="s">
        <v>1151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1417</v>
      </c>
      <c r="E8" s="264" t="s">
        <v>1157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1160</v>
      </c>
      <c r="E9" s="264" t="s">
        <v>1152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1460</v>
      </c>
      <c r="D10" s="266" t="s">
        <v>1378</v>
      </c>
      <c r="E10" s="264" t="s">
        <v>1218</v>
      </c>
      <c r="F10" s="264" t="s">
        <v>1378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1462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1417</v>
      </c>
      <c r="E12" s="264" t="s">
        <v>1153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1462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1462</v>
      </c>
      <c r="D14" s="266" t="s">
        <v>1138</v>
      </c>
      <c r="E14" s="264" t="s">
        <v>1138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1160</v>
      </c>
      <c r="E15" s="264" t="s">
        <v>1162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1160</v>
      </c>
      <c r="D16" s="266">
        <v>2821402</v>
      </c>
      <c r="E16" s="264" t="s">
        <v>1148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1160</v>
      </c>
      <c r="E17" s="264" t="s">
        <v>1156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1467</v>
      </c>
      <c r="E18" s="264" t="s">
        <v>1163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1417</v>
      </c>
      <c r="E19" s="264" t="s">
        <v>1152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1470</v>
      </c>
      <c r="E20" s="264" t="s">
        <v>1164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1472</v>
      </c>
      <c r="D21" s="271"/>
      <c r="E21" s="270" t="s">
        <v>1152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1474</v>
      </c>
      <c r="E22" s="264" t="s">
        <v>1167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1476</v>
      </c>
      <c r="E23" s="264" t="s">
        <v>1143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1417</v>
      </c>
      <c r="D24" s="266" t="s">
        <v>1378</v>
      </c>
      <c r="E24" s="264" t="s">
        <v>1218</v>
      </c>
      <c r="F24" s="264" t="s">
        <v>1378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1417</v>
      </c>
      <c r="E25" s="264" t="s">
        <v>1150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1462</v>
      </c>
      <c r="E26" s="264" t="s">
        <v>1145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1059</v>
      </c>
      <c r="E27" s="264" t="s">
        <v>1144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1095</v>
      </c>
      <c r="E28" s="264" t="s">
        <v>1143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1417</v>
      </c>
      <c r="E29" s="264" t="s">
        <v>1152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1417</v>
      </c>
      <c r="D30" s="266" t="s">
        <v>1230</v>
      </c>
      <c r="E30" s="272" t="s">
        <v>1142</v>
      </c>
      <c r="F30" s="272" t="s">
        <v>1482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1169</v>
      </c>
      <c r="D31" s="266" t="s">
        <v>1378</v>
      </c>
      <c r="E31" s="272" t="s">
        <v>1218</v>
      </c>
      <c r="F31" s="272" t="s">
        <v>1378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1485</v>
      </c>
      <c r="E32" s="272" t="s">
        <v>1176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1485</v>
      </c>
      <c r="E33" s="272" t="s">
        <v>1176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1485</v>
      </c>
      <c r="E34" s="272" t="s">
        <v>1177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1485</v>
      </c>
      <c r="E35" s="272" t="s">
        <v>1178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1487</v>
      </c>
      <c r="D36" s="266" t="s">
        <v>1276</v>
      </c>
      <c r="E36" s="272" t="s">
        <v>1277</v>
      </c>
      <c r="F36" s="272" t="s">
        <v>1276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1487</v>
      </c>
      <c r="E37" s="272" t="s">
        <v>1488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1011</v>
      </c>
      <c r="D38" s="266" t="s">
        <v>1282</v>
      </c>
      <c r="E38" s="272" t="s">
        <v>1283</v>
      </c>
      <c r="F38" s="272" t="s">
        <v>1282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1491</v>
      </c>
      <c r="D39" s="266" t="s">
        <v>1378</v>
      </c>
      <c r="E39" s="272" t="s">
        <v>1218</v>
      </c>
      <c r="F39" s="272" t="s">
        <v>1378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1417</v>
      </c>
      <c r="E40" s="272" t="s">
        <v>1493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1417</v>
      </c>
      <c r="E41" s="272" t="s">
        <v>1494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1187</v>
      </c>
      <c r="E42" s="272" t="s">
        <v>1152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1497</v>
      </c>
      <c r="E43" s="272" t="s">
        <v>1498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1030</v>
      </c>
      <c r="E44" s="272" t="s">
        <v>1500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1160</v>
      </c>
      <c r="E45" s="272" t="s">
        <v>1500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1503</v>
      </c>
      <c r="E46" s="272" t="s">
        <v>1504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1050</v>
      </c>
      <c r="E47" s="272" t="s">
        <v>1508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1487</v>
      </c>
      <c r="E48" s="272" t="s">
        <v>1510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1512</v>
      </c>
      <c r="D49" s="266" t="s">
        <v>1378</v>
      </c>
      <c r="E49" s="272" t="s">
        <v>1513</v>
      </c>
      <c r="F49" s="272" t="s">
        <v>1378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1512</v>
      </c>
      <c r="E50" s="272" t="s">
        <v>1514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1516</v>
      </c>
      <c r="D51" s="266" t="s">
        <v>1378</v>
      </c>
      <c r="E51" s="272" t="s">
        <v>1218</v>
      </c>
      <c r="F51" s="272" t="s">
        <v>1378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1417</v>
      </c>
      <c r="D52" s="266" t="s">
        <v>1233</v>
      </c>
      <c r="E52" s="272" t="s">
        <v>1234</v>
      </c>
      <c r="F52" s="272" t="s">
        <v>1233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1417</v>
      </c>
      <c r="E53" s="272" t="s">
        <v>1519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1059</v>
      </c>
      <c r="E54" s="272" t="s">
        <v>1521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1396</v>
      </c>
      <c r="E55" s="272" t="s">
        <v>1523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1396</v>
      </c>
      <c r="E56" s="272" t="s">
        <v>1524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1462</v>
      </c>
      <c r="E57" s="272" t="s">
        <v>1526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1462</v>
      </c>
      <c r="E58" s="272" t="s">
        <v>1527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1462</v>
      </c>
      <c r="E59" s="272" t="s">
        <v>1528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1255</v>
      </c>
      <c r="D60" s="266" t="s">
        <v>1219</v>
      </c>
      <c r="E60" s="272" t="s">
        <v>1220</v>
      </c>
      <c r="F60" s="272" t="s">
        <v>1219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1487</v>
      </c>
      <c r="D61" s="266" t="s">
        <v>1378</v>
      </c>
      <c r="E61" s="272" t="s">
        <v>1218</v>
      </c>
      <c r="F61" s="272" t="s">
        <v>1378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1245</v>
      </c>
      <c r="E62" s="272" t="s">
        <v>1521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1533</v>
      </c>
      <c r="E63" s="272" t="s">
        <v>1152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1535</v>
      </c>
      <c r="E64" s="272" t="s">
        <v>1536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1535</v>
      </c>
      <c r="E65" s="272" t="s">
        <v>1537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1539</v>
      </c>
      <c r="E66" s="272" t="s">
        <v>1542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1462</v>
      </c>
      <c r="D67" s="266" t="s">
        <v>1222</v>
      </c>
      <c r="E67" s="272" t="s">
        <v>1223</v>
      </c>
      <c r="F67" s="272" t="s">
        <v>1222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1462</v>
      </c>
      <c r="E68" s="272" t="s">
        <v>1426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1323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1255</v>
      </c>
      <c r="D70" s="266" t="s">
        <v>1378</v>
      </c>
      <c r="E70" s="272" t="s">
        <v>1218</v>
      </c>
      <c r="F70" s="272" t="s">
        <v>1378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1390</v>
      </c>
      <c r="E71" s="272" t="s">
        <v>1168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1187</v>
      </c>
      <c r="D72" s="266" t="s">
        <v>1378</v>
      </c>
      <c r="E72" s="272" t="s">
        <v>1218</v>
      </c>
      <c r="F72" s="272" t="s">
        <v>1378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1011</v>
      </c>
      <c r="E73" s="272" t="s">
        <v>1163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1550</v>
      </c>
      <c r="D74" s="266" t="s">
        <v>1216</v>
      </c>
      <c r="E74" s="272" t="s">
        <v>1217</v>
      </c>
      <c r="F74" s="272" t="s">
        <v>1216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1467</v>
      </c>
      <c r="E75" s="272" t="s">
        <v>1553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1160</v>
      </c>
      <c r="D76" s="266" t="s">
        <v>1378</v>
      </c>
      <c r="E76" s="272" t="s">
        <v>1218</v>
      </c>
      <c r="F76" s="272" t="s">
        <v>1378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1022</v>
      </c>
      <c r="E77" s="272" t="s">
        <v>1556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1462</v>
      </c>
      <c r="E78" s="272" t="s">
        <v>1145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1462</v>
      </c>
      <c r="E79" s="272" t="s">
        <v>1145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1559</v>
      </c>
      <c r="E80" s="272" t="s">
        <v>1560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1562</v>
      </c>
      <c r="D81" s="266" t="s">
        <v>1233</v>
      </c>
      <c r="E81" s="272" t="s">
        <v>1234</v>
      </c>
      <c r="F81" s="272" t="s">
        <v>1233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1022</v>
      </c>
      <c r="D82" s="266" t="s">
        <v>1378</v>
      </c>
      <c r="E82" s="272" t="s">
        <v>1218</v>
      </c>
      <c r="F82" s="272" t="s">
        <v>1378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1022</v>
      </c>
      <c r="E83" s="272" t="s">
        <v>1514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1409</v>
      </c>
      <c r="D84" s="266" t="s">
        <v>1378</v>
      </c>
      <c r="E84" s="272" t="s">
        <v>1218</v>
      </c>
      <c r="F84" s="272" t="s">
        <v>1378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1413</v>
      </c>
      <c r="E85" s="272" t="s">
        <v>1152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1011</v>
      </c>
      <c r="E86" s="272" t="s">
        <v>1567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1569</v>
      </c>
      <c r="D87" s="266" t="s">
        <v>1378</v>
      </c>
      <c r="E87" s="272" t="s">
        <v>1218</v>
      </c>
      <c r="F87" s="272" t="s">
        <v>1378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1569</v>
      </c>
      <c r="E88" s="272" t="s">
        <v>1514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1572</v>
      </c>
      <c r="E89" s="272" t="s">
        <v>1573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1572</v>
      </c>
      <c r="D90" s="266" t="s">
        <v>1378</v>
      </c>
      <c r="E90" s="272" t="s">
        <v>1218</v>
      </c>
      <c r="F90" s="272" t="s">
        <v>1378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1240</v>
      </c>
      <c r="E91" s="272" t="s">
        <v>1579</v>
      </c>
      <c r="F91" s="272" t="s">
        <v>1240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1559</v>
      </c>
      <c r="D92" s="266" t="s">
        <v>1378</v>
      </c>
      <c r="E92" s="272" t="s">
        <v>1218</v>
      </c>
      <c r="F92" s="272" t="s">
        <v>1378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1559</v>
      </c>
      <c r="E93" s="272" t="s">
        <v>1150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1216</v>
      </c>
      <c r="E94" s="272" t="s">
        <v>1217</v>
      </c>
      <c r="F94" s="272" t="s">
        <v>1216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1593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1595</v>
      </c>
      <c r="E96" s="272" t="s">
        <v>1596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1595</v>
      </c>
      <c r="E97" s="272" t="s">
        <v>1537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1598</v>
      </c>
      <c r="E98" s="272" t="s">
        <v>1599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1598</v>
      </c>
      <c r="E99" s="272" t="s">
        <v>1776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1598</v>
      </c>
      <c r="D100" s="266" t="s">
        <v>1282</v>
      </c>
      <c r="E100" s="272" t="s">
        <v>1283</v>
      </c>
      <c r="F100" s="272" t="s">
        <v>1282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1019</v>
      </c>
      <c r="D101" s="266" t="s">
        <v>1378</v>
      </c>
      <c r="E101" s="272" t="s">
        <v>1218</v>
      </c>
      <c r="F101" s="272" t="s">
        <v>1378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1604</v>
      </c>
      <c r="E102" s="272" t="s">
        <v>1605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1604</v>
      </c>
      <c r="D103" s="266">
        <v>415054509</v>
      </c>
      <c r="E103" s="272" t="s">
        <v>2586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1604</v>
      </c>
      <c r="E104" s="272" t="s">
        <v>1606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1604</v>
      </c>
      <c r="E105" s="272" t="s">
        <v>1607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1604</v>
      </c>
      <c r="D106" s="266" t="s">
        <v>1581</v>
      </c>
      <c r="E106" s="272" t="s">
        <v>1220</v>
      </c>
      <c r="F106" s="272" t="s">
        <v>1581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1485</v>
      </c>
      <c r="E107" s="272" t="s">
        <v>1610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1378</v>
      </c>
      <c r="E108" s="272" t="s">
        <v>1218</v>
      </c>
      <c r="F108" s="272" t="s">
        <v>1378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1514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1121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1179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1614</v>
      </c>
      <c r="D112" s="266" t="s">
        <v>1378</v>
      </c>
      <c r="E112" s="272" t="s">
        <v>1218</v>
      </c>
      <c r="F112" s="272" t="s">
        <v>1378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1616</v>
      </c>
      <c r="E113" s="272" t="s">
        <v>1168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1470</v>
      </c>
      <c r="E114" s="272" t="s">
        <v>1162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1470</v>
      </c>
      <c r="D115" s="266" t="s">
        <v>1276</v>
      </c>
      <c r="E115" s="272" t="s">
        <v>1277</v>
      </c>
      <c r="F115" s="272" t="s">
        <v>1276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1470</v>
      </c>
      <c r="D116" s="266">
        <v>2821402</v>
      </c>
      <c r="E116" s="272" t="s">
        <v>1148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1470</v>
      </c>
      <c r="E117" s="272" t="s">
        <v>1618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1620</v>
      </c>
      <c r="E118" s="272" t="s">
        <v>1621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1621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1624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1595</v>
      </c>
      <c r="D121" s="266">
        <v>415072909</v>
      </c>
      <c r="E121" s="272" t="s">
        <v>2588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1595</v>
      </c>
      <c r="D122" s="266" t="s">
        <v>1644</v>
      </c>
      <c r="E122" s="272" t="s">
        <v>1645</v>
      </c>
      <c r="F122" s="272" t="s">
        <v>1644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1595</v>
      </c>
      <c r="D123" s="266">
        <v>415072909</v>
      </c>
      <c r="E123" s="272" t="s">
        <v>2588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1595</v>
      </c>
      <c r="D124" s="266" t="s">
        <v>1644</v>
      </c>
      <c r="E124" s="272" t="s">
        <v>1645</v>
      </c>
      <c r="F124" s="272" t="s">
        <v>1644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1595</v>
      </c>
      <c r="E125" s="272" t="s">
        <v>1647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1467</v>
      </c>
      <c r="E126" s="272" t="s">
        <v>1654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1559</v>
      </c>
      <c r="D127" s="266" t="s">
        <v>1378</v>
      </c>
      <c r="E127" s="272" t="s">
        <v>1218</v>
      </c>
      <c r="F127" s="272" t="s">
        <v>1378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1559</v>
      </c>
      <c r="E128" s="272" t="s">
        <v>1514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1559</v>
      </c>
      <c r="E129" s="272" t="s">
        <v>1657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1417</v>
      </c>
      <c r="D130" s="266" t="s">
        <v>1215</v>
      </c>
      <c r="E130" s="272" t="s">
        <v>1661</v>
      </c>
      <c r="F130" s="272" t="s">
        <v>1215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1022</v>
      </c>
      <c r="D131" s="266" t="s">
        <v>1216</v>
      </c>
      <c r="E131" s="272" t="s">
        <v>1662</v>
      </c>
      <c r="F131" s="272" t="s">
        <v>1216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1022</v>
      </c>
      <c r="E132" s="272" t="s">
        <v>1593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1676</v>
      </c>
      <c r="E133" s="272" t="s">
        <v>1679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1681</v>
      </c>
      <c r="E134" s="272" t="s">
        <v>1682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1559</v>
      </c>
      <c r="E135" s="272" t="s">
        <v>1684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1467</v>
      </c>
      <c r="E136" s="272" t="s">
        <v>1686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1689</v>
      </c>
      <c r="E137" s="272" t="s">
        <v>1692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1694</v>
      </c>
      <c r="E138" s="272" t="s">
        <v>1152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1462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1462</v>
      </c>
      <c r="E140" s="272" t="s">
        <v>1702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1462</v>
      </c>
      <c r="E141" s="272" t="s">
        <v>1703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1462</v>
      </c>
      <c r="E142" s="272" t="s">
        <v>1706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1462</v>
      </c>
      <c r="E143" s="272" t="s">
        <v>1707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1462</v>
      </c>
      <c r="E144" s="272" t="s">
        <v>1708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1851</v>
      </c>
      <c r="E145" s="272" t="s">
        <v>1849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1487</v>
      </c>
      <c r="E146" s="272" t="s">
        <v>1713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1740</v>
      </c>
      <c r="D147" s="266">
        <v>2800802</v>
      </c>
      <c r="E147" s="272" t="s">
        <v>1735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1740</v>
      </c>
      <c r="D148" s="266" t="s">
        <v>1733</v>
      </c>
      <c r="E148" s="272" t="s">
        <v>1734</v>
      </c>
      <c r="F148" s="272" t="s">
        <v>1733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1740</v>
      </c>
      <c r="D149" s="266">
        <v>7252703114</v>
      </c>
      <c r="E149" s="272" t="s">
        <v>1721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1740</v>
      </c>
      <c r="D150" s="266" t="s">
        <v>1722</v>
      </c>
      <c r="E150" s="272" t="s">
        <v>1723</v>
      </c>
      <c r="F150" s="272" t="s">
        <v>1722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1740</v>
      </c>
      <c r="D151" s="266" t="s">
        <v>1282</v>
      </c>
      <c r="E151" s="272" t="s">
        <v>1283</v>
      </c>
      <c r="F151" s="272" t="s">
        <v>1282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1559</v>
      </c>
      <c r="E152" s="272" t="s">
        <v>1763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1598</v>
      </c>
      <c r="E153" s="272" t="s">
        <v>1765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1417</v>
      </c>
      <c r="D154" s="266" t="s">
        <v>1378</v>
      </c>
      <c r="E154" s="272" t="s">
        <v>1218</v>
      </c>
      <c r="F154" s="272" t="s">
        <v>1378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1417</v>
      </c>
      <c r="E155" s="272" t="s">
        <v>1514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1766</v>
      </c>
      <c r="E156" s="272" t="s">
        <v>1767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1160</v>
      </c>
      <c r="D157" s="266" t="s">
        <v>1222</v>
      </c>
      <c r="E157" s="272" t="s">
        <v>1223</v>
      </c>
      <c r="F157" s="272" t="s">
        <v>1222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1160</v>
      </c>
      <c r="D158" s="266">
        <v>50229</v>
      </c>
      <c r="E158" s="272" t="s">
        <v>1660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1740</v>
      </c>
      <c r="D159" s="266">
        <v>415090409</v>
      </c>
      <c r="E159" s="272" t="s">
        <v>2588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1059</v>
      </c>
      <c r="D160" s="266" t="s">
        <v>1581</v>
      </c>
      <c r="E160" s="272" t="s">
        <v>1220</v>
      </c>
      <c r="F160" s="272" t="s">
        <v>1581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1810</v>
      </c>
      <c r="E161" s="272" t="s">
        <v>1814</v>
      </c>
      <c r="F161" s="272" t="s">
        <v>1146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1810</v>
      </c>
      <c r="D162" s="266" t="s">
        <v>1222</v>
      </c>
      <c r="E162" s="272" t="s">
        <v>1223</v>
      </c>
      <c r="F162" s="272" t="s">
        <v>1222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1810</v>
      </c>
      <c r="D163" s="266" t="s">
        <v>1815</v>
      </c>
      <c r="E163" s="272" t="s">
        <v>1816</v>
      </c>
      <c r="F163" s="272" t="s">
        <v>1815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1740</v>
      </c>
      <c r="D164" s="266" t="s">
        <v>1276</v>
      </c>
      <c r="E164" s="272" t="s">
        <v>1277</v>
      </c>
      <c r="F164" s="272" t="s">
        <v>1276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1740</v>
      </c>
      <c r="D165" s="266">
        <v>415090409</v>
      </c>
      <c r="E165" s="272" t="s">
        <v>2588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1417</v>
      </c>
      <c r="D166" s="266" t="s">
        <v>1771</v>
      </c>
      <c r="E166" s="272" t="s">
        <v>1218</v>
      </c>
      <c r="F166" s="272" t="s">
        <v>1771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1497</v>
      </c>
      <c r="E167" s="272" t="s">
        <v>1820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1467</v>
      </c>
      <c r="D168" s="266">
        <v>927156</v>
      </c>
      <c r="E168" s="272" t="s">
        <v>1822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1467</v>
      </c>
      <c r="D169" s="266" t="s">
        <v>1823</v>
      </c>
      <c r="E169" s="272" t="s">
        <v>1593</v>
      </c>
      <c r="F169" s="272" t="s">
        <v>1823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1825</v>
      </c>
      <c r="D170" s="266" t="s">
        <v>1215</v>
      </c>
      <c r="E170" s="272" t="s">
        <v>1661</v>
      </c>
      <c r="F170" s="272" t="s">
        <v>1215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1022</v>
      </c>
      <c r="D171" s="266">
        <v>2800802</v>
      </c>
      <c r="E171" s="272" t="s">
        <v>1735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1829</v>
      </c>
      <c r="D172" s="266" t="s">
        <v>1786</v>
      </c>
      <c r="E172" s="272" t="s">
        <v>1784</v>
      </c>
      <c r="F172" s="272" t="s">
        <v>1786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1829</v>
      </c>
      <c r="D173" s="266" t="s">
        <v>1783</v>
      </c>
      <c r="E173" s="272" t="s">
        <v>1784</v>
      </c>
      <c r="F173" s="272" t="s">
        <v>1783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1598</v>
      </c>
      <c r="D174" s="266" t="s">
        <v>1222</v>
      </c>
      <c r="E174" s="272" t="s">
        <v>1223</v>
      </c>
      <c r="F174" s="272" t="s">
        <v>1222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1832</v>
      </c>
      <c r="E175" s="272" t="s">
        <v>1762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1740</v>
      </c>
      <c r="D176" s="266" t="s">
        <v>1276</v>
      </c>
      <c r="E176" s="272" t="s">
        <v>1277</v>
      </c>
      <c r="F176" s="272" t="s">
        <v>1276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1740</v>
      </c>
      <c r="D177" s="266" t="s">
        <v>1844</v>
      </c>
      <c r="E177" s="272" t="s">
        <v>1845</v>
      </c>
      <c r="F177" s="272" t="s">
        <v>1844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1740</v>
      </c>
      <c r="D178" s="266" t="s">
        <v>1815</v>
      </c>
      <c r="E178" s="272" t="s">
        <v>1816</v>
      </c>
      <c r="F178" s="272" t="s">
        <v>1815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1559</v>
      </c>
      <c r="E179" s="272" t="s">
        <v>1763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1476</v>
      </c>
      <c r="E180" s="272" t="s">
        <v>1763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1825</v>
      </c>
      <c r="D181" s="266" t="s">
        <v>1222</v>
      </c>
      <c r="E181" s="272" t="s">
        <v>1223</v>
      </c>
      <c r="F181" s="272" t="s">
        <v>1222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1487</v>
      </c>
      <c r="E182" s="272" t="s">
        <v>1862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1861</v>
      </c>
      <c r="E183" s="272" t="s">
        <v>1864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1022</v>
      </c>
      <c r="D184" s="266" t="s">
        <v>1771</v>
      </c>
      <c r="E184" s="272" t="s">
        <v>1218</v>
      </c>
      <c r="F184" s="272" t="s">
        <v>1771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1022</v>
      </c>
      <c r="E185" s="272" t="s">
        <v>1514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1595</v>
      </c>
      <c r="D186" s="266" t="s">
        <v>1771</v>
      </c>
      <c r="E186" s="272" t="s">
        <v>1218</v>
      </c>
      <c r="F186" s="272" t="s">
        <v>1771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1022</v>
      </c>
      <c r="D187" s="266" t="s">
        <v>1722</v>
      </c>
      <c r="E187" s="272" t="s">
        <v>1723</v>
      </c>
      <c r="F187" s="272" t="s">
        <v>1722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1022</v>
      </c>
      <c r="D188" s="266">
        <v>2800802</v>
      </c>
      <c r="E188" s="272" t="s">
        <v>1735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1022</v>
      </c>
      <c r="D189" s="266" t="s">
        <v>1815</v>
      </c>
      <c r="E189" s="272" t="s">
        <v>1816</v>
      </c>
      <c r="F189" s="272" t="s">
        <v>1815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1022</v>
      </c>
      <c r="D190" s="266" t="s">
        <v>1844</v>
      </c>
      <c r="E190" s="272" t="s">
        <v>1845</v>
      </c>
      <c r="F190" s="272" t="s">
        <v>1844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1870</v>
      </c>
      <c r="D191" s="266" t="s">
        <v>1872</v>
      </c>
      <c r="E191" s="272" t="s">
        <v>1873</v>
      </c>
      <c r="F191" s="272" t="s">
        <v>1872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1160</v>
      </c>
      <c r="D192" s="266">
        <v>2800801</v>
      </c>
      <c r="E192" s="272" t="s">
        <v>1878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1059</v>
      </c>
      <c r="D193" s="266" t="s">
        <v>1219</v>
      </c>
      <c r="E193" s="272" t="s">
        <v>1220</v>
      </c>
      <c r="F193" s="272" t="s">
        <v>1219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1022</v>
      </c>
      <c r="D194" s="266">
        <v>415062109</v>
      </c>
      <c r="E194" s="272" t="s">
        <v>2588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1022</v>
      </c>
      <c r="D195" s="266">
        <v>50229</v>
      </c>
      <c r="E195" s="272" t="s">
        <v>1660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1829</v>
      </c>
      <c r="D196" s="266">
        <v>2830402</v>
      </c>
      <c r="E196" s="272" t="s">
        <v>1882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1884</v>
      </c>
      <c r="E197" s="272" t="s">
        <v>1885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1890</v>
      </c>
      <c r="E198" s="272" t="s">
        <v>1168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1890</v>
      </c>
      <c r="E199" s="272" t="s">
        <v>1892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1893</v>
      </c>
      <c r="E200" s="272" t="s">
        <v>1168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1893</v>
      </c>
      <c r="E201" s="272" t="s">
        <v>1895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1899</v>
      </c>
      <c r="E202" s="272" t="s">
        <v>1762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1740</v>
      </c>
      <c r="D203" s="266" t="s">
        <v>1896</v>
      </c>
      <c r="E203" s="272" t="s">
        <v>1897</v>
      </c>
      <c r="F203" s="272" t="s">
        <v>1896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1689</v>
      </c>
      <c r="D204" s="266" t="s">
        <v>1216</v>
      </c>
      <c r="E204" s="272" t="s">
        <v>1662</v>
      </c>
      <c r="F204" s="272" t="s">
        <v>1216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1829</v>
      </c>
      <c r="D205" s="266" t="s">
        <v>1786</v>
      </c>
      <c r="E205" s="272" t="s">
        <v>1784</v>
      </c>
      <c r="F205" s="272" t="s">
        <v>1786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1829</v>
      </c>
      <c r="D206" s="266" t="s">
        <v>1783</v>
      </c>
      <c r="E206" s="272" t="s">
        <v>1784</v>
      </c>
      <c r="F206" s="272" t="s">
        <v>1783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1913</v>
      </c>
      <c r="E207" s="272" t="s">
        <v>1916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1917</v>
      </c>
      <c r="D208" s="266" t="s">
        <v>1771</v>
      </c>
      <c r="E208" s="272" t="s">
        <v>1218</v>
      </c>
      <c r="F208" s="272" t="s">
        <v>1771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1771</v>
      </c>
      <c r="E209" s="272" t="s">
        <v>1218</v>
      </c>
      <c r="F209" s="272" t="s">
        <v>1771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1771</v>
      </c>
      <c r="E210" s="272" t="s">
        <v>1218</v>
      </c>
      <c r="F210" s="272" t="s">
        <v>1771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1616</v>
      </c>
      <c r="D211" s="266" t="s">
        <v>1222</v>
      </c>
      <c r="E211" s="272" t="s">
        <v>1223</v>
      </c>
      <c r="F211" s="272" t="s">
        <v>1222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1598</v>
      </c>
      <c r="D212" s="266" t="s">
        <v>1924</v>
      </c>
      <c r="E212" s="272" t="s">
        <v>1925</v>
      </c>
      <c r="F212" s="272" t="s">
        <v>1924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1417</v>
      </c>
      <c r="E213" s="272" t="s">
        <v>1939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1559</v>
      </c>
      <c r="E214" s="272" t="s">
        <v>1942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1460</v>
      </c>
      <c r="E215" s="272" t="s">
        <v>1153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1689</v>
      </c>
      <c r="D216" s="266" t="s">
        <v>1771</v>
      </c>
      <c r="E216" s="272" t="s">
        <v>1218</v>
      </c>
      <c r="F216" s="272" t="s">
        <v>1771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1689</v>
      </c>
      <c r="E217" s="272" t="s">
        <v>1514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1740</v>
      </c>
      <c r="E218" s="272" t="s">
        <v>1949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1740</v>
      </c>
      <c r="D219" s="266" t="s">
        <v>1282</v>
      </c>
      <c r="E219" s="272" t="s">
        <v>1283</v>
      </c>
      <c r="F219" s="272" t="s">
        <v>1282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1616</v>
      </c>
      <c r="D220" s="266" t="s">
        <v>1946</v>
      </c>
      <c r="E220" s="272" t="s">
        <v>1599</v>
      </c>
      <c r="F220" s="272" t="s">
        <v>1946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1954</v>
      </c>
      <c r="D221" s="266" t="s">
        <v>1815</v>
      </c>
      <c r="E221" s="272" t="s">
        <v>1816</v>
      </c>
      <c r="F221" s="272" t="s">
        <v>1815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1954</v>
      </c>
      <c r="D222" s="266" t="s">
        <v>1222</v>
      </c>
      <c r="E222" s="272" t="s">
        <v>1223</v>
      </c>
      <c r="F222" s="272" t="s">
        <v>1222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1954</v>
      </c>
      <c r="D223" s="266" t="s">
        <v>1924</v>
      </c>
      <c r="E223" s="272" t="s">
        <v>1925</v>
      </c>
      <c r="F223" s="272" t="s">
        <v>1924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1965</v>
      </c>
      <c r="D224" s="266" t="s">
        <v>1956</v>
      </c>
      <c r="E224" s="272" t="s">
        <v>1957</v>
      </c>
      <c r="F224" s="272" t="s">
        <v>1956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1965</v>
      </c>
      <c r="D225" s="266" t="s">
        <v>1959</v>
      </c>
      <c r="E225" s="272" t="s">
        <v>1958</v>
      </c>
      <c r="F225" s="272" t="s">
        <v>1959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1417</v>
      </c>
      <c r="E226" s="272" t="s">
        <v>1763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1417</v>
      </c>
      <c r="D227" s="266">
        <v>24152333903</v>
      </c>
      <c r="E227" s="272" t="s">
        <v>1567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1598</v>
      </c>
      <c r="D228" s="266" t="s">
        <v>1222</v>
      </c>
      <c r="E228" s="272" t="s">
        <v>1223</v>
      </c>
      <c r="F228" s="272" t="s">
        <v>1222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1595</v>
      </c>
      <c r="D229" s="266">
        <v>415072909</v>
      </c>
      <c r="E229" s="272" t="s">
        <v>2588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1595</v>
      </c>
      <c r="D230" s="266" t="s">
        <v>1216</v>
      </c>
      <c r="E230" s="272" t="s">
        <v>1662</v>
      </c>
      <c r="F230" s="272" t="s">
        <v>1216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1595</v>
      </c>
      <c r="D231" s="266" t="s">
        <v>1823</v>
      </c>
      <c r="E231" s="272" t="s">
        <v>1593</v>
      </c>
      <c r="F231" s="272" t="s">
        <v>1823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1740</v>
      </c>
      <c r="E232" s="272" t="s">
        <v>1976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1467</v>
      </c>
      <c r="D233" s="266" t="s">
        <v>1979</v>
      </c>
      <c r="E233" s="272" t="s">
        <v>1980</v>
      </c>
      <c r="F233" s="272" t="s">
        <v>1979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1467</v>
      </c>
      <c r="D234" s="266" t="s">
        <v>1823</v>
      </c>
      <c r="E234" s="272" t="s">
        <v>1593</v>
      </c>
      <c r="F234" s="272" t="s">
        <v>1823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1616</v>
      </c>
      <c r="E235" s="272" t="s">
        <v>1982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1984</v>
      </c>
      <c r="D236" s="266">
        <v>2830402</v>
      </c>
      <c r="E236" s="272" t="s">
        <v>1882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1984</v>
      </c>
      <c r="E237" s="272" t="s">
        <v>1988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1984</v>
      </c>
      <c r="E238" s="272" t="s">
        <v>1989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1984</v>
      </c>
      <c r="D239" s="266" t="s">
        <v>1222</v>
      </c>
      <c r="E239" s="272" t="s">
        <v>1223</v>
      </c>
      <c r="F239" s="272" t="s">
        <v>1222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1984</v>
      </c>
      <c r="D240" s="266">
        <v>50229</v>
      </c>
      <c r="E240" s="272" t="s">
        <v>1660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1984</v>
      </c>
      <c r="D241" s="266" t="s">
        <v>1815</v>
      </c>
      <c r="E241" s="272" t="s">
        <v>1816</v>
      </c>
      <c r="F241" s="272" t="s">
        <v>1815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1572</v>
      </c>
      <c r="D242" s="266" t="s">
        <v>1722</v>
      </c>
      <c r="E242" s="272" t="s">
        <v>1723</v>
      </c>
      <c r="F242" s="272" t="s">
        <v>1722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1462</v>
      </c>
      <c r="D243" s="266">
        <v>2800802</v>
      </c>
      <c r="E243" s="272" t="s">
        <v>1735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1462</v>
      </c>
      <c r="E244" s="272" t="s">
        <v>1996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1462</v>
      </c>
      <c r="E245" s="272" t="s">
        <v>1997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1409</v>
      </c>
      <c r="E246" s="272" t="s">
        <v>1553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2001</v>
      </c>
      <c r="D247" s="266" t="s">
        <v>1213</v>
      </c>
      <c r="E247" s="272" t="s">
        <v>2002</v>
      </c>
      <c r="F247" s="272" t="s">
        <v>1213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2004</v>
      </c>
      <c r="D248" s="266" t="s">
        <v>1844</v>
      </c>
      <c r="E248" s="272" t="s">
        <v>1845</v>
      </c>
      <c r="F248" s="272" t="s">
        <v>1844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2004</v>
      </c>
      <c r="D249" s="266" t="s">
        <v>1276</v>
      </c>
      <c r="E249" s="272" t="s">
        <v>1277</v>
      </c>
      <c r="F249" s="272" t="s">
        <v>1276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2004</v>
      </c>
      <c r="D250" s="266" t="s">
        <v>1222</v>
      </c>
      <c r="E250" s="272" t="s">
        <v>1223</v>
      </c>
      <c r="F250" s="272" t="s">
        <v>1222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1954</v>
      </c>
      <c r="E251" s="272" t="s">
        <v>1138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1467</v>
      </c>
      <c r="E252" s="272" t="s">
        <v>1138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1810</v>
      </c>
      <c r="D253" s="266" t="s">
        <v>1222</v>
      </c>
      <c r="E253" s="272" t="s">
        <v>1223</v>
      </c>
      <c r="F253" s="272" t="s">
        <v>1222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1462</v>
      </c>
      <c r="E254" s="272" t="s">
        <v>2009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1829</v>
      </c>
      <c r="E255" s="272" t="s">
        <v>1514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1320</v>
      </c>
      <c r="E256" s="272" t="s">
        <v>1138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1363</v>
      </c>
      <c r="E257" s="264" t="s">
        <v>1688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1539</v>
      </c>
      <c r="E258" s="272" t="s">
        <v>1542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1539</v>
      </c>
      <c r="E259" s="272" t="s">
        <v>1138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1462</v>
      </c>
      <c r="E260" s="272" t="s">
        <v>1553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1160</v>
      </c>
      <c r="D261" s="266">
        <v>2800802</v>
      </c>
      <c r="E261" s="272" t="s">
        <v>1735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1059</v>
      </c>
      <c r="D262" s="266" t="s">
        <v>2016</v>
      </c>
      <c r="E262" s="272" t="s">
        <v>1220</v>
      </c>
      <c r="F262" s="272" t="s">
        <v>2016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1059</v>
      </c>
      <c r="E263" s="272" t="s">
        <v>1138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1550</v>
      </c>
      <c r="E264" s="272" t="s">
        <v>1762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1462</v>
      </c>
      <c r="E265" s="272" t="s">
        <v>2022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2039</v>
      </c>
      <c r="D266" s="266" t="s">
        <v>1815</v>
      </c>
      <c r="E266" s="272" t="s">
        <v>1816</v>
      </c>
      <c r="F266" s="272" t="s">
        <v>1815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2039</v>
      </c>
      <c r="D267" s="266" t="s">
        <v>1844</v>
      </c>
      <c r="E267" s="272" t="s">
        <v>1845</v>
      </c>
      <c r="F267" s="272" t="s">
        <v>1844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2039</v>
      </c>
      <c r="D268" s="266" t="s">
        <v>2036</v>
      </c>
      <c r="E268" s="272" t="s">
        <v>2037</v>
      </c>
      <c r="F268" s="272" t="s">
        <v>2036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2039</v>
      </c>
      <c r="D269" s="266" t="s">
        <v>1222</v>
      </c>
      <c r="E269" s="272" t="s">
        <v>1223</v>
      </c>
      <c r="F269" s="272" t="s">
        <v>1222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2039</v>
      </c>
      <c r="E270" s="272" t="s">
        <v>2038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2039</v>
      </c>
      <c r="D271" s="266">
        <v>50229</v>
      </c>
      <c r="E271" s="272" t="s">
        <v>1660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2039</v>
      </c>
      <c r="D272" s="266" t="s">
        <v>1924</v>
      </c>
      <c r="E272" s="272" t="s">
        <v>1925</v>
      </c>
      <c r="F272" s="272" t="s">
        <v>1924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1829</v>
      </c>
      <c r="E273" s="272" t="s">
        <v>1138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1740</v>
      </c>
      <c r="D274" s="266" t="s">
        <v>1771</v>
      </c>
      <c r="E274" s="272" t="s">
        <v>1218</v>
      </c>
      <c r="F274" s="272" t="s">
        <v>1771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1740</v>
      </c>
      <c r="E275" s="272" t="s">
        <v>1514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2048</v>
      </c>
      <c r="D276" s="266" t="s">
        <v>2046</v>
      </c>
      <c r="E276" s="272" t="s">
        <v>2047</v>
      </c>
      <c r="F276" s="272" t="s">
        <v>2046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2004</v>
      </c>
      <c r="D277" s="266" t="s">
        <v>1215</v>
      </c>
      <c r="E277" s="272" t="s">
        <v>1661</v>
      </c>
      <c r="F277" s="272" t="s">
        <v>1215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1766</v>
      </c>
      <c r="D278" s="266" t="s">
        <v>1233</v>
      </c>
      <c r="E278" s="272" t="s">
        <v>2051</v>
      </c>
      <c r="F278" s="272" t="s">
        <v>1233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2004</v>
      </c>
      <c r="D279" s="266" t="s">
        <v>1282</v>
      </c>
      <c r="E279" s="272" t="s">
        <v>1283</v>
      </c>
      <c r="F279" s="272" t="s">
        <v>1282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2004</v>
      </c>
      <c r="D280" s="266" t="s">
        <v>1722</v>
      </c>
      <c r="E280" s="272" t="s">
        <v>1723</v>
      </c>
      <c r="F280" s="272" t="s">
        <v>1722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2004</v>
      </c>
      <c r="E281" s="272" t="s">
        <v>2053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2004</v>
      </c>
      <c r="D282" s="266" t="s">
        <v>1815</v>
      </c>
      <c r="E282" s="272" t="s">
        <v>1816</v>
      </c>
      <c r="F282" s="272" t="s">
        <v>1815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1011</v>
      </c>
      <c r="D283" s="266">
        <v>24152333903</v>
      </c>
      <c r="E283" s="272" t="s">
        <v>1567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1462</v>
      </c>
      <c r="E284" s="272" t="s">
        <v>2056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2058</v>
      </c>
      <c r="E285" s="272" t="s">
        <v>2061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2063</v>
      </c>
      <c r="D286" s="266" t="s">
        <v>1216</v>
      </c>
      <c r="E286" s="272" t="s">
        <v>1662</v>
      </c>
      <c r="F286" s="272" t="s">
        <v>1216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2063</v>
      </c>
      <c r="D287" s="266" t="s">
        <v>1823</v>
      </c>
      <c r="E287" s="272" t="s">
        <v>1593</v>
      </c>
      <c r="F287" s="272" t="s">
        <v>1823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2063</v>
      </c>
      <c r="D288" s="266" t="s">
        <v>1738</v>
      </c>
      <c r="E288" s="272" t="s">
        <v>1739</v>
      </c>
      <c r="F288" s="272" t="s">
        <v>1738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1050</v>
      </c>
      <c r="E289" s="272" t="s">
        <v>2067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1595</v>
      </c>
      <c r="E290" s="272" t="s">
        <v>1762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2070</v>
      </c>
      <c r="E291" s="272" t="s">
        <v>2073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1572</v>
      </c>
      <c r="D292" s="266" t="s">
        <v>1230</v>
      </c>
      <c r="E292" s="272" t="s">
        <v>1231</v>
      </c>
      <c r="F292" s="272" t="s">
        <v>1230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2077</v>
      </c>
      <c r="E293" s="272" t="s">
        <v>2078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2079</v>
      </c>
      <c r="E294" s="272" t="s">
        <v>2078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1595</v>
      </c>
      <c r="E295" s="272" t="s">
        <v>1138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2063</v>
      </c>
      <c r="E296" s="272" t="s">
        <v>1138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1160</v>
      </c>
      <c r="E297" s="272" t="s">
        <v>1138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2004</v>
      </c>
      <c r="D298" s="266" t="s">
        <v>1222</v>
      </c>
      <c r="E298" s="272" t="s">
        <v>1223</v>
      </c>
      <c r="F298" s="272" t="s">
        <v>1222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2004</v>
      </c>
      <c r="E299" s="272" t="s">
        <v>1138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1559</v>
      </c>
      <c r="E300" s="272" t="s">
        <v>1138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2086</v>
      </c>
      <c r="E301" s="272" t="s">
        <v>2083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2001</v>
      </c>
      <c r="E302" s="272" t="s">
        <v>1138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1462</v>
      </c>
      <c r="E303" s="272" t="s">
        <v>1138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1485</v>
      </c>
      <c r="E304" s="272" t="s">
        <v>1138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2039</v>
      </c>
      <c r="E305" s="272" t="s">
        <v>1138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1417</v>
      </c>
      <c r="E306" s="272" t="s">
        <v>1138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1598</v>
      </c>
      <c r="D307" s="266" t="s">
        <v>1216</v>
      </c>
      <c r="E307" s="272" t="s">
        <v>1662</v>
      </c>
      <c r="F307" s="272" t="s">
        <v>1216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1598</v>
      </c>
      <c r="D308" s="266" t="s">
        <v>1823</v>
      </c>
      <c r="E308" s="272" t="s">
        <v>1593</v>
      </c>
      <c r="F308" s="272" t="s">
        <v>1823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1598</v>
      </c>
      <c r="E309" s="272" t="s">
        <v>2082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1572</v>
      </c>
      <c r="E310" s="272" t="s">
        <v>1138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2058</v>
      </c>
      <c r="E311" s="272" t="s">
        <v>1138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1740</v>
      </c>
      <c r="D312" s="266">
        <v>2800802</v>
      </c>
      <c r="E312" s="272" t="s">
        <v>1735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1598</v>
      </c>
      <c r="D313" s="266" t="s">
        <v>1282</v>
      </c>
      <c r="E313" s="272" t="s">
        <v>1283</v>
      </c>
      <c r="F313" s="272" t="s">
        <v>1282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2001</v>
      </c>
      <c r="D314" s="266" t="s">
        <v>1213</v>
      </c>
      <c r="E314" s="272" t="s">
        <v>2002</v>
      </c>
      <c r="F314" s="272" t="s">
        <v>1213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1417</v>
      </c>
      <c r="D315" s="266">
        <v>415072909</v>
      </c>
      <c r="E315" s="273" t="s">
        <v>2588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1417</v>
      </c>
      <c r="E316" s="272" t="s">
        <v>1168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2001</v>
      </c>
      <c r="E317" s="272" t="s">
        <v>2105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1598</v>
      </c>
      <c r="E318" s="272" t="s">
        <v>2106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1984</v>
      </c>
      <c r="E319" s="272" t="s">
        <v>2103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2107</v>
      </c>
      <c r="D320" s="266" t="s">
        <v>1219</v>
      </c>
      <c r="E320" s="272" t="s">
        <v>1220</v>
      </c>
      <c r="F320" s="272" t="s">
        <v>1219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1011</v>
      </c>
      <c r="D321" s="266">
        <v>2800802</v>
      </c>
      <c r="E321" s="272" t="s">
        <v>1735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1559</v>
      </c>
      <c r="D322" s="266">
        <v>501220522</v>
      </c>
      <c r="E322" s="272" t="s">
        <v>2047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1417</v>
      </c>
      <c r="D323" s="266" t="s">
        <v>1771</v>
      </c>
      <c r="E323" s="272" t="s">
        <v>1218</v>
      </c>
      <c r="F323" s="272" t="s">
        <v>1771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1487</v>
      </c>
      <c r="E324" s="272" t="s">
        <v>1514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1417</v>
      </c>
      <c r="D325" s="266" t="s">
        <v>1771</v>
      </c>
      <c r="E325" s="272" t="s">
        <v>2113</v>
      </c>
      <c r="F325" s="272" t="s">
        <v>1771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1984</v>
      </c>
      <c r="E326" s="272" t="s">
        <v>1138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1323</v>
      </c>
      <c r="D327" s="266" t="s">
        <v>1215</v>
      </c>
      <c r="E327" s="272" t="s">
        <v>1661</v>
      </c>
      <c r="F327" s="272" t="s">
        <v>1215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1323</v>
      </c>
      <c r="D328" s="266" t="s">
        <v>1222</v>
      </c>
      <c r="E328" s="272" t="s">
        <v>1223</v>
      </c>
      <c r="F328" s="272" t="s">
        <v>1222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2118</v>
      </c>
      <c r="D329" s="266" t="s">
        <v>1216</v>
      </c>
      <c r="E329" s="272" t="s">
        <v>1662</v>
      </c>
      <c r="F329" s="272" t="s">
        <v>1216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2118</v>
      </c>
      <c r="D330" s="266" t="s">
        <v>1823</v>
      </c>
      <c r="E330" s="272" t="s">
        <v>1593</v>
      </c>
      <c r="F330" s="272" t="s">
        <v>1823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1323</v>
      </c>
      <c r="E331" s="272" t="s">
        <v>1138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1011</v>
      </c>
      <c r="E332" s="272" t="s">
        <v>1138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1572</v>
      </c>
      <c r="E333" s="272" t="s">
        <v>1138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2118</v>
      </c>
      <c r="E334" s="272" t="s">
        <v>1138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1417</v>
      </c>
      <c r="D335" s="266">
        <v>1068298046</v>
      </c>
      <c r="E335" s="272" t="s">
        <v>2120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1417</v>
      </c>
      <c r="D336" s="266">
        <v>24152333907</v>
      </c>
      <c r="E336" s="272" t="s">
        <v>1567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2118</v>
      </c>
      <c r="D337" s="266" t="s">
        <v>1216</v>
      </c>
      <c r="E337" s="272" t="s">
        <v>1662</v>
      </c>
      <c r="F337" s="272" t="s">
        <v>1216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2118</v>
      </c>
      <c r="D338" s="266" t="s">
        <v>1823</v>
      </c>
      <c r="E338" s="272" t="s">
        <v>1593</v>
      </c>
      <c r="F338" s="272" t="s">
        <v>1823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2124</v>
      </c>
      <c r="D339" s="266" t="s">
        <v>1216</v>
      </c>
      <c r="E339" s="272" t="s">
        <v>1662</v>
      </c>
      <c r="F339" s="272" t="s">
        <v>1216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2124</v>
      </c>
      <c r="D340" s="266" t="s">
        <v>1823</v>
      </c>
      <c r="E340" s="272" t="s">
        <v>1593</v>
      </c>
      <c r="F340" s="272" t="s">
        <v>1823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2124</v>
      </c>
      <c r="D341" s="266" t="s">
        <v>1738</v>
      </c>
      <c r="E341" s="272" t="s">
        <v>1739</v>
      </c>
      <c r="F341" s="272" t="s">
        <v>1738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2124</v>
      </c>
      <c r="E342" s="272" t="s">
        <v>1138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2118</v>
      </c>
      <c r="E343" s="272" t="s">
        <v>1138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2243</v>
      </c>
      <c r="E344" s="272" t="s">
        <v>2244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1740</v>
      </c>
      <c r="D345" s="266" t="s">
        <v>1230</v>
      </c>
      <c r="E345" s="272" t="s">
        <v>1142</v>
      </c>
      <c r="F345" s="272" t="s">
        <v>1482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2107</v>
      </c>
      <c r="E346" s="272" t="s">
        <v>1138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1487</v>
      </c>
      <c r="E347" s="272" t="s">
        <v>1138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1740</v>
      </c>
      <c r="E348" s="272" t="s">
        <v>1138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1550</v>
      </c>
      <c r="E349" s="272" t="s">
        <v>1138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1050</v>
      </c>
      <c r="E350" s="272" t="s">
        <v>1138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1323</v>
      </c>
      <c r="D351" s="266" t="s">
        <v>2139</v>
      </c>
      <c r="E351" s="272" t="s">
        <v>1988</v>
      </c>
      <c r="F351" s="272" t="s">
        <v>2139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2039</v>
      </c>
      <c r="D352" s="266">
        <v>36050661</v>
      </c>
      <c r="E352" s="272" t="s">
        <v>2137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2376</v>
      </c>
      <c r="E353" s="272" t="s">
        <v>2377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2376</v>
      </c>
      <c r="D354" s="266" t="s">
        <v>2378</v>
      </c>
      <c r="E354" s="272" t="s">
        <v>2379</v>
      </c>
      <c r="F354" s="272" t="s">
        <v>2378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1810</v>
      </c>
      <c r="E355" s="272" t="s">
        <v>1138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1323</v>
      </c>
      <c r="E356" s="272" t="s">
        <v>1765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2039</v>
      </c>
      <c r="E357" s="272" t="s">
        <v>1765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1810</v>
      </c>
      <c r="E358" s="272" t="s">
        <v>1765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2341</v>
      </c>
      <c r="E359" s="272" t="s">
        <v>1513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2341</v>
      </c>
      <c r="E360" s="272" t="s">
        <v>1138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1462</v>
      </c>
      <c r="D361" s="266">
        <v>1068298046</v>
      </c>
      <c r="E361" s="272" t="s">
        <v>2120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2001</v>
      </c>
      <c r="D362" s="266" t="s">
        <v>1771</v>
      </c>
      <c r="E362" s="272" t="s">
        <v>1218</v>
      </c>
      <c r="F362" s="272" t="s">
        <v>1771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1616</v>
      </c>
      <c r="D363" s="266" t="s">
        <v>1222</v>
      </c>
      <c r="E363" s="272" t="s">
        <v>1223</v>
      </c>
      <c r="F363" s="272" t="s">
        <v>1222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1472</v>
      </c>
      <c r="E364" s="272" t="s">
        <v>2156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1472</v>
      </c>
      <c r="E365" s="272" t="s">
        <v>2157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1160</v>
      </c>
      <c r="E366" s="272" t="s">
        <v>2159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2163</v>
      </c>
      <c r="D367" s="266" t="s">
        <v>1216</v>
      </c>
      <c r="E367" s="272" t="s">
        <v>1662</v>
      </c>
      <c r="F367" s="272" t="s">
        <v>1216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1417</v>
      </c>
      <c r="E368" s="272" t="s">
        <v>2167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2163</v>
      </c>
      <c r="E369" s="272" t="s">
        <v>1138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1616</v>
      </c>
      <c r="E370" s="272" t="s">
        <v>1138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1467</v>
      </c>
      <c r="E371" s="272" t="s">
        <v>1153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1467</v>
      </c>
      <c r="D372" s="266">
        <v>1068298046</v>
      </c>
      <c r="E372" s="272" t="s">
        <v>2120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1954</v>
      </c>
      <c r="D373" s="266">
        <v>1068298046</v>
      </c>
      <c r="E373" s="272" t="s">
        <v>2120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1954</v>
      </c>
      <c r="D374" s="266">
        <v>24152333903</v>
      </c>
      <c r="E374" s="272" t="s">
        <v>1567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2193</v>
      </c>
      <c r="D375" s="266" t="s">
        <v>2194</v>
      </c>
      <c r="E375" s="272" t="s">
        <v>2195</v>
      </c>
      <c r="F375" s="272" t="s">
        <v>2194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1810</v>
      </c>
      <c r="D376" s="266" t="s">
        <v>1222</v>
      </c>
      <c r="E376" s="272" t="s">
        <v>1223</v>
      </c>
      <c r="F376" s="272" t="s">
        <v>1222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2176</v>
      </c>
      <c r="D377" s="266">
        <v>7252703114</v>
      </c>
      <c r="E377" s="272" t="s">
        <v>1721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2180</v>
      </c>
      <c r="D378" s="266">
        <v>2800802</v>
      </c>
      <c r="E378" s="272" t="s">
        <v>1735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1417</v>
      </c>
      <c r="E379" s="272" t="s">
        <v>2183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1323</v>
      </c>
      <c r="E380" s="272" t="s">
        <v>2186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2176</v>
      </c>
      <c r="E381" s="272" t="s">
        <v>1138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1689</v>
      </c>
      <c r="E382" s="272" t="s">
        <v>2189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1396</v>
      </c>
      <c r="E383" s="272" t="s">
        <v>2191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2001</v>
      </c>
      <c r="E384" s="272" t="s">
        <v>1138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1396</v>
      </c>
      <c r="E385" s="272" t="s">
        <v>1138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1740</v>
      </c>
      <c r="E386" s="272" t="s">
        <v>2061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1740</v>
      </c>
      <c r="E387" s="272" t="s">
        <v>2196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1467</v>
      </c>
      <c r="E388" s="272" t="s">
        <v>1138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1323</v>
      </c>
      <c r="E389" s="272" t="s">
        <v>1138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2203</v>
      </c>
      <c r="D390" s="266" t="s">
        <v>1230</v>
      </c>
      <c r="E390" s="272" t="s">
        <v>1142</v>
      </c>
      <c r="F390" s="272" t="s">
        <v>1482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1022</v>
      </c>
      <c r="D391" s="266">
        <v>2295001282</v>
      </c>
      <c r="E391" s="272" t="s">
        <v>2588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1810</v>
      </c>
      <c r="E392" s="272" t="s">
        <v>1762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1616</v>
      </c>
      <c r="D393" s="266" t="s">
        <v>1378</v>
      </c>
      <c r="E393" s="272" t="s">
        <v>1218</v>
      </c>
      <c r="F393" s="272" t="s">
        <v>1378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1616</v>
      </c>
      <c r="E394" s="272" t="s">
        <v>1138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1598</v>
      </c>
      <c r="D395" s="266" t="s">
        <v>1222</v>
      </c>
      <c r="E395" s="272" t="s">
        <v>2219</v>
      </c>
      <c r="F395" s="272" t="s">
        <v>1222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2118</v>
      </c>
      <c r="D396" s="266" t="s">
        <v>1216</v>
      </c>
      <c r="E396" s="272" t="s">
        <v>2212</v>
      </c>
      <c r="F396" s="272" t="s">
        <v>1216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2118</v>
      </c>
      <c r="D397" s="266" t="s">
        <v>1823</v>
      </c>
      <c r="E397" s="272" t="s">
        <v>2213</v>
      </c>
      <c r="F397" s="272" t="s">
        <v>1823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2118</v>
      </c>
      <c r="E398" s="272" t="s">
        <v>1138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1559</v>
      </c>
      <c r="E399" s="272" t="s">
        <v>2034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2130</v>
      </c>
      <c r="E400" s="272" t="s">
        <v>1138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1766</v>
      </c>
      <c r="D401" s="266">
        <v>50229</v>
      </c>
      <c r="E401" s="272" t="s">
        <v>2222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2248</v>
      </c>
      <c r="E402" s="272" t="s">
        <v>2246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1893</v>
      </c>
      <c r="D403" s="266" t="s">
        <v>1216</v>
      </c>
      <c r="E403" s="272" t="s">
        <v>2212</v>
      </c>
      <c r="F403" s="272" t="s">
        <v>1216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1893</v>
      </c>
      <c r="D404" s="266" t="s">
        <v>1823</v>
      </c>
      <c r="E404" s="272" t="s">
        <v>2213</v>
      </c>
      <c r="F404" s="272" t="s">
        <v>1823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1893</v>
      </c>
      <c r="D405" s="266" t="s">
        <v>2250</v>
      </c>
      <c r="E405" s="272" t="s">
        <v>2214</v>
      </c>
      <c r="F405" s="272" t="s">
        <v>2250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1893</v>
      </c>
      <c r="E406" s="272" t="s">
        <v>1138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2124</v>
      </c>
      <c r="D407" s="266" t="s">
        <v>2250</v>
      </c>
      <c r="E407" s="272" t="s">
        <v>2214</v>
      </c>
      <c r="F407" s="272" t="s">
        <v>2250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1954</v>
      </c>
      <c r="E408" s="272" t="s">
        <v>1138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1766</v>
      </c>
      <c r="D409" s="266">
        <v>50229</v>
      </c>
      <c r="E409" s="272" t="s">
        <v>2222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1766</v>
      </c>
      <c r="D410" s="266" t="s">
        <v>1276</v>
      </c>
      <c r="E410" s="272" t="s">
        <v>2220</v>
      </c>
      <c r="F410" s="272" t="s">
        <v>1276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1766</v>
      </c>
      <c r="D411" s="266" t="s">
        <v>1844</v>
      </c>
      <c r="E411" s="272" t="s">
        <v>2224</v>
      </c>
      <c r="F411" s="272" t="s">
        <v>1844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1893</v>
      </c>
      <c r="E412" s="272" t="s">
        <v>2261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1893</v>
      </c>
      <c r="E413" s="272" t="s">
        <v>1138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1870</v>
      </c>
      <c r="E414" s="272" t="s">
        <v>2263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1766</v>
      </c>
      <c r="E415" s="272" t="s">
        <v>1537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1766</v>
      </c>
      <c r="E416" s="272" t="s">
        <v>1553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1059</v>
      </c>
      <c r="E417" s="272" t="s">
        <v>1553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2277</v>
      </c>
      <c r="D418" s="266">
        <v>1087298388</v>
      </c>
      <c r="E418" s="272" t="s">
        <v>2278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2288</v>
      </c>
      <c r="D419" s="266" t="s">
        <v>2289</v>
      </c>
      <c r="E419" s="272" t="s">
        <v>2290</v>
      </c>
      <c r="F419" s="272" t="s">
        <v>2289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1870</v>
      </c>
      <c r="E420" s="272" t="s">
        <v>1765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1689</v>
      </c>
      <c r="E421" s="272" t="s">
        <v>1138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1487</v>
      </c>
      <c r="E422" s="272" t="s">
        <v>1138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1740</v>
      </c>
      <c r="D423" s="266" t="s">
        <v>1216</v>
      </c>
      <c r="E423" s="272" t="s">
        <v>2212</v>
      </c>
      <c r="F423" s="272" t="s">
        <v>1216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1740</v>
      </c>
      <c r="D424" s="266" t="s">
        <v>1823</v>
      </c>
      <c r="E424" s="272" t="s">
        <v>2213</v>
      </c>
      <c r="F424" s="272" t="s">
        <v>1823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1740</v>
      </c>
      <c r="D425" s="266" t="s">
        <v>1738</v>
      </c>
      <c r="E425" s="272" t="s">
        <v>2215</v>
      </c>
      <c r="F425" s="272" t="s">
        <v>1738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1740</v>
      </c>
      <c r="E426" s="272" t="s">
        <v>2274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1409</v>
      </c>
      <c r="E427" s="272" t="s">
        <v>2061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1462</v>
      </c>
      <c r="E428" s="272" t="s">
        <v>2279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1160</v>
      </c>
      <c r="E429" s="272" t="s">
        <v>2280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1059</v>
      </c>
      <c r="D430" s="266" t="s">
        <v>1771</v>
      </c>
      <c r="E430" s="272" t="s">
        <v>1218</v>
      </c>
      <c r="F430" s="272" t="s">
        <v>1771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1059</v>
      </c>
      <c r="E431" s="272" t="s">
        <v>1138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1019</v>
      </c>
      <c r="D432" s="266" t="s">
        <v>1215</v>
      </c>
      <c r="E432" s="272" t="s">
        <v>2218</v>
      </c>
      <c r="F432" s="272" t="s">
        <v>1215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2385</v>
      </c>
      <c r="D433" s="266" t="s">
        <v>2386</v>
      </c>
      <c r="E433" s="272" t="s">
        <v>2387</v>
      </c>
      <c r="F433" s="272" t="s">
        <v>2386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1884</v>
      </c>
      <c r="D434" s="266" t="s">
        <v>1215</v>
      </c>
      <c r="E434" s="272" t="s">
        <v>2218</v>
      </c>
      <c r="F434" s="272" t="s">
        <v>1215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2124</v>
      </c>
      <c r="E435" s="272" t="s">
        <v>1138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2272</v>
      </c>
      <c r="E436" s="272" t="s">
        <v>1138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1409</v>
      </c>
      <c r="E437" s="272" t="s">
        <v>1138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1572</v>
      </c>
      <c r="E438" s="272" t="s">
        <v>2291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2293</v>
      </c>
      <c r="D439" s="266" t="s">
        <v>1230</v>
      </c>
      <c r="E439" s="272" t="s">
        <v>2210</v>
      </c>
      <c r="F439" s="272" t="s">
        <v>1482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1689</v>
      </c>
      <c r="D440" s="266" t="s">
        <v>1979</v>
      </c>
      <c r="E440" s="272" t="s">
        <v>2234</v>
      </c>
      <c r="F440" s="272" t="s">
        <v>1979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1689</v>
      </c>
      <c r="D441" s="266" t="s">
        <v>1823</v>
      </c>
      <c r="E441" s="272" t="s">
        <v>2213</v>
      </c>
      <c r="F441" s="272" t="s">
        <v>1823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1689</v>
      </c>
      <c r="E442" s="272" t="s">
        <v>2235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2296</v>
      </c>
      <c r="D443" s="266" t="s">
        <v>1216</v>
      </c>
      <c r="E443" s="272" t="s">
        <v>2212</v>
      </c>
      <c r="F443" s="272" t="s">
        <v>1216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2296</v>
      </c>
      <c r="D444" s="266" t="s">
        <v>1823</v>
      </c>
      <c r="E444" s="272" t="s">
        <v>2213</v>
      </c>
      <c r="F444" s="272" t="s">
        <v>1823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1884</v>
      </c>
      <c r="D445" s="266" t="s">
        <v>1216</v>
      </c>
      <c r="E445" s="272" t="s">
        <v>2212</v>
      </c>
      <c r="F445" s="272" t="s">
        <v>1216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1884</v>
      </c>
      <c r="D446" s="266" t="s">
        <v>1823</v>
      </c>
      <c r="E446" s="272" t="s">
        <v>2213</v>
      </c>
      <c r="F446" s="272" t="s">
        <v>1823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2296</v>
      </c>
      <c r="E447" s="272" t="s">
        <v>1138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2293</v>
      </c>
      <c r="E448" s="272" t="s">
        <v>1138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1472</v>
      </c>
      <c r="E449" s="272" t="s">
        <v>1138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1011</v>
      </c>
      <c r="E450" s="272" t="s">
        <v>1138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1417</v>
      </c>
      <c r="D451" s="266">
        <v>7252703114</v>
      </c>
      <c r="E451" s="272" t="s">
        <v>1721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1059</v>
      </c>
      <c r="E452" s="272" t="s">
        <v>1553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1572</v>
      </c>
      <c r="D453" s="266" t="s">
        <v>1282</v>
      </c>
      <c r="E453" s="272" t="s">
        <v>1283</v>
      </c>
      <c r="F453" s="272" t="s">
        <v>1282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1467</v>
      </c>
      <c r="D454" s="266" t="s">
        <v>1213</v>
      </c>
      <c r="E454" s="272" t="s">
        <v>2302</v>
      </c>
      <c r="F454" s="272" t="s">
        <v>1213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1497</v>
      </c>
      <c r="E455" s="272" t="s">
        <v>1762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1059</v>
      </c>
      <c r="E456" s="272" t="s">
        <v>1138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1467</v>
      </c>
      <c r="E457" s="272" t="s">
        <v>1138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1059</v>
      </c>
      <c r="D458" s="266" t="s">
        <v>1219</v>
      </c>
      <c r="E458" s="272" t="s">
        <v>1220</v>
      </c>
      <c r="F458" s="272" t="s">
        <v>1219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2494</v>
      </c>
      <c r="E459" s="272" t="s">
        <v>1737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1740</v>
      </c>
      <c r="D460" s="266">
        <v>4150862090</v>
      </c>
      <c r="E460" s="272" t="s">
        <v>2588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1470</v>
      </c>
      <c r="E461" s="272" t="s">
        <v>1763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1022</v>
      </c>
      <c r="D462" s="266">
        <v>4150862090</v>
      </c>
      <c r="E462" s="272" t="s">
        <v>2588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1022</v>
      </c>
      <c r="D463" s="266">
        <v>50229</v>
      </c>
      <c r="E463" s="272" t="s">
        <v>2222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1022</v>
      </c>
      <c r="E464" s="272" t="s">
        <v>2216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1022</v>
      </c>
      <c r="D465" s="266" t="s">
        <v>1844</v>
      </c>
      <c r="E465" s="272" t="s">
        <v>2224</v>
      </c>
      <c r="F465" s="272" t="s">
        <v>1844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1562</v>
      </c>
      <c r="E466" s="272" t="s">
        <v>2325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1562</v>
      </c>
      <c r="E467" s="272" t="s">
        <v>1765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1572</v>
      </c>
      <c r="E468" s="272" t="s">
        <v>1138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2327</v>
      </c>
      <c r="D469" s="266" t="s">
        <v>1213</v>
      </c>
      <c r="E469" s="272" t="s">
        <v>2229</v>
      </c>
      <c r="F469" s="272" t="s">
        <v>1213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2327</v>
      </c>
      <c r="E470" s="272" t="s">
        <v>1138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1160</v>
      </c>
      <c r="E471" s="272" t="s">
        <v>1138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1417</v>
      </c>
      <c r="E472" s="272" t="s">
        <v>1762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1572</v>
      </c>
      <c r="E473" s="272" t="s">
        <v>1138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1689</v>
      </c>
      <c r="E474" s="272" t="s">
        <v>1138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1019</v>
      </c>
      <c r="E475" s="272" t="s">
        <v>1138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1595</v>
      </c>
      <c r="D476" s="266" t="s">
        <v>1222</v>
      </c>
      <c r="E476" s="272" t="s">
        <v>2219</v>
      </c>
      <c r="F476" s="272" t="s">
        <v>1222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1595</v>
      </c>
      <c r="D477" s="266">
        <v>50229</v>
      </c>
      <c r="E477" s="272" t="s">
        <v>2222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1595</v>
      </c>
      <c r="D478" s="266" t="s">
        <v>1815</v>
      </c>
      <c r="E478" s="272" t="s">
        <v>2223</v>
      </c>
      <c r="F478" s="272" t="s">
        <v>1815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2341</v>
      </c>
      <c r="D479" s="266" t="s">
        <v>1771</v>
      </c>
      <c r="E479" s="272" t="s">
        <v>2334</v>
      </c>
      <c r="F479" s="272" t="s">
        <v>1771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2341</v>
      </c>
      <c r="E480" s="272" t="s">
        <v>1514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1022</v>
      </c>
      <c r="D481" s="266" t="s">
        <v>1276</v>
      </c>
      <c r="E481" s="272" t="s">
        <v>2220</v>
      </c>
      <c r="F481" s="272" t="s">
        <v>1276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1689</v>
      </c>
      <c r="E482" s="272" t="s">
        <v>1514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1884</v>
      </c>
      <c r="E483" s="272" t="s">
        <v>1138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1604</v>
      </c>
      <c r="D484" s="266" t="s">
        <v>1230</v>
      </c>
      <c r="E484" s="272" t="s">
        <v>2210</v>
      </c>
      <c r="F484" s="272" t="s">
        <v>1482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2341</v>
      </c>
      <c r="E485" s="272" t="s">
        <v>1138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1689</v>
      </c>
      <c r="E486" s="272" t="s">
        <v>1138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1497</v>
      </c>
      <c r="D487" s="266">
        <v>501220639</v>
      </c>
      <c r="E487" s="272" t="s">
        <v>1779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1598</v>
      </c>
      <c r="E488" s="272" t="s">
        <v>1138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1740</v>
      </c>
      <c r="E489" s="272" t="s">
        <v>1763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1595</v>
      </c>
      <c r="E490" s="272" t="s">
        <v>1553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1810</v>
      </c>
      <c r="E491" s="272" t="s">
        <v>1138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1059</v>
      </c>
      <c r="E492" s="272" t="s">
        <v>1138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1390</v>
      </c>
      <c r="E493" s="272" t="s">
        <v>1762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1559</v>
      </c>
      <c r="E494" s="272" t="s">
        <v>1144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1559</v>
      </c>
      <c r="E495" s="272" t="s">
        <v>2351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2179</v>
      </c>
      <c r="E496" s="272" t="s">
        <v>1878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1417</v>
      </c>
      <c r="E497" s="272" t="s">
        <v>2353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1766</v>
      </c>
      <c r="E498" s="272" t="s">
        <v>1138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1604</v>
      </c>
      <c r="E499" s="272" t="s">
        <v>1138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1917</v>
      </c>
      <c r="E500" s="272" t="s">
        <v>2355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1059</v>
      </c>
      <c r="E501" s="272" t="s">
        <v>2067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2354</v>
      </c>
      <c r="E502" s="272" t="s">
        <v>2229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2354</v>
      </c>
      <c r="E503" s="272" t="s">
        <v>1138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2356</v>
      </c>
      <c r="E504" s="272" t="s">
        <v>1735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1917</v>
      </c>
      <c r="E505" s="272" t="s">
        <v>1138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2311</v>
      </c>
      <c r="E506" s="272" t="s">
        <v>1138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2356</v>
      </c>
      <c r="E507" s="272" t="s">
        <v>1138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1766</v>
      </c>
      <c r="E508" s="272" t="s">
        <v>2334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1766</v>
      </c>
      <c r="E509" s="272" t="s">
        <v>1514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1766</v>
      </c>
      <c r="E510" s="272" t="s">
        <v>1537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1409</v>
      </c>
      <c r="E511" s="272" t="s">
        <v>2588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1417</v>
      </c>
      <c r="E512" s="272" t="s">
        <v>2051</v>
      </c>
      <c r="F512" s="272" t="s">
        <v>1233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1559</v>
      </c>
      <c r="E513" s="272" t="s">
        <v>1138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2393</v>
      </c>
      <c r="E514" s="272" t="s">
        <v>2394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1059</v>
      </c>
      <c r="E515" s="272" t="s">
        <v>1218</v>
      </c>
      <c r="F515" s="272" t="s">
        <v>1771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2523</v>
      </c>
      <c r="E516" s="272" t="s">
        <v>2363</v>
      </c>
      <c r="F516" s="272" t="s">
        <v>2362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2130</v>
      </c>
      <c r="E517" s="272" t="s">
        <v>1218</v>
      </c>
      <c r="F517" s="272" t="s">
        <v>1771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2130</v>
      </c>
      <c r="E518" s="272" t="s">
        <v>2373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1766</v>
      </c>
      <c r="E519" s="272" t="s">
        <v>1138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2143</v>
      </c>
      <c r="E520" s="272" t="s">
        <v>1138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1255</v>
      </c>
      <c r="E521" s="272" t="s">
        <v>2380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1323</v>
      </c>
      <c r="E522" s="272" t="s">
        <v>2210</v>
      </c>
      <c r="F522" s="272" t="s">
        <v>1482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1598</v>
      </c>
      <c r="E523" s="272" t="s">
        <v>2082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1390</v>
      </c>
      <c r="E524" s="272" t="s">
        <v>1138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2391</v>
      </c>
      <c r="E525" s="272" t="s">
        <v>2392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1595</v>
      </c>
      <c r="E526" s="272" t="s">
        <v>1765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1470</v>
      </c>
      <c r="E527" s="272" t="s">
        <v>1765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2368</v>
      </c>
      <c r="E528" s="272" t="s">
        <v>1765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1409</v>
      </c>
      <c r="E529" s="272" t="s">
        <v>1765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1497</v>
      </c>
      <c r="E530" s="272" t="s">
        <v>1765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1323</v>
      </c>
      <c r="E531" s="272" t="s">
        <v>1138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2403</v>
      </c>
      <c r="E532" s="272" t="s">
        <v>2404</v>
      </c>
      <c r="F532" s="272" t="s">
        <v>2405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1559</v>
      </c>
      <c r="E533" s="272" t="s">
        <v>1283</v>
      </c>
      <c r="F533" s="272" t="s">
        <v>1282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2327</v>
      </c>
      <c r="E534" s="272" t="s">
        <v>2219</v>
      </c>
      <c r="F534" s="272" t="s">
        <v>1222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2327</v>
      </c>
      <c r="E535" s="272" t="s">
        <v>2222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2327</v>
      </c>
      <c r="E536" s="272" t="s">
        <v>1138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1474</v>
      </c>
      <c r="E537" s="272" t="s">
        <v>1735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1417</v>
      </c>
      <c r="E538" s="272" t="s">
        <v>1138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1559</v>
      </c>
      <c r="E539" s="272" t="s">
        <v>1218</v>
      </c>
      <c r="F539" s="272" t="s">
        <v>1771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1559</v>
      </c>
      <c r="E540" s="272" t="s">
        <v>1514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1559</v>
      </c>
      <c r="E541" s="272" t="s">
        <v>1721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2293</v>
      </c>
      <c r="E542" s="272" t="s">
        <v>2228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1138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2436</v>
      </c>
      <c r="E544" s="272" t="s">
        <v>2437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1467</v>
      </c>
      <c r="E545" s="272" t="s">
        <v>2409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2424</v>
      </c>
      <c r="E546" s="272" t="s">
        <v>2420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1467</v>
      </c>
      <c r="E547" s="272" t="s">
        <v>1138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1019</v>
      </c>
      <c r="E548" s="272" t="s">
        <v>1138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1616</v>
      </c>
      <c r="E549" s="272" t="s">
        <v>2228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2428</v>
      </c>
      <c r="E550" s="272" t="s">
        <v>2433</v>
      </c>
      <c r="F550" s="272" t="s">
        <v>2434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1474</v>
      </c>
      <c r="E551" s="272" t="s">
        <v>1138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2435</v>
      </c>
      <c r="E552" s="272" t="s">
        <v>1138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2427</v>
      </c>
      <c r="E553" s="272" t="s">
        <v>1138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1598</v>
      </c>
      <c r="E554" s="272" t="s">
        <v>1553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1598</v>
      </c>
      <c r="E555" s="272" t="s">
        <v>1567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1740</v>
      </c>
      <c r="E556" s="272" t="s">
        <v>1138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1740</v>
      </c>
      <c r="E557" s="272" t="s">
        <v>2439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1559</v>
      </c>
      <c r="E558" s="272" t="s">
        <v>2219</v>
      </c>
      <c r="F558" s="272" t="s">
        <v>1222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1559</v>
      </c>
      <c r="E559" s="272" t="s">
        <v>2222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1559</v>
      </c>
      <c r="E560" s="272" t="s">
        <v>2220</v>
      </c>
      <c r="F560" s="272" t="s">
        <v>1276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1559</v>
      </c>
      <c r="E561" s="272" t="s">
        <v>2224</v>
      </c>
      <c r="F561" s="272" t="s">
        <v>1844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1559</v>
      </c>
      <c r="E562" s="272" t="s">
        <v>2223</v>
      </c>
      <c r="F562" s="272" t="s">
        <v>1815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1616</v>
      </c>
      <c r="E563" s="272" t="s">
        <v>1138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1474</v>
      </c>
      <c r="E564" s="272" t="s">
        <v>1735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1160</v>
      </c>
      <c r="E565" s="272" t="s">
        <v>2446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1160</v>
      </c>
      <c r="E566" s="272" t="s">
        <v>2223</v>
      </c>
      <c r="F566" s="272" t="s">
        <v>1815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1160</v>
      </c>
      <c r="E567" s="272" t="s">
        <v>2226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1160</v>
      </c>
      <c r="E568" s="272" t="s">
        <v>2447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1598</v>
      </c>
      <c r="E569" s="272" t="s">
        <v>1138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2455</v>
      </c>
      <c r="E570" s="272" t="s">
        <v>2454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1740</v>
      </c>
      <c r="E571" s="272" t="s">
        <v>2219</v>
      </c>
      <c r="F571" s="272" t="s">
        <v>1222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2479</v>
      </c>
      <c r="E572" s="272" t="s">
        <v>2480</v>
      </c>
      <c r="F572" s="272" t="s">
        <v>2481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2486</v>
      </c>
      <c r="E573" s="272" t="s">
        <v>2487</v>
      </c>
      <c r="F573" s="272" t="s">
        <v>2488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2486</v>
      </c>
      <c r="E574" s="272" t="s">
        <v>2489</v>
      </c>
      <c r="F574" s="272" t="s">
        <v>2490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1160</v>
      </c>
      <c r="E575" s="272" t="s">
        <v>2463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1160</v>
      </c>
      <c r="E576" s="272" t="s">
        <v>1897</v>
      </c>
      <c r="F576" s="272" t="s">
        <v>2464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1740</v>
      </c>
      <c r="E577" s="272" t="s">
        <v>1762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1022</v>
      </c>
      <c r="E578" s="272" t="s">
        <v>2468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1462</v>
      </c>
      <c r="E579" s="272" t="s">
        <v>2228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1417</v>
      </c>
      <c r="E580" s="272" t="s">
        <v>2228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1598</v>
      </c>
      <c r="E581" s="272" t="s">
        <v>2219</v>
      </c>
      <c r="F581" s="272" t="s">
        <v>1222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1598</v>
      </c>
      <c r="E582" s="272" t="s">
        <v>2220</v>
      </c>
      <c r="F582" s="272" t="s">
        <v>1276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2491</v>
      </c>
      <c r="E583" s="272" t="s">
        <v>2492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1595</v>
      </c>
      <c r="E584" s="272" t="s">
        <v>2473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1595</v>
      </c>
      <c r="E585" s="272" t="s">
        <v>2475</v>
      </c>
      <c r="F585" s="272" t="s">
        <v>2474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1595</v>
      </c>
      <c r="E586" s="272" t="s">
        <v>2477</v>
      </c>
      <c r="F586" s="272" t="s">
        <v>2476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1595</v>
      </c>
      <c r="E587" s="272" t="s">
        <v>2224</v>
      </c>
      <c r="F587" s="272" t="s">
        <v>1844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2460</v>
      </c>
      <c r="E588" s="272" t="s">
        <v>1138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1462</v>
      </c>
      <c r="E589" s="272" t="s">
        <v>2482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1462</v>
      </c>
      <c r="E590" s="272" t="s">
        <v>2483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1462</v>
      </c>
      <c r="E591" s="272" t="s">
        <v>2484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1462</v>
      </c>
      <c r="E592" s="272" t="s">
        <v>2485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1138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2293</v>
      </c>
      <c r="E594" s="272" t="s">
        <v>1138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1059</v>
      </c>
      <c r="E595" s="272" t="s">
        <v>1138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1417</v>
      </c>
      <c r="E596" s="272" t="s">
        <v>2375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2130</v>
      </c>
      <c r="E597" s="272" t="s">
        <v>1138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1614</v>
      </c>
      <c r="E598" s="272" t="s">
        <v>1138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2411</v>
      </c>
      <c r="E599" s="272" t="s">
        <v>2510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1766</v>
      </c>
      <c r="E600" s="272" t="s">
        <v>2222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1766</v>
      </c>
      <c r="E601" s="272" t="s">
        <v>2220</v>
      </c>
      <c r="F601" s="272" t="s">
        <v>1276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2813</v>
      </c>
      <c r="E602" s="272" t="s">
        <v>2814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1323</v>
      </c>
      <c r="E603" s="272" t="s">
        <v>2514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1323</v>
      </c>
      <c r="E604" s="272" t="s">
        <v>2133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1595</v>
      </c>
      <c r="E605" s="272" t="s">
        <v>2237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1595</v>
      </c>
      <c r="E606" s="272" t="s">
        <v>1537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1462</v>
      </c>
      <c r="E607" s="272" t="s">
        <v>2517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2354</v>
      </c>
      <c r="E608" s="272" t="s">
        <v>2519</v>
      </c>
      <c r="F608" s="272" t="s">
        <v>1213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1917</v>
      </c>
      <c r="E609" s="272" t="s">
        <v>1218</v>
      </c>
      <c r="F609" s="272" t="s">
        <v>1378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1462</v>
      </c>
      <c r="E610" s="272" t="s">
        <v>2522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1474</v>
      </c>
      <c r="E611" s="272" t="s">
        <v>1138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2525</v>
      </c>
      <c r="D612" s="266" t="s">
        <v>1230</v>
      </c>
      <c r="E612" s="272" t="s">
        <v>2526</v>
      </c>
      <c r="F612" s="272" t="s">
        <v>2527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1323</v>
      </c>
      <c r="E613" s="272" t="s">
        <v>1138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1022</v>
      </c>
      <c r="E614" s="272" t="s">
        <v>1138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2537</v>
      </c>
      <c r="E615" s="272" t="s">
        <v>1218</v>
      </c>
      <c r="F615" s="272" t="s">
        <v>1771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1470</v>
      </c>
      <c r="E616" s="272" t="s">
        <v>1220</v>
      </c>
      <c r="F616" s="272" t="s">
        <v>1219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1390</v>
      </c>
      <c r="E617" s="272" t="s">
        <v>1754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2528</v>
      </c>
      <c r="E618" s="272" t="s">
        <v>1735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1467</v>
      </c>
      <c r="E619" s="272" t="s">
        <v>1218</v>
      </c>
      <c r="F619" s="272" t="s">
        <v>1771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2411</v>
      </c>
      <c r="E620" s="272" t="s">
        <v>1138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2528</v>
      </c>
      <c r="E621" s="272" t="s">
        <v>1138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2354</v>
      </c>
      <c r="E622" s="272" t="s">
        <v>1138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1467</v>
      </c>
      <c r="E623" s="272" t="s">
        <v>1138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2545</v>
      </c>
      <c r="E624" s="272" t="s">
        <v>2212</v>
      </c>
      <c r="F624" s="272" t="s">
        <v>1216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2545</v>
      </c>
      <c r="E625" s="272" t="s">
        <v>2213</v>
      </c>
      <c r="F625" s="272" t="s">
        <v>1823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1491</v>
      </c>
      <c r="E626" s="272" t="s">
        <v>2228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1497</v>
      </c>
      <c r="E627" s="272" t="s">
        <v>1220</v>
      </c>
      <c r="F627" s="272" t="s">
        <v>1219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2537</v>
      </c>
      <c r="E628" s="272" t="s">
        <v>1138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2179</v>
      </c>
      <c r="E629" s="272" t="s">
        <v>1138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2548</v>
      </c>
      <c r="E630" s="272" t="s">
        <v>1735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1917</v>
      </c>
      <c r="E631" s="272" t="s">
        <v>1138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1095</v>
      </c>
      <c r="E632" s="272" t="s">
        <v>1138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1022</v>
      </c>
      <c r="E633" s="272" t="s">
        <v>2223</v>
      </c>
      <c r="F633" s="272" t="s">
        <v>1815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1022</v>
      </c>
      <c r="E634" s="272" t="s">
        <v>2224</v>
      </c>
      <c r="F634" s="272" t="s">
        <v>1844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1829</v>
      </c>
      <c r="E635" s="272" t="s">
        <v>2210</v>
      </c>
      <c r="F635" s="272" t="s">
        <v>1482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2004</v>
      </c>
      <c r="E636" s="272" t="s">
        <v>2218</v>
      </c>
      <c r="F636" s="272" t="s">
        <v>1215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2558</v>
      </c>
      <c r="E637" s="272" t="s">
        <v>2212</v>
      </c>
      <c r="F637" s="272" t="s">
        <v>1216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2558</v>
      </c>
      <c r="E638" s="272" t="s">
        <v>2213</v>
      </c>
      <c r="F638" s="272" t="s">
        <v>1823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1347</v>
      </c>
      <c r="E639" s="272" t="s">
        <v>2774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1487</v>
      </c>
      <c r="E640" s="272" t="s">
        <v>2562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1512</v>
      </c>
      <c r="E641" s="272" t="s">
        <v>2334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1512</v>
      </c>
      <c r="E642" s="272" t="s">
        <v>1514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2558</v>
      </c>
      <c r="E643" s="272" t="s">
        <v>1138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2004</v>
      </c>
      <c r="E644" s="272" t="s">
        <v>1138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1417</v>
      </c>
      <c r="E645" s="272" t="s">
        <v>1762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2548</v>
      </c>
      <c r="E646" s="272" t="s">
        <v>1138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1559</v>
      </c>
      <c r="E647" s="272" t="s">
        <v>1762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1050</v>
      </c>
      <c r="E648" s="272" t="s">
        <v>1138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1472</v>
      </c>
      <c r="E649" s="272" t="s">
        <v>2157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1512</v>
      </c>
      <c r="E650" s="272" t="s">
        <v>1138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1022</v>
      </c>
      <c r="E651" s="272" t="s">
        <v>1579</v>
      </c>
      <c r="F651" s="272" t="s">
        <v>1788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1022</v>
      </c>
      <c r="E652" s="272" t="s">
        <v>2575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2786</v>
      </c>
      <c r="E653" s="272" t="s">
        <v>2788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1022</v>
      </c>
      <c r="E654" s="272" t="s">
        <v>1755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1417</v>
      </c>
      <c r="E655" s="272" t="s">
        <v>1762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1487</v>
      </c>
      <c r="E656" s="272" t="s">
        <v>1138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1497</v>
      </c>
      <c r="E657" s="272" t="s">
        <v>1138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1396</v>
      </c>
      <c r="E658" s="272" t="s">
        <v>1218</v>
      </c>
      <c r="F658" s="272" t="s">
        <v>1771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1396</v>
      </c>
      <c r="E659" s="272" t="s">
        <v>1514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1396</v>
      </c>
      <c r="E660" s="272" t="s">
        <v>1537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1396</v>
      </c>
      <c r="E661" s="272" t="s">
        <v>1138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1559</v>
      </c>
      <c r="E662" s="272" t="s">
        <v>2620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1559</v>
      </c>
      <c r="E663" s="272" t="s">
        <v>2622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1417</v>
      </c>
      <c r="E664" s="272" t="s">
        <v>1762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2623</v>
      </c>
      <c r="E665" s="272" t="s">
        <v>2210</v>
      </c>
      <c r="F665" s="272" t="s">
        <v>1482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2623</v>
      </c>
      <c r="E666" s="272" t="s">
        <v>1138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1470</v>
      </c>
      <c r="E667" s="272" t="s">
        <v>1138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2786</v>
      </c>
      <c r="E668" s="272" t="s">
        <v>2787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1417</v>
      </c>
      <c r="E669" s="272" t="s">
        <v>2633</v>
      </c>
      <c r="F669" s="272" t="s">
        <v>2632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1322</v>
      </c>
      <c r="E670" s="272" t="s">
        <v>2271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2881</v>
      </c>
    </row>
    <row r="671" spans="1:12" x14ac:dyDescent="0.3">
      <c r="A671" s="275">
        <v>670</v>
      </c>
      <c r="B671" s="265">
        <v>45826</v>
      </c>
      <c r="C671" s="272" t="s">
        <v>2001</v>
      </c>
      <c r="E671" s="272" t="s">
        <v>2229</v>
      </c>
      <c r="F671" s="272" t="s">
        <v>1213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2001</v>
      </c>
      <c r="E672" s="272" t="s">
        <v>1537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2001</v>
      </c>
      <c r="E673" s="272" t="s">
        <v>2229</v>
      </c>
      <c r="F673" s="272" t="s">
        <v>1213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2327</v>
      </c>
      <c r="E674" s="272" t="s">
        <v>2061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2327</v>
      </c>
      <c r="E675" s="272" t="s">
        <v>1138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1472</v>
      </c>
      <c r="E676" s="272" t="s">
        <v>1138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2001</v>
      </c>
      <c r="E677" s="272" t="s">
        <v>1138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1740</v>
      </c>
      <c r="E678" s="272" t="s">
        <v>2365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1417</v>
      </c>
      <c r="E679" s="272" t="s">
        <v>1218</v>
      </c>
      <c r="F679" s="272" t="s">
        <v>1771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1417</v>
      </c>
      <c r="E680" s="272" t="s">
        <v>1873</v>
      </c>
      <c r="F680" s="272" t="s">
        <v>1872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2001</v>
      </c>
      <c r="E681" s="272" t="s">
        <v>2237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1467</v>
      </c>
      <c r="E682" s="272" t="s">
        <v>1218</v>
      </c>
      <c r="F682" s="272" t="s">
        <v>1771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2623</v>
      </c>
      <c r="E683" s="272" t="s">
        <v>1218</v>
      </c>
      <c r="F683" s="272" t="s">
        <v>1771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2623</v>
      </c>
      <c r="E684" s="272" t="s">
        <v>1138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1417</v>
      </c>
      <c r="E685" s="272" t="s">
        <v>2212</v>
      </c>
      <c r="F685" s="272" t="s">
        <v>1216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1417</v>
      </c>
      <c r="E686" s="272" t="s">
        <v>2213</v>
      </c>
      <c r="F686" s="272" t="s">
        <v>1823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1462</v>
      </c>
      <c r="E687" s="272" t="s">
        <v>2210</v>
      </c>
      <c r="F687" s="272" t="s">
        <v>1482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2733</v>
      </c>
      <c r="E688" s="272" t="s">
        <v>2734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2460</v>
      </c>
      <c r="E689" s="272" t="s">
        <v>2051</v>
      </c>
      <c r="F689" s="272" t="s">
        <v>1233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1595</v>
      </c>
      <c r="E690" s="272" t="s">
        <v>2654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1595</v>
      </c>
      <c r="E691" s="272" t="s">
        <v>1779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1595</v>
      </c>
      <c r="E692" s="272" t="s">
        <v>2142</v>
      </c>
      <c r="F692" s="272" t="s">
        <v>2649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1595</v>
      </c>
      <c r="E693" s="272" t="s">
        <v>2656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2001</v>
      </c>
      <c r="E694" s="272" t="s">
        <v>1138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1829</v>
      </c>
      <c r="E695" s="272" t="s">
        <v>1138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2679</v>
      </c>
      <c r="E696" s="272" t="s">
        <v>2680</v>
      </c>
      <c r="F696" s="272" t="s">
        <v>2681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2679</v>
      </c>
      <c r="E697" s="272" t="s">
        <v>2682</v>
      </c>
      <c r="F697" s="272" t="s">
        <v>2683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2460</v>
      </c>
      <c r="E698" s="272" t="s">
        <v>1138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1559</v>
      </c>
      <c r="E699" s="272" t="s">
        <v>1138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1598</v>
      </c>
      <c r="E700" s="272" t="s">
        <v>1218</v>
      </c>
      <c r="F700" s="272" t="s">
        <v>1771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1598</v>
      </c>
      <c r="E701" s="272" t="s">
        <v>1723</v>
      </c>
      <c r="F701" s="272" t="s">
        <v>1722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2751</v>
      </c>
      <c r="E702" s="272" t="s">
        <v>2752</v>
      </c>
      <c r="F702" s="272" t="s">
        <v>2753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2751</v>
      </c>
      <c r="E703" s="272" t="s">
        <v>2754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1559</v>
      </c>
      <c r="E704" s="272" t="s">
        <v>1218</v>
      </c>
      <c r="F704" s="272" t="s">
        <v>1771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1559</v>
      </c>
      <c r="E705" s="272" t="s">
        <v>1721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1559</v>
      </c>
      <c r="E706" s="272" t="s">
        <v>1514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2669</v>
      </c>
      <c r="E707" s="272" t="s">
        <v>1218</v>
      </c>
      <c r="F707" s="272" t="s">
        <v>1771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2669</v>
      </c>
      <c r="E708" s="272" t="s">
        <v>1537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1598</v>
      </c>
      <c r="E709" s="272" t="s">
        <v>1283</v>
      </c>
      <c r="F709" s="272" t="s">
        <v>1282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1467</v>
      </c>
      <c r="E710" s="272" t="s">
        <v>1138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1598</v>
      </c>
      <c r="E711" s="272" t="s">
        <v>1138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2677</v>
      </c>
      <c r="E712" s="272" t="s">
        <v>1735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2677</v>
      </c>
      <c r="E713" s="272" t="s">
        <v>1765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2664</v>
      </c>
      <c r="E714" s="272" t="s">
        <v>1138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1604</v>
      </c>
      <c r="E715" s="272" t="s">
        <v>1762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2758</v>
      </c>
      <c r="E716" s="272" t="s">
        <v>2759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1740</v>
      </c>
      <c r="E717" s="272" t="s">
        <v>2687</v>
      </c>
      <c r="F717" s="272" t="s">
        <v>2686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1766</v>
      </c>
      <c r="E718" s="272" t="s">
        <v>1138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2669</v>
      </c>
      <c r="E719" s="272" t="s">
        <v>1138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2689</v>
      </c>
      <c r="E720" s="272" t="s">
        <v>1220</v>
      </c>
      <c r="F720" s="272" t="s">
        <v>1581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2689</v>
      </c>
      <c r="E721" s="272" t="s">
        <v>1138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2696</v>
      </c>
      <c r="E722" s="272" t="s">
        <v>2695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2729</v>
      </c>
      <c r="E723" s="272" t="s">
        <v>2730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1462</v>
      </c>
      <c r="E724" s="272" t="s">
        <v>2698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1160</v>
      </c>
      <c r="E725" s="272" t="s">
        <v>1514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1160</v>
      </c>
      <c r="E726" s="272" t="s">
        <v>2702</v>
      </c>
    </row>
    <row r="727" spans="1:14" x14ac:dyDescent="0.3">
      <c r="A727" s="275">
        <v>726</v>
      </c>
      <c r="B727" s="265">
        <v>45832</v>
      </c>
      <c r="C727" s="272" t="s">
        <v>1598</v>
      </c>
      <c r="E727" s="272" t="s">
        <v>2212</v>
      </c>
      <c r="F727" s="272" t="s">
        <v>1216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1598</v>
      </c>
      <c r="E728" s="272" t="s">
        <v>2213</v>
      </c>
      <c r="F728" s="272" t="s">
        <v>1823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2755</v>
      </c>
      <c r="E729" s="272" t="s">
        <v>2752</v>
      </c>
      <c r="F729" s="272" t="s">
        <v>2753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2755</v>
      </c>
      <c r="E730" s="272" t="s">
        <v>2756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2705</v>
      </c>
      <c r="E731" s="272" t="s">
        <v>1514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1740</v>
      </c>
      <c r="E732" s="272" t="s">
        <v>2218</v>
      </c>
      <c r="F732" s="272" t="s">
        <v>1215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1559</v>
      </c>
      <c r="E733" s="272" t="s">
        <v>2213</v>
      </c>
      <c r="F733" s="272" t="s">
        <v>1823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1050</v>
      </c>
      <c r="E734" s="272" t="s">
        <v>2212</v>
      </c>
      <c r="F734" s="272" t="s">
        <v>1216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1050</v>
      </c>
      <c r="E735" s="272" t="s">
        <v>2213</v>
      </c>
      <c r="F735" s="272" t="s">
        <v>1823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1599</v>
      </c>
      <c r="F736" s="272" t="s">
        <v>1946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1917</v>
      </c>
      <c r="E737" s="272" t="s">
        <v>1218</v>
      </c>
      <c r="F737" s="272" t="s">
        <v>1771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2727</v>
      </c>
      <c r="E738" s="272" t="s">
        <v>2728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2716</v>
      </c>
      <c r="E739" s="272" t="s">
        <v>2334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1616</v>
      </c>
      <c r="E740" s="272" t="s">
        <v>1138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1059</v>
      </c>
      <c r="E741" s="272" t="s">
        <v>1153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1604</v>
      </c>
      <c r="E742" s="272" t="s">
        <v>1762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2716</v>
      </c>
      <c r="E743" s="272" t="s">
        <v>1138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2705</v>
      </c>
      <c r="E744" s="272" t="s">
        <v>1138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2746</v>
      </c>
      <c r="E745" s="272" t="s">
        <v>2747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2740</v>
      </c>
      <c r="E746" s="272" t="s">
        <v>2741</v>
      </c>
      <c r="F746" s="272" t="s">
        <v>2742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1740</v>
      </c>
      <c r="E747" s="272" t="s">
        <v>2743</v>
      </c>
      <c r="F747" s="272" t="s">
        <v>1815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1417</v>
      </c>
      <c r="E748" s="272" t="s">
        <v>2212</v>
      </c>
      <c r="F748" s="272" t="s">
        <v>1216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1417</v>
      </c>
      <c r="E749" s="272" t="s">
        <v>2213</v>
      </c>
      <c r="F749" s="272" t="s">
        <v>1823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1138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1417</v>
      </c>
      <c r="E751" s="272" t="s">
        <v>1721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2749</v>
      </c>
      <c r="E752" s="272" t="s">
        <v>2750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1019</v>
      </c>
      <c r="E753" s="272" t="s">
        <v>2757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2564</v>
      </c>
      <c r="E754" s="272" t="s">
        <v>1138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2537</v>
      </c>
      <c r="E755" s="272" t="s">
        <v>1138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1417</v>
      </c>
      <c r="E756" s="272" t="s">
        <v>2325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1059</v>
      </c>
      <c r="E757" s="272" t="s">
        <v>2234</v>
      </c>
      <c r="F757" s="272" t="s">
        <v>1979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1059</v>
      </c>
      <c r="E758" s="272" t="s">
        <v>2213</v>
      </c>
      <c r="F758" s="272" t="s">
        <v>1823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1059</v>
      </c>
      <c r="E759" s="272" t="s">
        <v>2766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1396</v>
      </c>
      <c r="E760" s="272" t="s">
        <v>1735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1396</v>
      </c>
      <c r="E761" s="272" t="s">
        <v>1878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3018</v>
      </c>
      <c r="E762" s="272" t="s">
        <v>3026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1059</v>
      </c>
      <c r="E763" s="272" t="s">
        <v>2212</v>
      </c>
      <c r="F763" s="272" t="s">
        <v>1216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1059</v>
      </c>
      <c r="E764" s="272" t="s">
        <v>2213</v>
      </c>
      <c r="F764" s="272" t="s">
        <v>1823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1059</v>
      </c>
      <c r="E765" s="272" t="s">
        <v>1138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1595</v>
      </c>
      <c r="E766" s="272" t="s">
        <v>1220</v>
      </c>
      <c r="F766" s="272" t="s">
        <v>1219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1491</v>
      </c>
      <c r="E767" s="272" t="s">
        <v>1138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1740</v>
      </c>
      <c r="E768" s="272" t="s">
        <v>1579</v>
      </c>
      <c r="F768" s="272" t="s">
        <v>2783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1491</v>
      </c>
      <c r="E769" s="272" t="s">
        <v>2228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1604</v>
      </c>
      <c r="E770" s="272" t="s">
        <v>1138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2327</v>
      </c>
      <c r="E771" s="272" t="s">
        <v>1763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2696</v>
      </c>
      <c r="E772" s="272" t="s">
        <v>1138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2810</v>
      </c>
      <c r="E773" s="272" t="s">
        <v>2811</v>
      </c>
      <c r="F773" s="272" t="s">
        <v>2812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1095</v>
      </c>
      <c r="E774" s="272" t="s">
        <v>2800</v>
      </c>
      <c r="F774" s="272" t="s">
        <v>2799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2806</v>
      </c>
      <c r="E775" s="272" t="s">
        <v>2807</v>
      </c>
      <c r="F775" s="272" t="s">
        <v>2808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1462</v>
      </c>
      <c r="E776" s="272" t="s">
        <v>2212</v>
      </c>
      <c r="F776" s="272" t="s">
        <v>1216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1462</v>
      </c>
      <c r="E777" s="272" t="s">
        <v>2213</v>
      </c>
      <c r="F777" s="272" t="s">
        <v>1823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1740</v>
      </c>
      <c r="E778" s="272" t="s">
        <v>2220</v>
      </c>
      <c r="F778" s="272" t="s">
        <v>1276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2004</v>
      </c>
      <c r="E779" s="272" t="s">
        <v>2212</v>
      </c>
      <c r="F779" s="272" t="s">
        <v>1216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2004</v>
      </c>
      <c r="E780" s="272" t="s">
        <v>2213</v>
      </c>
      <c r="F780" s="272" t="s">
        <v>1823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1485</v>
      </c>
      <c r="E781" s="272" t="s">
        <v>2210</v>
      </c>
      <c r="F781" s="272" t="s">
        <v>1482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2791</v>
      </c>
      <c r="E782" s="272" t="s">
        <v>1138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1917</v>
      </c>
      <c r="E783" s="272" t="s">
        <v>1138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2327</v>
      </c>
      <c r="E784" s="272" t="s">
        <v>1138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1559</v>
      </c>
      <c r="E785" s="272" t="s">
        <v>1138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1595</v>
      </c>
      <c r="E786" s="272" t="s">
        <v>1138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1598</v>
      </c>
      <c r="E787" s="272" t="s">
        <v>1138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1160</v>
      </c>
      <c r="E788" s="272" t="s">
        <v>1138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2816</v>
      </c>
      <c r="E789" s="272" t="s">
        <v>2817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1396</v>
      </c>
      <c r="E790" s="272" t="s">
        <v>2815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1050</v>
      </c>
      <c r="E791" s="272" t="s">
        <v>1138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2819</v>
      </c>
      <c r="E792" s="272" t="s">
        <v>2818</v>
      </c>
      <c r="G792" s="267">
        <v>150000</v>
      </c>
      <c r="H792" s="272">
        <v>1</v>
      </c>
      <c r="K792" s="267">
        <v>150000</v>
      </c>
      <c r="N792" t="s">
        <v>3245</v>
      </c>
    </row>
    <row r="793" spans="1:14" x14ac:dyDescent="0.3">
      <c r="A793" s="275">
        <v>792</v>
      </c>
      <c r="B793" s="265">
        <v>45839</v>
      </c>
      <c r="C793" s="272" t="s">
        <v>1497</v>
      </c>
      <c r="E793" s="272" t="s">
        <v>1763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3245</v>
      </c>
    </row>
    <row r="794" spans="1:14" x14ac:dyDescent="0.3">
      <c r="A794" s="275">
        <v>793</v>
      </c>
      <c r="B794" s="265">
        <v>45839</v>
      </c>
      <c r="C794" s="272" t="s">
        <v>1598</v>
      </c>
      <c r="E794" s="272" t="s">
        <v>1220</v>
      </c>
      <c r="F794" s="272" t="s">
        <v>1219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3245</v>
      </c>
    </row>
    <row r="795" spans="1:14" x14ac:dyDescent="0.3">
      <c r="A795" s="275">
        <v>794</v>
      </c>
      <c r="B795" s="265">
        <v>45839</v>
      </c>
      <c r="C795" s="272" t="s">
        <v>1390</v>
      </c>
      <c r="E795" s="272" t="s">
        <v>1765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2824</v>
      </c>
      <c r="E796" s="272" t="s">
        <v>2825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1417</v>
      </c>
      <c r="E797" s="272" t="s">
        <v>1138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1417</v>
      </c>
      <c r="E798" s="272" t="s">
        <v>2826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2827</v>
      </c>
      <c r="E799" s="272" t="s">
        <v>2380</v>
      </c>
      <c r="G799" s="267">
        <v>150000</v>
      </c>
      <c r="H799" s="272">
        <v>1</v>
      </c>
      <c r="K799" s="267">
        <v>150000</v>
      </c>
      <c r="N799" t="s">
        <v>3245</v>
      </c>
    </row>
    <row r="800" spans="1:14" x14ac:dyDescent="0.3">
      <c r="A800" s="275">
        <v>799</v>
      </c>
      <c r="B800" s="265">
        <v>45839</v>
      </c>
      <c r="C800" s="272" t="s">
        <v>1462</v>
      </c>
      <c r="E800" s="272" t="s">
        <v>1721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3245</v>
      </c>
    </row>
    <row r="801" spans="1:14" x14ac:dyDescent="0.3">
      <c r="A801" s="275">
        <v>800</v>
      </c>
      <c r="B801" s="265">
        <v>45839</v>
      </c>
      <c r="C801" s="272" t="s">
        <v>1462</v>
      </c>
      <c r="E801" s="272" t="s">
        <v>2833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3245</v>
      </c>
    </row>
    <row r="802" spans="1:14" x14ac:dyDescent="0.3">
      <c r="A802" s="275">
        <v>801</v>
      </c>
      <c r="B802" s="265">
        <v>45839</v>
      </c>
      <c r="C802" s="272" t="s">
        <v>2827</v>
      </c>
      <c r="E802" s="272" t="s">
        <v>1138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2004</v>
      </c>
      <c r="E803" s="272" t="s">
        <v>1138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2836</v>
      </c>
      <c r="E804" s="272" t="s">
        <v>2334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3245</v>
      </c>
    </row>
    <row r="805" spans="1:14" x14ac:dyDescent="0.3">
      <c r="A805" s="275">
        <v>804</v>
      </c>
      <c r="B805" s="265">
        <v>45840</v>
      </c>
      <c r="C805" s="272" t="s">
        <v>2838</v>
      </c>
      <c r="E805" s="272" t="s">
        <v>1218</v>
      </c>
      <c r="F805" s="272" t="s">
        <v>1771</v>
      </c>
      <c r="G805" s="267">
        <v>1200000</v>
      </c>
      <c r="H805" s="272">
        <v>1</v>
      </c>
      <c r="K805" s="267">
        <v>1200000</v>
      </c>
      <c r="N805" t="s">
        <v>3245</v>
      </c>
    </row>
    <row r="806" spans="1:14" x14ac:dyDescent="0.3">
      <c r="A806" s="275">
        <v>805</v>
      </c>
      <c r="B806" s="265">
        <v>45840</v>
      </c>
      <c r="C806" s="272" t="s">
        <v>2838</v>
      </c>
      <c r="E806" s="272" t="s">
        <v>2843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1598</v>
      </c>
      <c r="E807" s="272" t="s">
        <v>1138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1598</v>
      </c>
      <c r="E808" s="272" t="s">
        <v>1283</v>
      </c>
      <c r="F808" s="272" t="s">
        <v>1282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3245</v>
      </c>
    </row>
    <row r="809" spans="1:14" x14ac:dyDescent="0.3">
      <c r="A809" s="275">
        <v>808</v>
      </c>
      <c r="B809" s="265">
        <v>45840</v>
      </c>
      <c r="C809" s="272" t="s">
        <v>1984</v>
      </c>
      <c r="E809" s="272" t="s">
        <v>2212</v>
      </c>
      <c r="F809" s="272" t="s">
        <v>1216</v>
      </c>
      <c r="G809" s="267">
        <v>1500000</v>
      </c>
      <c r="H809" s="272">
        <v>1</v>
      </c>
      <c r="K809" s="267">
        <v>1500000</v>
      </c>
      <c r="N809" t="s">
        <v>3245</v>
      </c>
    </row>
    <row r="810" spans="1:14" x14ac:dyDescent="0.3">
      <c r="A810" s="275">
        <v>809</v>
      </c>
      <c r="B810" s="265">
        <v>45840</v>
      </c>
      <c r="C810" s="272" t="s">
        <v>1984</v>
      </c>
      <c r="E810" s="272" t="s">
        <v>2213</v>
      </c>
      <c r="F810" s="272" t="s">
        <v>1823</v>
      </c>
      <c r="G810" s="267">
        <v>50000</v>
      </c>
      <c r="H810" s="272">
        <v>1</v>
      </c>
      <c r="K810" s="267">
        <v>50000</v>
      </c>
      <c r="N810" t="s">
        <v>3245</v>
      </c>
    </row>
    <row r="811" spans="1:14" x14ac:dyDescent="0.3">
      <c r="A811" s="275">
        <v>810</v>
      </c>
      <c r="B811" s="265">
        <v>45840</v>
      </c>
      <c r="C811" s="272" t="s">
        <v>1984</v>
      </c>
      <c r="E811" s="272" t="s">
        <v>2214</v>
      </c>
      <c r="F811" s="272" t="s">
        <v>2250</v>
      </c>
      <c r="G811" s="267">
        <v>250000</v>
      </c>
      <c r="H811" s="272">
        <v>1</v>
      </c>
      <c r="K811" s="267">
        <v>250000</v>
      </c>
      <c r="N811" t="s">
        <v>3245</v>
      </c>
    </row>
    <row r="812" spans="1:14" x14ac:dyDescent="0.3">
      <c r="A812" s="275">
        <v>811</v>
      </c>
      <c r="B812" s="265">
        <v>45840</v>
      </c>
      <c r="C812" s="272" t="s">
        <v>1984</v>
      </c>
      <c r="E812" s="272" t="s">
        <v>2215</v>
      </c>
      <c r="F812" s="272" t="s">
        <v>1738</v>
      </c>
      <c r="G812" s="267">
        <v>70000</v>
      </c>
      <c r="H812" s="272">
        <v>1</v>
      </c>
      <c r="K812" s="267">
        <v>70000</v>
      </c>
      <c r="N812" t="s">
        <v>3245</v>
      </c>
    </row>
    <row r="813" spans="1:14" x14ac:dyDescent="0.3">
      <c r="A813" s="275">
        <v>812</v>
      </c>
      <c r="B813" s="265">
        <v>45840</v>
      </c>
      <c r="C813" s="272" t="s">
        <v>3035</v>
      </c>
      <c r="E813" s="272" t="s">
        <v>3036</v>
      </c>
      <c r="F813" s="272" t="s">
        <v>3037</v>
      </c>
      <c r="G813" s="267">
        <v>1200000</v>
      </c>
      <c r="H813" s="272">
        <v>1</v>
      </c>
      <c r="K813" s="267">
        <v>1200000</v>
      </c>
      <c r="N813" t="s">
        <v>3245</v>
      </c>
    </row>
    <row r="814" spans="1:14" x14ac:dyDescent="0.3">
      <c r="A814" s="275">
        <v>813</v>
      </c>
      <c r="B814" s="265">
        <v>45841</v>
      </c>
      <c r="C814" s="272" t="s">
        <v>1050</v>
      </c>
      <c r="E814" s="272" t="s">
        <v>2212</v>
      </c>
      <c r="F814" s="272" t="s">
        <v>1216</v>
      </c>
      <c r="G814" s="267">
        <v>1500000</v>
      </c>
      <c r="H814" s="272">
        <v>1</v>
      </c>
      <c r="K814" s="267">
        <v>1500000</v>
      </c>
      <c r="N814" t="s">
        <v>3245</v>
      </c>
    </row>
    <row r="815" spans="1:14" x14ac:dyDescent="0.3">
      <c r="A815" s="275">
        <v>814</v>
      </c>
      <c r="B815" s="265">
        <v>45841</v>
      </c>
      <c r="C815" s="272" t="s">
        <v>1050</v>
      </c>
      <c r="E815" s="272" t="s">
        <v>2213</v>
      </c>
      <c r="F815" s="272" t="s">
        <v>1823</v>
      </c>
      <c r="G815" s="267">
        <v>50000</v>
      </c>
      <c r="H815" s="272">
        <v>1</v>
      </c>
      <c r="K815" s="267">
        <v>50000</v>
      </c>
      <c r="N815" t="s">
        <v>3245</v>
      </c>
    </row>
    <row r="816" spans="1:14" x14ac:dyDescent="0.3">
      <c r="A816" s="275">
        <v>815</v>
      </c>
      <c r="B816" s="265">
        <v>45841</v>
      </c>
      <c r="C816" s="272" t="s">
        <v>2819</v>
      </c>
      <c r="E816" s="272" t="s">
        <v>1138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2858</v>
      </c>
      <c r="E817" s="272" t="s">
        <v>1579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3245</v>
      </c>
    </row>
    <row r="818" spans="1:14" x14ac:dyDescent="0.3">
      <c r="A818" s="275">
        <v>817</v>
      </c>
      <c r="B818" s="265">
        <v>45841</v>
      </c>
      <c r="C818" s="272" t="s">
        <v>1829</v>
      </c>
      <c r="E818" s="272" t="s">
        <v>1514</v>
      </c>
      <c r="F818" s="272" t="s">
        <v>2765</v>
      </c>
      <c r="G818" s="267">
        <v>350000</v>
      </c>
      <c r="H818" s="272">
        <v>1</v>
      </c>
      <c r="K818" s="267">
        <v>350000</v>
      </c>
      <c r="N818" t="s">
        <v>3245</v>
      </c>
    </row>
    <row r="819" spans="1:14" x14ac:dyDescent="0.3">
      <c r="A819" s="275">
        <v>818</v>
      </c>
      <c r="B819" s="265">
        <v>45841</v>
      </c>
      <c r="C819" s="272" t="s">
        <v>2296</v>
      </c>
      <c r="E819" s="272" t="s">
        <v>1218</v>
      </c>
      <c r="F819" s="272" t="s">
        <v>1771</v>
      </c>
      <c r="G819" s="267">
        <v>1200000</v>
      </c>
      <c r="H819" s="272">
        <v>1</v>
      </c>
      <c r="K819" s="267">
        <v>1200000</v>
      </c>
      <c r="N819" t="s">
        <v>3245</v>
      </c>
    </row>
    <row r="820" spans="1:14" x14ac:dyDescent="0.3">
      <c r="A820" s="275">
        <v>819</v>
      </c>
      <c r="B820" s="265">
        <v>45841</v>
      </c>
      <c r="C820" s="272" t="s">
        <v>2865</v>
      </c>
      <c r="E820" s="272" t="s">
        <v>2866</v>
      </c>
      <c r="F820" s="272" t="s">
        <v>2867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3245</v>
      </c>
    </row>
    <row r="821" spans="1:14" x14ac:dyDescent="0.3">
      <c r="A821" s="275">
        <v>820</v>
      </c>
      <c r="B821" s="265">
        <v>45841</v>
      </c>
      <c r="C821" s="272" t="s">
        <v>2858</v>
      </c>
      <c r="E821" s="272" t="s">
        <v>1138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2296</v>
      </c>
      <c r="E822" s="272" t="s">
        <v>1138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1984</v>
      </c>
      <c r="E823" s="272" t="s">
        <v>1138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2868</v>
      </c>
      <c r="E824" s="272" t="s">
        <v>2869</v>
      </c>
      <c r="F824" s="272" t="s">
        <v>2870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3245</v>
      </c>
    </row>
    <row r="825" spans="1:14" x14ac:dyDescent="0.3">
      <c r="A825" s="275">
        <v>824</v>
      </c>
      <c r="B825" s="265">
        <v>45842</v>
      </c>
      <c r="C825" s="272" t="s">
        <v>2868</v>
      </c>
      <c r="E825" s="272" t="s">
        <v>2871</v>
      </c>
      <c r="F825" s="272" t="s">
        <v>2872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3245</v>
      </c>
    </row>
    <row r="826" spans="1:14" x14ac:dyDescent="0.3">
      <c r="A826" s="275">
        <v>825</v>
      </c>
      <c r="B826" s="265">
        <v>45842</v>
      </c>
      <c r="C826" s="272" t="s">
        <v>1095</v>
      </c>
      <c r="E826" s="272" t="s">
        <v>1138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2875</v>
      </c>
      <c r="E827" s="272" t="s">
        <v>1138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1095</v>
      </c>
      <c r="E828" s="272" t="s">
        <v>2826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1616</v>
      </c>
      <c r="E829" s="272" t="s">
        <v>1218</v>
      </c>
      <c r="F829" s="272" t="s">
        <v>1771</v>
      </c>
      <c r="G829" s="267">
        <v>1000000</v>
      </c>
      <c r="H829" s="272">
        <v>1</v>
      </c>
      <c r="K829" s="267">
        <v>1000000</v>
      </c>
      <c r="N829" t="s">
        <v>3245</v>
      </c>
    </row>
    <row r="830" spans="1:14" x14ac:dyDescent="0.3">
      <c r="A830" s="275">
        <v>829</v>
      </c>
      <c r="B830" s="265">
        <v>45842</v>
      </c>
      <c r="C830" s="272" t="s">
        <v>1598</v>
      </c>
      <c r="E830" s="272" t="s">
        <v>1723</v>
      </c>
      <c r="F830" s="272" t="s">
        <v>1722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3245</v>
      </c>
    </row>
    <row r="831" spans="1:14" x14ac:dyDescent="0.3">
      <c r="A831" s="275">
        <v>830</v>
      </c>
      <c r="B831" s="265">
        <v>45842</v>
      </c>
      <c r="C831" s="272" t="s">
        <v>3018</v>
      </c>
      <c r="E831" s="272" t="s">
        <v>3019</v>
      </c>
      <c r="F831" s="272" t="s">
        <v>3020</v>
      </c>
      <c r="G831" s="267">
        <v>1500000</v>
      </c>
      <c r="H831" s="272">
        <v>1</v>
      </c>
      <c r="J831" s="268" t="s">
        <v>3021</v>
      </c>
      <c r="K831" s="267">
        <v>1650000</v>
      </c>
      <c r="N831" t="s">
        <v>3245</v>
      </c>
    </row>
    <row r="832" spans="1:14" x14ac:dyDescent="0.3">
      <c r="A832" s="275">
        <v>831</v>
      </c>
      <c r="B832" s="265">
        <v>45842</v>
      </c>
      <c r="C832" s="272" t="s">
        <v>1160</v>
      </c>
      <c r="E832" s="272" t="s">
        <v>1218</v>
      </c>
      <c r="F832" s="272" t="s">
        <v>1771</v>
      </c>
      <c r="G832" s="267">
        <v>1200000</v>
      </c>
      <c r="H832" s="272">
        <v>1</v>
      </c>
      <c r="K832" s="267">
        <v>1200000</v>
      </c>
      <c r="N832" t="s">
        <v>3245</v>
      </c>
    </row>
    <row r="833" spans="1:14" x14ac:dyDescent="0.3">
      <c r="A833" s="275">
        <v>832</v>
      </c>
      <c r="B833" s="265">
        <v>45842</v>
      </c>
      <c r="C833" s="272" t="s">
        <v>2836</v>
      </c>
      <c r="E833" s="272" t="s">
        <v>1138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1491</v>
      </c>
      <c r="E834" s="272" t="s">
        <v>1138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1829</v>
      </c>
      <c r="E835" s="272" t="s">
        <v>1138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1616</v>
      </c>
      <c r="E836" s="272" t="s">
        <v>1138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1740</v>
      </c>
      <c r="E837" s="272" t="s">
        <v>1138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1559</v>
      </c>
      <c r="E838" s="272" t="s">
        <v>1218</v>
      </c>
      <c r="F838" s="272" t="s">
        <v>1771</v>
      </c>
      <c r="G838" s="267">
        <v>1200000</v>
      </c>
      <c r="H838" s="272">
        <v>1</v>
      </c>
      <c r="K838" s="267">
        <v>1200000</v>
      </c>
      <c r="N838" t="s">
        <v>3245</v>
      </c>
    </row>
    <row r="839" spans="1:14" x14ac:dyDescent="0.3">
      <c r="A839" s="275">
        <v>838</v>
      </c>
      <c r="B839" s="265">
        <v>45843</v>
      </c>
      <c r="C839" s="272" t="s">
        <v>1559</v>
      </c>
      <c r="E839" s="272" t="s">
        <v>1514</v>
      </c>
      <c r="F839" s="272" t="s">
        <v>2765</v>
      </c>
      <c r="G839" s="267">
        <v>350000</v>
      </c>
      <c r="H839" s="272">
        <v>1</v>
      </c>
      <c r="K839" s="267">
        <v>350000</v>
      </c>
      <c r="N839" t="s">
        <v>3245</v>
      </c>
    </row>
    <row r="840" spans="1:14" x14ac:dyDescent="0.3">
      <c r="A840" s="275">
        <v>839</v>
      </c>
      <c r="B840" s="265">
        <v>45845</v>
      </c>
      <c r="C840" s="272" t="s">
        <v>1022</v>
      </c>
      <c r="E840" s="272" t="s">
        <v>1138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1462</v>
      </c>
      <c r="E841" s="272" t="s">
        <v>1523</v>
      </c>
      <c r="G841" s="267">
        <v>1200000</v>
      </c>
      <c r="H841" s="272">
        <v>1</v>
      </c>
      <c r="K841" s="267">
        <v>1200000</v>
      </c>
      <c r="N841" t="s">
        <v>3245</v>
      </c>
    </row>
    <row r="842" spans="1:14" x14ac:dyDescent="0.3">
      <c r="A842" s="275">
        <v>841</v>
      </c>
      <c r="B842" s="265">
        <v>45845</v>
      </c>
      <c r="C842" s="272" t="s">
        <v>1462</v>
      </c>
      <c r="E842" s="272" t="s">
        <v>1524</v>
      </c>
      <c r="G842" s="267">
        <v>100000</v>
      </c>
      <c r="H842" s="272">
        <v>1</v>
      </c>
      <c r="K842" s="267">
        <v>100000</v>
      </c>
      <c r="N842" t="s">
        <v>3245</v>
      </c>
    </row>
    <row r="843" spans="1:14" x14ac:dyDescent="0.3">
      <c r="A843" s="275">
        <v>842</v>
      </c>
      <c r="B843" s="265">
        <v>45845</v>
      </c>
      <c r="C843" s="272" t="s">
        <v>1497</v>
      </c>
      <c r="E843" s="272" t="s">
        <v>2468</v>
      </c>
      <c r="F843" s="272" t="s">
        <v>2844</v>
      </c>
      <c r="G843" s="267">
        <v>1100000</v>
      </c>
      <c r="H843" s="272">
        <v>1</v>
      </c>
      <c r="K843" s="267">
        <v>1100000</v>
      </c>
      <c r="N843" t="s">
        <v>3245</v>
      </c>
    </row>
    <row r="844" spans="1:14" x14ac:dyDescent="0.3">
      <c r="A844" s="275">
        <v>843</v>
      </c>
      <c r="B844" s="265">
        <v>45845</v>
      </c>
      <c r="C844" s="272" t="s">
        <v>2892</v>
      </c>
      <c r="E844" s="272" t="s">
        <v>2212</v>
      </c>
      <c r="F844" s="272" t="s">
        <v>1216</v>
      </c>
      <c r="G844" s="267">
        <v>1500000</v>
      </c>
      <c r="H844" s="272">
        <v>1</v>
      </c>
      <c r="K844" s="267">
        <v>1500000</v>
      </c>
      <c r="N844" t="s">
        <v>3245</v>
      </c>
    </row>
    <row r="845" spans="1:14" x14ac:dyDescent="0.3">
      <c r="A845" s="275">
        <v>844</v>
      </c>
      <c r="B845" s="265">
        <v>45845</v>
      </c>
      <c r="C845" s="272" t="s">
        <v>2892</v>
      </c>
      <c r="E845" s="272" t="s">
        <v>2213</v>
      </c>
      <c r="F845" s="272" t="s">
        <v>1823</v>
      </c>
      <c r="G845" s="267">
        <v>50000</v>
      </c>
      <c r="H845" s="272">
        <v>1</v>
      </c>
      <c r="K845" s="267">
        <v>50000</v>
      </c>
      <c r="N845" t="s">
        <v>3245</v>
      </c>
    </row>
    <row r="846" spans="1:14" x14ac:dyDescent="0.3">
      <c r="A846" s="275">
        <v>845</v>
      </c>
      <c r="B846" s="265">
        <v>45845</v>
      </c>
      <c r="C846" s="272" t="s">
        <v>2664</v>
      </c>
      <c r="E846" s="272" t="s">
        <v>2212</v>
      </c>
      <c r="F846" s="272" t="s">
        <v>1216</v>
      </c>
      <c r="G846" s="267">
        <v>1500000</v>
      </c>
      <c r="H846" s="272">
        <v>1</v>
      </c>
      <c r="K846" s="267">
        <v>1500000</v>
      </c>
      <c r="N846" t="s">
        <v>3245</v>
      </c>
    </row>
    <row r="847" spans="1:14" x14ac:dyDescent="0.3">
      <c r="A847" s="275">
        <v>846</v>
      </c>
      <c r="B847" s="265">
        <v>45845</v>
      </c>
      <c r="C847" s="272" t="s">
        <v>2664</v>
      </c>
      <c r="E847" s="272" t="s">
        <v>2213</v>
      </c>
      <c r="F847" s="272" t="s">
        <v>1823</v>
      </c>
      <c r="G847" s="267">
        <v>50000</v>
      </c>
      <c r="H847" s="272">
        <v>1</v>
      </c>
      <c r="K847" s="267">
        <v>50000</v>
      </c>
      <c r="N847" t="s">
        <v>3245</v>
      </c>
    </row>
    <row r="848" spans="1:14" x14ac:dyDescent="0.3">
      <c r="A848" s="275">
        <v>847</v>
      </c>
      <c r="B848" s="265">
        <v>45845</v>
      </c>
      <c r="C848" s="272" t="s">
        <v>2886</v>
      </c>
      <c r="E848" s="272" t="s">
        <v>2212</v>
      </c>
      <c r="F848" s="272" t="s">
        <v>1216</v>
      </c>
      <c r="G848" s="267">
        <v>1500000</v>
      </c>
      <c r="H848" s="272">
        <v>1</v>
      </c>
      <c r="K848" s="267">
        <v>1500000</v>
      </c>
      <c r="N848" t="s">
        <v>3245</v>
      </c>
    </row>
    <row r="849" spans="1:14" x14ac:dyDescent="0.3">
      <c r="A849" s="275">
        <v>848</v>
      </c>
      <c r="B849" s="265">
        <v>45845</v>
      </c>
      <c r="C849" s="272" t="s">
        <v>2886</v>
      </c>
      <c r="E849" s="272" t="s">
        <v>2213</v>
      </c>
      <c r="F849" s="272" t="s">
        <v>1823</v>
      </c>
      <c r="G849" s="267">
        <v>50000</v>
      </c>
      <c r="H849" s="272">
        <v>1</v>
      </c>
      <c r="K849" s="267">
        <v>50000</v>
      </c>
      <c r="N849" t="s">
        <v>3245</v>
      </c>
    </row>
    <row r="850" spans="1:14" x14ac:dyDescent="0.3">
      <c r="A850" s="275">
        <v>849</v>
      </c>
      <c r="B850" s="265">
        <v>45845</v>
      </c>
      <c r="C850" s="272" t="s">
        <v>1160</v>
      </c>
      <c r="E850" s="272" t="s">
        <v>2450</v>
      </c>
      <c r="F850" s="272" t="s">
        <v>2449</v>
      </c>
      <c r="G850" s="267">
        <v>900000</v>
      </c>
      <c r="H850" s="272">
        <v>1</v>
      </c>
      <c r="K850" s="267">
        <v>900000</v>
      </c>
      <c r="N850" t="s">
        <v>3245</v>
      </c>
    </row>
    <row r="851" spans="1:14" x14ac:dyDescent="0.3">
      <c r="A851" s="275">
        <v>850</v>
      </c>
      <c r="B851" s="265">
        <v>45845</v>
      </c>
      <c r="C851" s="272" t="s">
        <v>1160</v>
      </c>
      <c r="E851" s="272" t="s">
        <v>2463</v>
      </c>
      <c r="G851" s="267">
        <v>50000</v>
      </c>
      <c r="H851" s="272">
        <v>1</v>
      </c>
      <c r="K851" s="267">
        <v>50000</v>
      </c>
      <c r="N851" t="s">
        <v>3245</v>
      </c>
    </row>
    <row r="852" spans="1:14" x14ac:dyDescent="0.3">
      <c r="A852" s="275">
        <v>851</v>
      </c>
      <c r="B852" s="265">
        <v>45845</v>
      </c>
      <c r="C852" s="272" t="s">
        <v>1893</v>
      </c>
      <c r="E852" s="272" t="s">
        <v>2218</v>
      </c>
      <c r="F852" s="272" t="s">
        <v>1215</v>
      </c>
      <c r="G852" s="267">
        <v>900000</v>
      </c>
      <c r="H852" s="272">
        <v>1</v>
      </c>
      <c r="K852" s="267">
        <v>900000</v>
      </c>
      <c r="N852" t="s">
        <v>3245</v>
      </c>
    </row>
    <row r="853" spans="1:14" x14ac:dyDescent="0.3">
      <c r="A853" s="275">
        <v>852</v>
      </c>
      <c r="B853" s="265">
        <v>45845</v>
      </c>
      <c r="C853" s="272" t="s">
        <v>1462</v>
      </c>
      <c r="E853" s="272" t="s">
        <v>2219</v>
      </c>
      <c r="F853" s="272" t="s">
        <v>1222</v>
      </c>
      <c r="G853" s="267">
        <v>510000</v>
      </c>
      <c r="H853" s="272">
        <v>1</v>
      </c>
      <c r="K853" s="267">
        <v>510000</v>
      </c>
      <c r="N853" t="s">
        <v>3245</v>
      </c>
    </row>
    <row r="854" spans="1:14" x14ac:dyDescent="0.3">
      <c r="A854" s="275">
        <v>853</v>
      </c>
      <c r="B854" s="265">
        <v>45845</v>
      </c>
      <c r="C854" s="272" t="s">
        <v>1462</v>
      </c>
      <c r="E854" s="272" t="s">
        <v>2222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3245</v>
      </c>
    </row>
    <row r="855" spans="1:14" x14ac:dyDescent="0.3">
      <c r="A855" s="275">
        <v>854</v>
      </c>
      <c r="B855" s="265">
        <v>45845</v>
      </c>
      <c r="C855" s="272" t="s">
        <v>1740</v>
      </c>
      <c r="E855" s="272" t="s">
        <v>2902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2886</v>
      </c>
      <c r="E856" s="272" t="s">
        <v>1138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2892</v>
      </c>
      <c r="E857" s="272" t="s">
        <v>1138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1893</v>
      </c>
      <c r="E858" s="272" t="s">
        <v>1138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1740</v>
      </c>
      <c r="E859" s="272" t="s">
        <v>2904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1598</v>
      </c>
      <c r="E860" s="272" t="s">
        <v>1138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1417</v>
      </c>
      <c r="E861" s="272" t="s">
        <v>1762</v>
      </c>
      <c r="G861" s="267">
        <v>450000</v>
      </c>
      <c r="H861" s="272">
        <v>1</v>
      </c>
      <c r="K861" s="267">
        <v>450000</v>
      </c>
      <c r="N861" t="s">
        <v>3245</v>
      </c>
    </row>
    <row r="862" spans="1:14" x14ac:dyDescent="0.3">
      <c r="A862" s="275">
        <v>861</v>
      </c>
      <c r="B862" s="265">
        <v>45846</v>
      </c>
      <c r="C862" s="272" t="s">
        <v>1417</v>
      </c>
      <c r="E862" s="272" t="s">
        <v>2219</v>
      </c>
      <c r="F862" s="272" t="s">
        <v>1222</v>
      </c>
      <c r="G862" s="267">
        <v>490000</v>
      </c>
      <c r="H862" s="272">
        <v>1</v>
      </c>
      <c r="K862" s="267">
        <v>490000</v>
      </c>
      <c r="N862" t="s">
        <v>3245</v>
      </c>
    </row>
    <row r="863" spans="1:14" x14ac:dyDescent="0.3">
      <c r="A863" s="275">
        <v>862</v>
      </c>
      <c r="B863" s="265">
        <v>45846</v>
      </c>
      <c r="C863" s="272" t="s">
        <v>1417</v>
      </c>
      <c r="E863" s="272" t="s">
        <v>2220</v>
      </c>
      <c r="F863" s="272" t="s">
        <v>1276</v>
      </c>
      <c r="G863" s="267">
        <v>130000</v>
      </c>
      <c r="H863" s="272">
        <v>1</v>
      </c>
      <c r="K863" s="267">
        <v>130000</v>
      </c>
      <c r="N863" t="s">
        <v>3245</v>
      </c>
    </row>
    <row r="864" spans="1:14" x14ac:dyDescent="0.3">
      <c r="A864" s="275">
        <v>863</v>
      </c>
      <c r="B864" s="265">
        <v>45846</v>
      </c>
      <c r="C864" s="272" t="s">
        <v>1417</v>
      </c>
      <c r="E864" s="272" t="s">
        <v>2224</v>
      </c>
      <c r="F864" s="272" t="s">
        <v>1844</v>
      </c>
      <c r="G864" s="267">
        <v>10000</v>
      </c>
      <c r="H864" s="272">
        <v>1</v>
      </c>
      <c r="K864" s="267">
        <v>10000</v>
      </c>
      <c r="N864" t="s">
        <v>3245</v>
      </c>
    </row>
    <row r="865" spans="1:14" x14ac:dyDescent="0.3">
      <c r="A865" s="275">
        <v>864</v>
      </c>
      <c r="B865" s="265">
        <v>45846</v>
      </c>
      <c r="C865" s="272" t="s">
        <v>1417</v>
      </c>
      <c r="E865" s="272" t="s">
        <v>2223</v>
      </c>
      <c r="F865" s="272" t="s">
        <v>1815</v>
      </c>
      <c r="G865" s="267">
        <v>30000</v>
      </c>
      <c r="H865" s="272">
        <v>1</v>
      </c>
      <c r="K865" s="267">
        <v>30000</v>
      </c>
      <c r="N865" t="s">
        <v>3245</v>
      </c>
    </row>
    <row r="866" spans="1:14" x14ac:dyDescent="0.3">
      <c r="A866" s="275">
        <v>865</v>
      </c>
      <c r="B866" s="265">
        <v>45846</v>
      </c>
      <c r="C866" s="272" t="s">
        <v>2892</v>
      </c>
      <c r="E866" s="272" t="s">
        <v>2908</v>
      </c>
      <c r="F866" s="272" t="s">
        <v>2907</v>
      </c>
      <c r="G866" s="267">
        <v>400000</v>
      </c>
      <c r="H866" s="272">
        <v>1</v>
      </c>
      <c r="K866" s="267">
        <v>400000</v>
      </c>
      <c r="N866" t="s">
        <v>3245</v>
      </c>
    </row>
    <row r="867" spans="1:14" x14ac:dyDescent="0.3">
      <c r="A867" s="275">
        <v>866</v>
      </c>
      <c r="B867" s="265">
        <v>45846</v>
      </c>
      <c r="C867" s="272" t="s">
        <v>2892</v>
      </c>
      <c r="E867" s="272" t="s">
        <v>2215</v>
      </c>
      <c r="F867" s="272" t="s">
        <v>1738</v>
      </c>
      <c r="G867" s="267">
        <v>70000</v>
      </c>
      <c r="H867" s="272">
        <v>1</v>
      </c>
      <c r="K867" s="267">
        <v>70000</v>
      </c>
      <c r="N867" t="s">
        <v>3245</v>
      </c>
    </row>
    <row r="868" spans="1:14" x14ac:dyDescent="0.3">
      <c r="A868" s="275">
        <v>867</v>
      </c>
      <c r="B868" s="265">
        <v>45846</v>
      </c>
      <c r="C868" s="272" t="s">
        <v>1559</v>
      </c>
      <c r="E868" s="272" t="s">
        <v>1218</v>
      </c>
      <c r="F868" s="272" t="s">
        <v>1771</v>
      </c>
      <c r="G868" s="267">
        <v>1200000</v>
      </c>
      <c r="H868" s="272">
        <v>1</v>
      </c>
      <c r="K868" s="267">
        <v>1200000</v>
      </c>
      <c r="N868" t="s">
        <v>3245</v>
      </c>
    </row>
    <row r="869" spans="1:14" x14ac:dyDescent="0.3">
      <c r="A869" s="275">
        <v>868</v>
      </c>
      <c r="B869" s="265">
        <v>45846</v>
      </c>
      <c r="C869" s="272" t="s">
        <v>1559</v>
      </c>
      <c r="E869" s="272" t="s">
        <v>1514</v>
      </c>
      <c r="F869" s="272" t="s">
        <v>2765</v>
      </c>
      <c r="G869" s="267">
        <v>350000</v>
      </c>
      <c r="H869" s="272">
        <v>1</v>
      </c>
      <c r="K869" s="267">
        <v>350000</v>
      </c>
      <c r="N869" t="s">
        <v>3245</v>
      </c>
    </row>
    <row r="870" spans="1:14" x14ac:dyDescent="0.3">
      <c r="A870" s="275">
        <v>869</v>
      </c>
      <c r="B870" s="265">
        <v>45846</v>
      </c>
      <c r="C870" s="272" t="s">
        <v>1829</v>
      </c>
      <c r="E870" s="272" t="s">
        <v>1784</v>
      </c>
      <c r="F870" s="272" t="s">
        <v>1786</v>
      </c>
      <c r="G870" s="267">
        <v>65000</v>
      </c>
      <c r="H870" s="272">
        <v>1</v>
      </c>
      <c r="K870" s="267">
        <v>65000</v>
      </c>
      <c r="N870" t="s">
        <v>3245</v>
      </c>
    </row>
    <row r="871" spans="1:14" x14ac:dyDescent="0.3">
      <c r="A871" s="275">
        <v>870</v>
      </c>
      <c r="B871" s="265">
        <v>45846</v>
      </c>
      <c r="C871" s="272" t="s">
        <v>1829</v>
      </c>
      <c r="E871" s="272" t="s">
        <v>1784</v>
      </c>
      <c r="F871" s="272" t="s">
        <v>1783</v>
      </c>
      <c r="G871" s="267">
        <v>25000</v>
      </c>
      <c r="H871" s="272">
        <v>1</v>
      </c>
      <c r="K871" s="267">
        <v>25000</v>
      </c>
      <c r="N871" t="s">
        <v>3245</v>
      </c>
    </row>
    <row r="872" spans="1:14" x14ac:dyDescent="0.3">
      <c r="A872" s="275">
        <v>871</v>
      </c>
      <c r="B872" s="265">
        <v>45846</v>
      </c>
      <c r="C872" s="272" t="s">
        <v>2912</v>
      </c>
      <c r="E872" s="272" t="s">
        <v>1754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3245</v>
      </c>
    </row>
    <row r="873" spans="1:14" x14ac:dyDescent="0.3">
      <c r="A873" s="275">
        <v>872</v>
      </c>
      <c r="B873" s="265">
        <v>45846</v>
      </c>
      <c r="C873" s="272" t="s">
        <v>1019</v>
      </c>
      <c r="E873" s="272" t="s">
        <v>2917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3245</v>
      </c>
    </row>
    <row r="874" spans="1:14" x14ac:dyDescent="0.3">
      <c r="A874" s="275">
        <v>873</v>
      </c>
      <c r="B874" s="265">
        <v>45846</v>
      </c>
      <c r="C874" s="272" t="s">
        <v>1604</v>
      </c>
      <c r="E874" s="272" t="s">
        <v>1218</v>
      </c>
      <c r="F874" s="272" t="s">
        <v>1771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3245</v>
      </c>
    </row>
    <row r="875" spans="1:14" x14ac:dyDescent="0.3">
      <c r="A875" s="275">
        <v>874</v>
      </c>
      <c r="B875" s="265">
        <v>45846</v>
      </c>
      <c r="C875" s="272" t="s">
        <v>1595</v>
      </c>
      <c r="E875" s="272" t="s">
        <v>2218</v>
      </c>
      <c r="F875" s="272" t="s">
        <v>1215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3245</v>
      </c>
    </row>
    <row r="876" spans="1:14" x14ac:dyDescent="0.3">
      <c r="A876" s="275">
        <v>875</v>
      </c>
      <c r="B876" s="265">
        <v>45846</v>
      </c>
      <c r="C876" s="272" t="s">
        <v>1595</v>
      </c>
      <c r="E876" s="272" t="s">
        <v>2222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3245</v>
      </c>
    </row>
    <row r="877" spans="1:14" x14ac:dyDescent="0.3">
      <c r="A877" s="275">
        <v>876</v>
      </c>
      <c r="B877" s="265">
        <v>45846</v>
      </c>
      <c r="C877" s="272" t="s">
        <v>1595</v>
      </c>
      <c r="E877" s="272" t="s">
        <v>2223</v>
      </c>
      <c r="F877" s="272" t="s">
        <v>1815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3245</v>
      </c>
    </row>
    <row r="878" spans="1:14" x14ac:dyDescent="0.3">
      <c r="A878" s="275">
        <v>877</v>
      </c>
      <c r="B878" s="265">
        <v>45846</v>
      </c>
      <c r="C878" s="272" t="s">
        <v>1595</v>
      </c>
      <c r="E878" s="272" t="s">
        <v>1537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3295</v>
      </c>
    </row>
    <row r="879" spans="1:14" x14ac:dyDescent="0.3">
      <c r="A879" s="275">
        <v>878</v>
      </c>
      <c r="B879" s="265">
        <v>45846</v>
      </c>
      <c r="C879" s="272" t="s">
        <v>1595</v>
      </c>
      <c r="E879" s="272" t="s">
        <v>2219</v>
      </c>
      <c r="F879" s="272" t="s">
        <v>1222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3245</v>
      </c>
    </row>
    <row r="880" spans="1:14" x14ac:dyDescent="0.3">
      <c r="A880" s="275">
        <v>879</v>
      </c>
      <c r="B880" s="265">
        <v>45846</v>
      </c>
      <c r="C880" s="272" t="s">
        <v>1160</v>
      </c>
      <c r="E880" s="272" t="s">
        <v>1218</v>
      </c>
      <c r="F880" s="272" t="s">
        <v>1771</v>
      </c>
      <c r="G880" s="267">
        <v>1200000</v>
      </c>
      <c r="H880" s="272">
        <v>1</v>
      </c>
      <c r="K880" s="267">
        <v>1200000</v>
      </c>
      <c r="N880" t="s">
        <v>3245</v>
      </c>
    </row>
    <row r="881" spans="1:14" x14ac:dyDescent="0.3">
      <c r="A881" s="275">
        <v>880</v>
      </c>
      <c r="B881" s="265">
        <v>45846</v>
      </c>
      <c r="C881" s="272" t="s">
        <v>2664</v>
      </c>
      <c r="E881" s="272" t="s">
        <v>1138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2892</v>
      </c>
      <c r="E882" s="272" t="s">
        <v>1138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1417</v>
      </c>
      <c r="E883" s="272" t="s">
        <v>1762</v>
      </c>
      <c r="G883" s="267">
        <v>650000</v>
      </c>
      <c r="H883" s="272">
        <v>1</v>
      </c>
      <c r="K883" s="267">
        <v>650000</v>
      </c>
      <c r="N883" t="s">
        <v>3245</v>
      </c>
    </row>
    <row r="884" spans="1:14" x14ac:dyDescent="0.3">
      <c r="A884" s="275">
        <v>883</v>
      </c>
      <c r="B884" s="265">
        <v>45847</v>
      </c>
      <c r="C884" s="272" t="s">
        <v>2460</v>
      </c>
      <c r="E884" s="272" t="s">
        <v>2051</v>
      </c>
      <c r="F884" s="272" t="s">
        <v>1233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3295</v>
      </c>
    </row>
    <row r="885" spans="1:14" x14ac:dyDescent="0.3">
      <c r="A885" s="275">
        <v>884</v>
      </c>
      <c r="B885" s="265">
        <v>45847</v>
      </c>
      <c r="C885" s="272" t="s">
        <v>2293</v>
      </c>
      <c r="E885" s="272" t="s">
        <v>2215</v>
      </c>
      <c r="F885" s="272" t="s">
        <v>1738</v>
      </c>
      <c r="G885" s="267">
        <v>70000</v>
      </c>
      <c r="H885" s="272">
        <v>1</v>
      </c>
      <c r="K885" s="267">
        <v>70000</v>
      </c>
      <c r="N885" t="s">
        <v>3245</v>
      </c>
    </row>
    <row r="886" spans="1:14" x14ac:dyDescent="0.3">
      <c r="A886" s="275">
        <v>885</v>
      </c>
      <c r="B886" s="265">
        <v>45847</v>
      </c>
      <c r="C886" s="272" t="s">
        <v>1462</v>
      </c>
      <c r="E886" s="272" t="s">
        <v>2212</v>
      </c>
      <c r="F886" s="272" t="s">
        <v>1216</v>
      </c>
      <c r="G886" s="267">
        <v>1500000</v>
      </c>
      <c r="H886" s="272">
        <v>1</v>
      </c>
      <c r="K886" s="267">
        <v>1500000</v>
      </c>
      <c r="N886" t="s">
        <v>3295</v>
      </c>
    </row>
    <row r="887" spans="1:14" x14ac:dyDescent="0.3">
      <c r="A887" s="275">
        <v>886</v>
      </c>
      <c r="B887" s="265">
        <v>45847</v>
      </c>
      <c r="C887" s="272" t="s">
        <v>1462</v>
      </c>
      <c r="E887" s="272" t="s">
        <v>2213</v>
      </c>
      <c r="F887" s="272" t="s">
        <v>1823</v>
      </c>
      <c r="G887" s="267">
        <v>50000</v>
      </c>
      <c r="H887" s="272">
        <v>1</v>
      </c>
      <c r="K887" s="267">
        <v>50000</v>
      </c>
      <c r="N887" t="s">
        <v>3295</v>
      </c>
    </row>
    <row r="888" spans="1:14" x14ac:dyDescent="0.3">
      <c r="A888" s="275">
        <v>887</v>
      </c>
      <c r="B888" s="265">
        <v>45847</v>
      </c>
      <c r="C888" s="272" t="s">
        <v>1740</v>
      </c>
      <c r="E888" s="272" t="s">
        <v>2365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3295</v>
      </c>
    </row>
    <row r="889" spans="1:14" x14ac:dyDescent="0.3">
      <c r="A889" s="275">
        <v>888</v>
      </c>
      <c r="B889" s="265">
        <v>45847</v>
      </c>
      <c r="C889" s="272" t="s">
        <v>1766</v>
      </c>
      <c r="E889" s="272" t="s">
        <v>2334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3295</v>
      </c>
    </row>
    <row r="890" spans="1:14" x14ac:dyDescent="0.3">
      <c r="A890" s="275">
        <v>889</v>
      </c>
      <c r="B890" s="265">
        <v>45847</v>
      </c>
      <c r="C890" s="272" t="s">
        <v>1766</v>
      </c>
      <c r="E890" s="272" t="s">
        <v>1537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3295</v>
      </c>
    </row>
    <row r="891" spans="1:14" x14ac:dyDescent="0.3">
      <c r="A891" s="275">
        <v>890</v>
      </c>
      <c r="B891" s="265">
        <v>45847</v>
      </c>
      <c r="C891" s="272" t="s">
        <v>2293</v>
      </c>
      <c r="E891" s="272" t="s">
        <v>1138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2912</v>
      </c>
      <c r="E892" s="272" t="s">
        <v>1138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1604</v>
      </c>
      <c r="E893" s="272" t="s">
        <v>1138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2460</v>
      </c>
      <c r="E894" s="272" t="s">
        <v>1138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2819</v>
      </c>
      <c r="E895" s="272" t="s">
        <v>2219</v>
      </c>
      <c r="F895" s="272" t="s">
        <v>1222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3295</v>
      </c>
    </row>
    <row r="896" spans="1:14" x14ac:dyDescent="0.3">
      <c r="A896" s="275">
        <v>895</v>
      </c>
      <c r="B896" s="265">
        <v>45848</v>
      </c>
      <c r="C896" s="272" t="s">
        <v>2819</v>
      </c>
      <c r="E896" s="272" t="s">
        <v>2222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3295</v>
      </c>
    </row>
    <row r="897" spans="1:14" x14ac:dyDescent="0.3">
      <c r="A897" s="275">
        <v>896</v>
      </c>
      <c r="B897" s="265">
        <v>45848</v>
      </c>
      <c r="C897" s="272" t="s">
        <v>2819</v>
      </c>
      <c r="E897" s="272" t="s">
        <v>1925</v>
      </c>
      <c r="F897" s="272" t="s">
        <v>1924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3295</v>
      </c>
    </row>
    <row r="898" spans="1:14" x14ac:dyDescent="0.3">
      <c r="A898" s="275">
        <v>897</v>
      </c>
      <c r="B898" s="265">
        <v>45848</v>
      </c>
      <c r="C898" s="272" t="s">
        <v>2354</v>
      </c>
      <c r="E898" s="272" t="s">
        <v>2939</v>
      </c>
      <c r="F898" s="272" t="s">
        <v>2016</v>
      </c>
      <c r="G898" s="267">
        <v>150000</v>
      </c>
      <c r="H898" s="272">
        <v>1</v>
      </c>
      <c r="K898" s="267">
        <v>150000</v>
      </c>
      <c r="N898" t="s">
        <v>3295</v>
      </c>
    </row>
    <row r="899" spans="1:14" x14ac:dyDescent="0.3">
      <c r="A899" s="275">
        <v>898</v>
      </c>
      <c r="B899" s="265">
        <v>45848</v>
      </c>
      <c r="C899" s="272" t="s">
        <v>1417</v>
      </c>
      <c r="E899" s="272" t="s">
        <v>2133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3295</v>
      </c>
    </row>
    <row r="900" spans="1:14" x14ac:dyDescent="0.3">
      <c r="A900" s="275">
        <v>899</v>
      </c>
      <c r="B900" s="265">
        <v>45848</v>
      </c>
      <c r="C900" s="272" t="s">
        <v>1030</v>
      </c>
      <c r="E900" s="272" t="s">
        <v>2228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3295</v>
      </c>
    </row>
    <row r="901" spans="1:14" x14ac:dyDescent="0.3">
      <c r="A901" s="275">
        <v>900</v>
      </c>
      <c r="B901" s="265">
        <v>45847</v>
      </c>
      <c r="C901" s="272" t="s">
        <v>1019</v>
      </c>
      <c r="E901" s="272" t="s">
        <v>1218</v>
      </c>
      <c r="F901" s="272" t="s">
        <v>1771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3295</v>
      </c>
    </row>
    <row r="902" spans="1:14" x14ac:dyDescent="0.3">
      <c r="A902" s="275">
        <v>901</v>
      </c>
      <c r="B902" s="265">
        <v>45847</v>
      </c>
      <c r="C902" s="272" t="s">
        <v>1019</v>
      </c>
      <c r="E902" s="272" t="s">
        <v>2943</v>
      </c>
      <c r="F902" s="272" t="s">
        <v>2846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3295</v>
      </c>
    </row>
    <row r="903" spans="1:14" x14ac:dyDescent="0.3">
      <c r="A903" s="275">
        <v>902</v>
      </c>
      <c r="B903" s="265">
        <v>45847</v>
      </c>
      <c r="C903" s="272" t="s">
        <v>1019</v>
      </c>
      <c r="E903" s="272" t="s">
        <v>2463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3295</v>
      </c>
    </row>
    <row r="904" spans="1:14" x14ac:dyDescent="0.3">
      <c r="A904" s="275">
        <v>903</v>
      </c>
      <c r="B904" s="265">
        <v>45849</v>
      </c>
      <c r="C904" s="272" t="s">
        <v>1019</v>
      </c>
      <c r="E904" s="272" t="s">
        <v>1138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1595</v>
      </c>
      <c r="E905" s="272" t="s">
        <v>2951</v>
      </c>
      <c r="F905" s="272" t="s">
        <v>2950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3295</v>
      </c>
    </row>
    <row r="906" spans="1:14" x14ac:dyDescent="0.3">
      <c r="A906" s="275">
        <v>905</v>
      </c>
      <c r="B906" s="265">
        <v>45849</v>
      </c>
      <c r="C906" s="272" t="s">
        <v>1595</v>
      </c>
      <c r="E906" s="272" t="s">
        <v>2953</v>
      </c>
      <c r="F906" s="272" t="s">
        <v>2949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3295</v>
      </c>
    </row>
    <row r="907" spans="1:14" x14ac:dyDescent="0.3">
      <c r="A907" s="275">
        <v>906</v>
      </c>
      <c r="B907" s="265">
        <v>45849</v>
      </c>
      <c r="C907" s="272" t="s">
        <v>1598</v>
      </c>
      <c r="E907" s="272" t="s">
        <v>2212</v>
      </c>
      <c r="F907" s="272" t="s">
        <v>1216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3295</v>
      </c>
    </row>
    <row r="908" spans="1:14" x14ac:dyDescent="0.3">
      <c r="A908" s="275">
        <v>907</v>
      </c>
      <c r="B908" s="265">
        <v>45849</v>
      </c>
      <c r="C908" s="272" t="s">
        <v>1598</v>
      </c>
      <c r="E908" s="272" t="s">
        <v>2213</v>
      </c>
      <c r="F908" s="272" t="s">
        <v>1823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3295</v>
      </c>
    </row>
    <row r="909" spans="1:14" x14ac:dyDescent="0.3">
      <c r="A909" s="275">
        <v>908</v>
      </c>
      <c r="B909" s="265">
        <v>45849</v>
      </c>
      <c r="C909" s="272" t="s">
        <v>1417</v>
      </c>
      <c r="E909" s="272" t="s">
        <v>1762</v>
      </c>
      <c r="G909" s="267">
        <v>1100000</v>
      </c>
      <c r="H909" s="272">
        <v>1</v>
      </c>
      <c r="K909" s="267">
        <v>1100000</v>
      </c>
      <c r="N909" t="s">
        <v>3295</v>
      </c>
    </row>
    <row r="910" spans="1:14" x14ac:dyDescent="0.3">
      <c r="A910" s="275">
        <v>909</v>
      </c>
      <c r="B910" s="265">
        <v>45849</v>
      </c>
      <c r="C910" s="272" t="s">
        <v>1476</v>
      </c>
      <c r="E910" s="272" t="s">
        <v>2845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3295</v>
      </c>
    </row>
    <row r="911" spans="1:14" x14ac:dyDescent="0.3">
      <c r="A911" s="275">
        <v>910</v>
      </c>
      <c r="B911" s="265">
        <v>45849</v>
      </c>
      <c r="C911" s="272" t="s">
        <v>1467</v>
      </c>
      <c r="E911" s="272" t="s">
        <v>1553</v>
      </c>
      <c r="G911" s="267">
        <v>450000</v>
      </c>
      <c r="H911" s="272">
        <v>1</v>
      </c>
      <c r="K911" s="267">
        <v>450000</v>
      </c>
      <c r="N911" t="s">
        <v>3295</v>
      </c>
    </row>
    <row r="912" spans="1:14" x14ac:dyDescent="0.3">
      <c r="A912" s="275">
        <v>911</v>
      </c>
      <c r="B912" s="265">
        <v>45849</v>
      </c>
      <c r="C912" s="272" t="s">
        <v>1604</v>
      </c>
      <c r="E912" s="272" t="s">
        <v>1218</v>
      </c>
      <c r="F912" s="272" t="s">
        <v>1771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3295</v>
      </c>
    </row>
    <row r="913" spans="1:14" x14ac:dyDescent="0.3">
      <c r="A913" s="275">
        <v>912</v>
      </c>
      <c r="B913" s="265">
        <v>45849</v>
      </c>
      <c r="C913" s="272" t="s">
        <v>1604</v>
      </c>
      <c r="E913" s="272" t="s">
        <v>1514</v>
      </c>
      <c r="F913" s="272" t="s">
        <v>2765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3295</v>
      </c>
    </row>
    <row r="914" spans="1:14" x14ac:dyDescent="0.3">
      <c r="A914" s="275">
        <v>913</v>
      </c>
      <c r="B914" s="265">
        <v>45849</v>
      </c>
      <c r="C914" s="272" t="s">
        <v>1604</v>
      </c>
      <c r="E914" s="272" t="s">
        <v>1755</v>
      </c>
      <c r="F914" s="272" t="s">
        <v>2937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3295</v>
      </c>
    </row>
    <row r="915" spans="1:14" x14ac:dyDescent="0.3">
      <c r="A915" s="275">
        <v>914</v>
      </c>
      <c r="B915" s="265">
        <v>45849</v>
      </c>
      <c r="C915" s="272" t="s">
        <v>1604</v>
      </c>
      <c r="E915" s="272" t="s">
        <v>2936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3295</v>
      </c>
    </row>
    <row r="916" spans="1:14" x14ac:dyDescent="0.3">
      <c r="A916" s="275">
        <v>915</v>
      </c>
      <c r="B916" s="265">
        <v>45849</v>
      </c>
      <c r="C916" s="272" t="s">
        <v>2964</v>
      </c>
      <c r="E916" s="272" t="s">
        <v>2965</v>
      </c>
      <c r="F916" s="272" t="s">
        <v>2966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3295</v>
      </c>
    </row>
    <row r="917" spans="1:14" x14ac:dyDescent="0.3">
      <c r="A917" s="275">
        <v>916</v>
      </c>
      <c r="B917" s="265">
        <v>45849</v>
      </c>
      <c r="C917" s="272" t="s">
        <v>2964</v>
      </c>
      <c r="E917" s="272" t="s">
        <v>2967</v>
      </c>
      <c r="F917" s="272" t="s">
        <v>2968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3295</v>
      </c>
    </row>
    <row r="918" spans="1:14" x14ac:dyDescent="0.3">
      <c r="A918" s="275">
        <v>917</v>
      </c>
      <c r="B918" s="265">
        <v>45849</v>
      </c>
      <c r="C918" s="272" t="s">
        <v>2971</v>
      </c>
      <c r="E918" s="272" t="s">
        <v>2972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2962</v>
      </c>
      <c r="E919" s="272" t="s">
        <v>1138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1467</v>
      </c>
      <c r="E920" s="272" t="s">
        <v>1138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1616</v>
      </c>
      <c r="E921" s="272" t="s">
        <v>2969</v>
      </c>
      <c r="G921" s="267">
        <v>170000</v>
      </c>
      <c r="H921" s="272">
        <v>1</v>
      </c>
      <c r="K921" s="267">
        <v>170000</v>
      </c>
      <c r="N921" t="s">
        <v>3295</v>
      </c>
    </row>
    <row r="922" spans="1:14" x14ac:dyDescent="0.3">
      <c r="A922" s="275">
        <v>921</v>
      </c>
      <c r="B922" s="265">
        <v>45850</v>
      </c>
      <c r="C922" s="272" t="s">
        <v>2354</v>
      </c>
      <c r="E922" s="272" t="s">
        <v>1138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1616</v>
      </c>
      <c r="E923" s="272" t="s">
        <v>1138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2819</v>
      </c>
      <c r="E924" s="272" t="s">
        <v>2218</v>
      </c>
      <c r="F924" s="272" t="s">
        <v>1215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3295</v>
      </c>
    </row>
    <row r="925" spans="1:14" x14ac:dyDescent="0.3">
      <c r="A925" s="275">
        <v>924</v>
      </c>
      <c r="B925" s="265">
        <v>45850</v>
      </c>
      <c r="C925" s="272" t="s">
        <v>2975</v>
      </c>
      <c r="E925" s="272" t="s">
        <v>2976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1604</v>
      </c>
      <c r="E926" s="272" t="s">
        <v>1138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3022</v>
      </c>
      <c r="E927" s="272" t="s">
        <v>3023</v>
      </c>
      <c r="G927" s="267">
        <v>1750000</v>
      </c>
      <c r="H927" s="272">
        <v>1</v>
      </c>
      <c r="J927" s="268" t="s">
        <v>3024</v>
      </c>
      <c r="K927" s="267">
        <v>1925000</v>
      </c>
      <c r="N927" t="s">
        <v>3295</v>
      </c>
    </row>
    <row r="928" spans="1:14" x14ac:dyDescent="0.3">
      <c r="A928" s="275">
        <v>927</v>
      </c>
      <c r="B928" s="265">
        <v>45852</v>
      </c>
      <c r="C928" s="272" t="s">
        <v>2984</v>
      </c>
      <c r="E928" s="272" t="s">
        <v>2431</v>
      </c>
      <c r="F928" s="272" t="s">
        <v>2987</v>
      </c>
      <c r="G928" s="267">
        <v>1100000</v>
      </c>
      <c r="H928" s="272">
        <v>1</v>
      </c>
      <c r="K928" s="267">
        <v>1100000</v>
      </c>
      <c r="N928" t="s">
        <v>3295</v>
      </c>
    </row>
    <row r="929" spans="1:14" x14ac:dyDescent="0.3">
      <c r="A929" s="275">
        <v>928</v>
      </c>
      <c r="B929" s="265">
        <v>45852</v>
      </c>
      <c r="C929" s="272" t="s">
        <v>1417</v>
      </c>
      <c r="E929" s="272" t="s">
        <v>1762</v>
      </c>
      <c r="G929" s="267">
        <v>650000</v>
      </c>
      <c r="H929" s="272">
        <v>1</v>
      </c>
      <c r="K929" s="267">
        <v>650000</v>
      </c>
      <c r="N929" t="s">
        <v>3295</v>
      </c>
    </row>
    <row r="930" spans="1:14" x14ac:dyDescent="0.3">
      <c r="A930" s="275">
        <v>929</v>
      </c>
      <c r="B930" s="265">
        <v>45852</v>
      </c>
      <c r="C930" s="272" t="s">
        <v>2460</v>
      </c>
      <c r="E930" s="272" t="s">
        <v>2051</v>
      </c>
      <c r="F930" s="272" t="s">
        <v>1233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3027</v>
      </c>
      <c r="N930" t="s">
        <v>3295</v>
      </c>
    </row>
    <row r="931" spans="1:14" x14ac:dyDescent="0.3">
      <c r="A931" s="275">
        <v>930</v>
      </c>
      <c r="B931" s="265">
        <v>45852</v>
      </c>
      <c r="C931" s="272" t="s">
        <v>2354</v>
      </c>
      <c r="E931" s="272" t="s">
        <v>2939</v>
      </c>
      <c r="F931" s="272" t="s">
        <v>1219</v>
      </c>
      <c r="G931" s="267">
        <v>150000</v>
      </c>
      <c r="H931" s="272">
        <v>1</v>
      </c>
      <c r="K931" s="267">
        <v>150000</v>
      </c>
      <c r="N931" t="s">
        <v>3295</v>
      </c>
    </row>
    <row r="932" spans="1:14" x14ac:dyDescent="0.3">
      <c r="A932" s="275">
        <v>931</v>
      </c>
      <c r="B932" s="265">
        <v>45852</v>
      </c>
      <c r="C932" s="272" t="s">
        <v>1616</v>
      </c>
      <c r="E932" s="272" t="s">
        <v>1220</v>
      </c>
      <c r="F932" s="272" t="s">
        <v>1221</v>
      </c>
      <c r="G932" s="267">
        <v>1200000</v>
      </c>
      <c r="H932" s="272">
        <v>1</v>
      </c>
      <c r="K932" s="267">
        <v>1200000</v>
      </c>
      <c r="N932" t="s">
        <v>3295</v>
      </c>
    </row>
    <row r="933" spans="1:14" x14ac:dyDescent="0.3">
      <c r="A933" s="275">
        <v>932</v>
      </c>
      <c r="B933" s="265">
        <v>45852</v>
      </c>
      <c r="C933" s="272" t="s">
        <v>1462</v>
      </c>
      <c r="E933" s="272" t="s">
        <v>2212</v>
      </c>
      <c r="F933" s="272" t="s">
        <v>1216</v>
      </c>
      <c r="G933" s="267">
        <v>1500000</v>
      </c>
      <c r="H933" s="272">
        <v>1</v>
      </c>
      <c r="K933" s="267">
        <v>1500000</v>
      </c>
      <c r="N933" t="s">
        <v>3295</v>
      </c>
    </row>
    <row r="934" spans="1:14" x14ac:dyDescent="0.3">
      <c r="A934" s="275">
        <v>933</v>
      </c>
      <c r="B934" s="265">
        <v>45852</v>
      </c>
      <c r="C934" s="272" t="s">
        <v>1462</v>
      </c>
      <c r="E934" s="272" t="s">
        <v>2213</v>
      </c>
      <c r="F934" s="272" t="s">
        <v>1823</v>
      </c>
      <c r="G934" s="267">
        <v>50000</v>
      </c>
      <c r="H934" s="272">
        <v>1</v>
      </c>
      <c r="K934" s="267">
        <v>50000</v>
      </c>
      <c r="N934" t="s">
        <v>3295</v>
      </c>
    </row>
    <row r="935" spans="1:14" x14ac:dyDescent="0.3">
      <c r="A935" s="275">
        <v>934</v>
      </c>
      <c r="B935" s="265">
        <v>45852</v>
      </c>
      <c r="C935" s="272" t="s">
        <v>1616</v>
      </c>
      <c r="E935" s="272" t="s">
        <v>1138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2354</v>
      </c>
      <c r="E936" s="272" t="s">
        <v>1138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3022</v>
      </c>
      <c r="E937" s="272" t="s">
        <v>3025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2460</v>
      </c>
      <c r="E938" s="272" t="s">
        <v>2212</v>
      </c>
      <c r="F938" s="272" t="s">
        <v>1216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3295</v>
      </c>
    </row>
    <row r="939" spans="1:14" x14ac:dyDescent="0.3">
      <c r="A939" s="275">
        <v>938</v>
      </c>
      <c r="B939" s="265">
        <v>45853</v>
      </c>
      <c r="C939" s="272" t="s">
        <v>2460</v>
      </c>
      <c r="E939" s="272" t="s">
        <v>2213</v>
      </c>
      <c r="F939" s="272" t="s">
        <v>1823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3295</v>
      </c>
    </row>
    <row r="940" spans="1:14" x14ac:dyDescent="0.3">
      <c r="A940" s="275">
        <v>939</v>
      </c>
      <c r="B940" s="265">
        <v>45853</v>
      </c>
      <c r="C940" s="272" t="s">
        <v>1019</v>
      </c>
      <c r="E940" s="272" t="s">
        <v>1220</v>
      </c>
      <c r="F940" s="272" t="s">
        <v>1221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3295</v>
      </c>
    </row>
    <row r="941" spans="1:14" x14ac:dyDescent="0.3">
      <c r="A941" s="275">
        <v>940</v>
      </c>
      <c r="B941" s="265">
        <v>45853</v>
      </c>
      <c r="C941" s="272" t="s">
        <v>3007</v>
      </c>
      <c r="E941" s="272" t="s">
        <v>2212</v>
      </c>
      <c r="F941" s="272" t="s">
        <v>1216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3295</v>
      </c>
    </row>
    <row r="942" spans="1:14" x14ac:dyDescent="0.3">
      <c r="A942" s="275">
        <v>941</v>
      </c>
      <c r="B942" s="265">
        <v>45853</v>
      </c>
      <c r="C942" s="272" t="s">
        <v>3007</v>
      </c>
      <c r="E942" s="272" t="s">
        <v>2213</v>
      </c>
      <c r="F942" s="272" t="s">
        <v>1823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3295</v>
      </c>
    </row>
    <row r="943" spans="1:14" x14ac:dyDescent="0.3">
      <c r="A943" s="275">
        <v>942</v>
      </c>
      <c r="B943" s="265">
        <v>45853</v>
      </c>
      <c r="C943" s="272" t="s">
        <v>3007</v>
      </c>
      <c r="E943" s="272" t="s">
        <v>2214</v>
      </c>
      <c r="F943" s="272" t="s">
        <v>2250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3295</v>
      </c>
    </row>
    <row r="944" spans="1:14" x14ac:dyDescent="0.3">
      <c r="A944" s="275">
        <v>943</v>
      </c>
      <c r="B944" s="265">
        <v>45853</v>
      </c>
      <c r="C944" s="272" t="s">
        <v>2354</v>
      </c>
      <c r="E944" s="272" t="s">
        <v>2210</v>
      </c>
      <c r="F944" s="272" t="s">
        <v>1482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3295</v>
      </c>
    </row>
    <row r="945" spans="1:14" x14ac:dyDescent="0.3">
      <c r="A945" s="275">
        <v>944</v>
      </c>
      <c r="B945" s="265">
        <v>45853</v>
      </c>
      <c r="C945" s="272" t="s">
        <v>3068</v>
      </c>
      <c r="E945" s="272" t="s">
        <v>3069</v>
      </c>
      <c r="F945" s="272" t="s">
        <v>3070</v>
      </c>
      <c r="G945" s="267">
        <v>1500000</v>
      </c>
      <c r="H945" s="272">
        <v>1</v>
      </c>
      <c r="J945" s="268" t="s">
        <v>3021</v>
      </c>
      <c r="K945" s="267">
        <v>1650000</v>
      </c>
      <c r="N945" t="s">
        <v>3295</v>
      </c>
    </row>
    <row r="946" spans="1:14" x14ac:dyDescent="0.3">
      <c r="A946" s="275">
        <v>945</v>
      </c>
      <c r="B946" s="265">
        <v>45853</v>
      </c>
      <c r="C946" s="272" t="s">
        <v>1160</v>
      </c>
      <c r="E946" s="272" t="s">
        <v>1735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3295</v>
      </c>
    </row>
    <row r="947" spans="1:14" x14ac:dyDescent="0.3">
      <c r="A947" s="275">
        <v>946</v>
      </c>
      <c r="B947" s="265">
        <v>45853</v>
      </c>
      <c r="C947" s="272" t="s">
        <v>1474</v>
      </c>
      <c r="E947" s="272" t="s">
        <v>1735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3295</v>
      </c>
    </row>
    <row r="948" spans="1:14" x14ac:dyDescent="0.3">
      <c r="A948" s="275">
        <v>947</v>
      </c>
      <c r="B948" s="265">
        <v>45853</v>
      </c>
      <c r="C948" s="272" t="s">
        <v>3001</v>
      </c>
      <c r="E948" s="272" t="s">
        <v>2228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3295</v>
      </c>
    </row>
    <row r="949" spans="1:14" x14ac:dyDescent="0.3">
      <c r="A949" s="275">
        <v>948</v>
      </c>
      <c r="B949" s="265">
        <v>45853</v>
      </c>
      <c r="C949" s="272" t="s">
        <v>3001</v>
      </c>
      <c r="E949" s="272" t="s">
        <v>3015</v>
      </c>
      <c r="G949" s="267">
        <v>50000</v>
      </c>
      <c r="H949" s="272">
        <v>1</v>
      </c>
      <c r="K949" s="267">
        <v>50000</v>
      </c>
      <c r="N949" t="s">
        <v>3295</v>
      </c>
    </row>
    <row r="950" spans="1:14" x14ac:dyDescent="0.3">
      <c r="A950" s="275">
        <v>949</v>
      </c>
      <c r="B950" s="265">
        <v>45853</v>
      </c>
      <c r="C950" s="272" t="s">
        <v>1740</v>
      </c>
      <c r="E950" s="272" t="s">
        <v>2800</v>
      </c>
      <c r="F950" s="272" t="s">
        <v>2799</v>
      </c>
      <c r="G950" s="267">
        <v>1550000</v>
      </c>
      <c r="H950" s="272">
        <v>1</v>
      </c>
      <c r="K950" s="267">
        <v>1550000</v>
      </c>
      <c r="N950" t="s">
        <v>3295</v>
      </c>
    </row>
    <row r="951" spans="1:14" x14ac:dyDescent="0.3">
      <c r="A951" s="275">
        <v>950</v>
      </c>
      <c r="B951" s="265">
        <v>45853</v>
      </c>
      <c r="C951" s="272" t="s">
        <v>3007</v>
      </c>
      <c r="E951" s="272" t="s">
        <v>1138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2354</v>
      </c>
      <c r="E952" s="272" t="s">
        <v>1138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2460</v>
      </c>
      <c r="E953" s="272" t="s">
        <v>1138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2327</v>
      </c>
      <c r="E954" s="272" t="s">
        <v>2219</v>
      </c>
      <c r="F954" s="272" t="s">
        <v>1222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3295</v>
      </c>
    </row>
    <row r="955" spans="1:14" x14ac:dyDescent="0.3">
      <c r="A955" s="275">
        <v>954</v>
      </c>
      <c r="B955" s="265">
        <v>45854</v>
      </c>
      <c r="C955" s="272" t="s">
        <v>2327</v>
      </c>
      <c r="E955" s="272" t="s">
        <v>2222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3295</v>
      </c>
    </row>
    <row r="956" spans="1:14" x14ac:dyDescent="0.3">
      <c r="A956" s="275">
        <v>955</v>
      </c>
      <c r="B956" s="265">
        <v>45854</v>
      </c>
      <c r="C956" s="272" t="s">
        <v>1825</v>
      </c>
      <c r="E956" s="272" t="s">
        <v>3029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3295</v>
      </c>
    </row>
    <row r="957" spans="1:14" x14ac:dyDescent="0.3">
      <c r="A957" s="275">
        <v>956</v>
      </c>
      <c r="B957" s="265">
        <v>45854</v>
      </c>
      <c r="C957" s="272" t="s">
        <v>1689</v>
      </c>
      <c r="E957" s="272" t="s">
        <v>2212</v>
      </c>
      <c r="F957" s="272" t="s">
        <v>1216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3295</v>
      </c>
    </row>
    <row r="958" spans="1:14" x14ac:dyDescent="0.3">
      <c r="A958" s="275">
        <v>957</v>
      </c>
      <c r="B958" s="265">
        <v>45854</v>
      </c>
      <c r="C958" s="272" t="s">
        <v>1689</v>
      </c>
      <c r="E958" s="272" t="s">
        <v>2213</v>
      </c>
      <c r="F958" s="272" t="s">
        <v>1823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3295</v>
      </c>
    </row>
    <row r="959" spans="1:14" x14ac:dyDescent="0.3">
      <c r="A959" s="275">
        <v>958</v>
      </c>
      <c r="B959" s="265">
        <v>45854</v>
      </c>
      <c r="C959" s="272" t="s">
        <v>3032</v>
      </c>
      <c r="E959" s="272" t="s">
        <v>2212</v>
      </c>
      <c r="F959" s="272" t="s">
        <v>1216</v>
      </c>
      <c r="G959" s="267">
        <v>1500000</v>
      </c>
      <c r="H959" s="272">
        <v>1</v>
      </c>
      <c r="K959" s="267">
        <v>1500000</v>
      </c>
      <c r="N959" t="s">
        <v>3295</v>
      </c>
    </row>
    <row r="960" spans="1:14" x14ac:dyDescent="0.3">
      <c r="A960" s="275">
        <v>959</v>
      </c>
      <c r="B960" s="265">
        <v>45854</v>
      </c>
      <c r="C960" s="272" t="s">
        <v>2327</v>
      </c>
      <c r="E960" s="272" t="s">
        <v>1138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3032</v>
      </c>
      <c r="E961" s="272" t="s">
        <v>1138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1485</v>
      </c>
      <c r="E962" s="272" t="s">
        <v>1138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1050</v>
      </c>
      <c r="E963" s="272" t="s">
        <v>1138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3001</v>
      </c>
      <c r="E964" s="272" t="s">
        <v>1138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2984</v>
      </c>
      <c r="E965" s="272" t="s">
        <v>1138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2130</v>
      </c>
      <c r="E966" s="272" t="s">
        <v>1138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1022</v>
      </c>
      <c r="E967" s="272" t="s">
        <v>3038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3295</v>
      </c>
    </row>
    <row r="968" spans="1:14" x14ac:dyDescent="0.3">
      <c r="A968" s="275">
        <v>967</v>
      </c>
      <c r="B968" s="265">
        <v>45855</v>
      </c>
      <c r="C968" s="272" t="s">
        <v>1022</v>
      </c>
      <c r="E968" s="272" t="s">
        <v>3039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3295</v>
      </c>
    </row>
    <row r="969" spans="1:14" x14ac:dyDescent="0.3">
      <c r="A969" s="275">
        <v>968</v>
      </c>
      <c r="B969" s="265">
        <v>45855</v>
      </c>
      <c r="C969" s="272" t="s">
        <v>1022</v>
      </c>
      <c r="E969" s="272" t="s">
        <v>3043</v>
      </c>
      <c r="G969" s="267">
        <v>35000</v>
      </c>
      <c r="H969" s="272">
        <v>1</v>
      </c>
      <c r="K969" s="267">
        <v>35000</v>
      </c>
      <c r="N969" t="s">
        <v>3295</v>
      </c>
    </row>
    <row r="970" spans="1:14" x14ac:dyDescent="0.3">
      <c r="A970" s="275">
        <v>969</v>
      </c>
      <c r="B970" s="265">
        <v>45855</v>
      </c>
      <c r="C970" s="272" t="s">
        <v>1485</v>
      </c>
      <c r="E970" s="272" t="s">
        <v>3045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3295</v>
      </c>
    </row>
    <row r="971" spans="1:14" x14ac:dyDescent="0.3">
      <c r="A971" s="275">
        <v>970</v>
      </c>
      <c r="B971" s="265">
        <v>45855</v>
      </c>
      <c r="C971" s="272" t="s">
        <v>2696</v>
      </c>
      <c r="E971" s="272" t="s">
        <v>2325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3295</v>
      </c>
    </row>
    <row r="972" spans="1:14" x14ac:dyDescent="0.3">
      <c r="A972" s="275">
        <v>971</v>
      </c>
      <c r="B972" s="265">
        <v>45855</v>
      </c>
      <c r="C972" s="272" t="s">
        <v>1417</v>
      </c>
      <c r="E972" s="272" t="s">
        <v>2212</v>
      </c>
      <c r="F972" s="272" t="s">
        <v>1216</v>
      </c>
      <c r="G972" s="267">
        <v>1500000</v>
      </c>
      <c r="H972" s="272">
        <v>1</v>
      </c>
      <c r="K972" s="267">
        <v>1500000</v>
      </c>
      <c r="N972" t="s">
        <v>3295</v>
      </c>
    </row>
    <row r="973" spans="1:14" x14ac:dyDescent="0.3">
      <c r="A973" s="275">
        <v>972</v>
      </c>
      <c r="B973" s="265">
        <v>45856</v>
      </c>
      <c r="C973" s="272" t="s">
        <v>3110</v>
      </c>
      <c r="E973" s="272" t="s">
        <v>3111</v>
      </c>
      <c r="F973" s="272" t="s">
        <v>3112</v>
      </c>
      <c r="G973" s="267">
        <v>510000</v>
      </c>
      <c r="H973" s="272">
        <v>1</v>
      </c>
      <c r="J973" s="268" t="s">
        <v>3113</v>
      </c>
      <c r="K973" s="267">
        <v>561000</v>
      </c>
      <c r="N973" t="s">
        <v>3295</v>
      </c>
    </row>
    <row r="974" spans="1:14" x14ac:dyDescent="0.3">
      <c r="A974" s="275">
        <v>973</v>
      </c>
      <c r="B974" s="265">
        <v>45856</v>
      </c>
      <c r="C974" s="272" t="s">
        <v>3110</v>
      </c>
      <c r="E974" s="272" t="s">
        <v>3114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3295</v>
      </c>
    </row>
    <row r="975" spans="1:14" x14ac:dyDescent="0.3">
      <c r="A975" s="275">
        <v>974</v>
      </c>
      <c r="B975" s="265">
        <v>45856</v>
      </c>
      <c r="C975" s="272" t="s">
        <v>3054</v>
      </c>
      <c r="E975" s="272" t="s">
        <v>2212</v>
      </c>
      <c r="F975" s="272" t="s">
        <v>1216</v>
      </c>
      <c r="G975" s="267">
        <v>1700000</v>
      </c>
      <c r="H975" s="272">
        <v>1</v>
      </c>
      <c r="K975" s="267">
        <v>1700000</v>
      </c>
      <c r="N975" t="s">
        <v>3295</v>
      </c>
    </row>
    <row r="976" spans="1:14" x14ac:dyDescent="0.3">
      <c r="A976" s="275">
        <v>975</v>
      </c>
      <c r="B976" s="265">
        <v>45856</v>
      </c>
      <c r="C976" s="272" t="s">
        <v>3054</v>
      </c>
      <c r="E976" s="272" t="s">
        <v>3057</v>
      </c>
      <c r="G976" s="267">
        <v>100000</v>
      </c>
      <c r="H976" s="272">
        <v>1</v>
      </c>
      <c r="K976" s="267">
        <v>100000</v>
      </c>
      <c r="N976" t="s">
        <v>3295</v>
      </c>
    </row>
    <row r="977" spans="1:14" x14ac:dyDescent="0.3">
      <c r="A977" s="275">
        <v>976</v>
      </c>
      <c r="B977" s="265">
        <v>45856</v>
      </c>
      <c r="C977" s="272" t="s">
        <v>1497</v>
      </c>
      <c r="E977" s="272" t="s">
        <v>3059</v>
      </c>
      <c r="G977" s="267">
        <v>1000000</v>
      </c>
      <c r="H977" s="272">
        <v>1</v>
      </c>
      <c r="K977" s="267">
        <v>1000000</v>
      </c>
      <c r="N977" t="s">
        <v>3295</v>
      </c>
    </row>
    <row r="978" spans="1:14" x14ac:dyDescent="0.3">
      <c r="A978" s="275">
        <v>977</v>
      </c>
      <c r="B978" s="265">
        <v>45856</v>
      </c>
      <c r="C978" s="272" t="s">
        <v>3061</v>
      </c>
      <c r="E978" s="272" t="s">
        <v>1579</v>
      </c>
      <c r="F978" s="272" t="s">
        <v>1240</v>
      </c>
      <c r="G978" s="267">
        <v>1500000</v>
      </c>
      <c r="H978" s="272">
        <v>1</v>
      </c>
      <c r="K978" s="267">
        <v>1500000</v>
      </c>
      <c r="N978" t="s">
        <v>3295</v>
      </c>
    </row>
    <row r="979" spans="1:14" x14ac:dyDescent="0.3">
      <c r="A979" s="275">
        <v>978</v>
      </c>
      <c r="B979" s="265">
        <v>45856</v>
      </c>
      <c r="C979" s="272" t="s">
        <v>3061</v>
      </c>
      <c r="E979" s="272" t="s">
        <v>3062</v>
      </c>
      <c r="G979" s="267">
        <v>200000</v>
      </c>
      <c r="H979" s="272">
        <v>1</v>
      </c>
      <c r="K979" s="267">
        <v>200000</v>
      </c>
      <c r="N979" t="s">
        <v>3295</v>
      </c>
    </row>
    <row r="980" spans="1:14" x14ac:dyDescent="0.3">
      <c r="A980" s="275">
        <v>979</v>
      </c>
      <c r="B980" s="265">
        <v>45856</v>
      </c>
      <c r="C980" s="272" t="s">
        <v>1870</v>
      </c>
      <c r="E980" s="272" t="s">
        <v>2219</v>
      </c>
      <c r="F980" s="272" t="s">
        <v>1222</v>
      </c>
      <c r="G980" s="267">
        <v>510000</v>
      </c>
      <c r="H980" s="272">
        <v>1</v>
      </c>
      <c r="K980" s="267">
        <v>510000</v>
      </c>
      <c r="N980" t="s">
        <v>3295</v>
      </c>
    </row>
    <row r="981" spans="1:14" x14ac:dyDescent="0.3">
      <c r="A981" s="275">
        <v>980</v>
      </c>
      <c r="B981" s="265">
        <v>45856</v>
      </c>
      <c r="C981" s="272" t="s">
        <v>2004</v>
      </c>
      <c r="E981" s="272" t="s">
        <v>1218</v>
      </c>
      <c r="F981" s="272" t="s">
        <v>1771</v>
      </c>
      <c r="G981" s="267">
        <v>1200000</v>
      </c>
      <c r="H981" s="272">
        <v>1</v>
      </c>
      <c r="K981" s="267">
        <v>1200000</v>
      </c>
      <c r="N981" t="s">
        <v>3295</v>
      </c>
    </row>
    <row r="982" spans="1:14" x14ac:dyDescent="0.3">
      <c r="A982" s="275">
        <v>981</v>
      </c>
      <c r="B982" s="265">
        <v>45856</v>
      </c>
      <c r="C982" s="272" t="s">
        <v>2004</v>
      </c>
      <c r="E982" s="272" t="s">
        <v>1218</v>
      </c>
      <c r="F982" s="272" t="s">
        <v>1771</v>
      </c>
      <c r="L982" s="267">
        <v>-1200000</v>
      </c>
      <c r="N982" t="s">
        <v>3295</v>
      </c>
    </row>
    <row r="983" spans="1:14" x14ac:dyDescent="0.3">
      <c r="A983" s="275">
        <v>982</v>
      </c>
      <c r="B983" s="265">
        <v>45856</v>
      </c>
      <c r="C983" s="272" t="s">
        <v>3061</v>
      </c>
      <c r="E983" s="272" t="s">
        <v>3066</v>
      </c>
      <c r="F983" s="272" t="s">
        <v>1240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3054</v>
      </c>
      <c r="E984" s="272" t="s">
        <v>3066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2354</v>
      </c>
      <c r="E985" s="272" t="s">
        <v>2212</v>
      </c>
      <c r="F985" s="272" t="s">
        <v>1216</v>
      </c>
      <c r="G985" s="267">
        <v>1500000</v>
      </c>
      <c r="H985" s="272">
        <v>1</v>
      </c>
      <c r="K985" s="267">
        <v>1500000</v>
      </c>
      <c r="N985" t="s">
        <v>3295</v>
      </c>
    </row>
    <row r="986" spans="1:14" x14ac:dyDescent="0.3">
      <c r="A986" s="58">
        <v>984</v>
      </c>
      <c r="B986" s="265">
        <v>45859</v>
      </c>
      <c r="C986" s="272" t="s">
        <v>1829</v>
      </c>
      <c r="E986" s="272" t="s">
        <v>1138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2696</v>
      </c>
      <c r="E987" s="272" t="s">
        <v>1138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2677</v>
      </c>
      <c r="E988" s="272" t="s">
        <v>3075</v>
      </c>
      <c r="F988" s="272" t="s">
        <v>1771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3295</v>
      </c>
    </row>
    <row r="989" spans="1:14" x14ac:dyDescent="0.3">
      <c r="A989" s="58">
        <v>987</v>
      </c>
      <c r="B989" s="265">
        <v>45859</v>
      </c>
      <c r="C989" s="272" t="s">
        <v>2293</v>
      </c>
      <c r="E989" s="272" t="s">
        <v>3078</v>
      </c>
      <c r="F989" s="272" t="s">
        <v>3077</v>
      </c>
      <c r="G989" s="267">
        <v>500000</v>
      </c>
      <c r="H989" s="272">
        <v>1</v>
      </c>
      <c r="K989" s="267">
        <v>500000</v>
      </c>
      <c r="N989" t="s">
        <v>3295</v>
      </c>
    </row>
    <row r="990" spans="1:14" x14ac:dyDescent="0.3">
      <c r="A990" s="58">
        <v>988</v>
      </c>
      <c r="B990" s="265">
        <v>45859</v>
      </c>
      <c r="C990" s="272" t="s">
        <v>1572</v>
      </c>
      <c r="E990" s="272" t="s">
        <v>1283</v>
      </c>
      <c r="F990" s="272" t="s">
        <v>1282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3295</v>
      </c>
    </row>
    <row r="991" spans="1:14" x14ac:dyDescent="0.3">
      <c r="A991" s="58">
        <v>989</v>
      </c>
      <c r="B991" s="265">
        <v>45859</v>
      </c>
      <c r="C991" s="272" t="s">
        <v>1160</v>
      </c>
      <c r="E991" s="272" t="s">
        <v>3081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3295</v>
      </c>
    </row>
    <row r="992" spans="1:14" x14ac:dyDescent="0.3">
      <c r="A992" s="58">
        <v>990</v>
      </c>
      <c r="B992" s="265">
        <v>45859</v>
      </c>
      <c r="C992" s="272" t="s">
        <v>1160</v>
      </c>
      <c r="E992" s="272" t="s">
        <v>1524</v>
      </c>
      <c r="G992" s="267">
        <v>50000</v>
      </c>
      <c r="H992" s="272">
        <v>1</v>
      </c>
      <c r="K992" s="267">
        <v>50000</v>
      </c>
      <c r="N992" t="s">
        <v>3295</v>
      </c>
    </row>
    <row r="993" spans="1:14" x14ac:dyDescent="0.3">
      <c r="A993" s="58">
        <v>991</v>
      </c>
      <c r="B993" s="265">
        <v>45859</v>
      </c>
      <c r="C993" s="272" t="s">
        <v>2677</v>
      </c>
      <c r="E993" s="272" t="s">
        <v>1138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2293</v>
      </c>
      <c r="E994" s="272" t="s">
        <v>1138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1487</v>
      </c>
      <c r="E995" s="272" t="s">
        <v>2454</v>
      </c>
      <c r="G995" s="267">
        <v>150000</v>
      </c>
      <c r="H995" s="272">
        <v>1</v>
      </c>
      <c r="K995" s="267">
        <v>150000</v>
      </c>
      <c r="N995" t="s">
        <v>3295</v>
      </c>
    </row>
    <row r="996" spans="1:14" x14ac:dyDescent="0.3">
      <c r="A996" s="58">
        <v>994</v>
      </c>
      <c r="B996" s="265">
        <v>45860</v>
      </c>
      <c r="C996" s="272" t="s">
        <v>1474</v>
      </c>
      <c r="E996" s="272" t="s">
        <v>1138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1559</v>
      </c>
      <c r="E997" s="272" t="s">
        <v>2219</v>
      </c>
      <c r="F997" s="272" t="s">
        <v>1222</v>
      </c>
      <c r="G997" s="267">
        <v>510000</v>
      </c>
      <c r="H997" s="272">
        <v>1</v>
      </c>
      <c r="K997" s="267">
        <v>510000</v>
      </c>
      <c r="N997" t="s">
        <v>3295</v>
      </c>
    </row>
    <row r="998" spans="1:14" x14ac:dyDescent="0.3">
      <c r="A998" s="58">
        <v>996</v>
      </c>
      <c r="B998" s="265">
        <v>45860</v>
      </c>
      <c r="C998" s="272" t="s">
        <v>1559</v>
      </c>
      <c r="E998" s="272" t="s">
        <v>2220</v>
      </c>
      <c r="F998" s="272" t="s">
        <v>1276</v>
      </c>
      <c r="G998" s="267">
        <v>130000</v>
      </c>
      <c r="H998" s="272">
        <v>1</v>
      </c>
      <c r="K998" s="267">
        <v>130000</v>
      </c>
      <c r="N998" t="s">
        <v>3295</v>
      </c>
    </row>
    <row r="999" spans="1:14" x14ac:dyDescent="0.3">
      <c r="A999" s="58">
        <v>997</v>
      </c>
      <c r="B999" s="265">
        <v>45860</v>
      </c>
      <c r="C999" s="272" t="s">
        <v>1559</v>
      </c>
      <c r="E999" s="272" t="s">
        <v>2223</v>
      </c>
      <c r="F999" s="272" t="s">
        <v>1815</v>
      </c>
      <c r="G999" s="267">
        <v>35000</v>
      </c>
      <c r="H999" s="272">
        <v>1</v>
      </c>
      <c r="K999" s="267">
        <v>35000</v>
      </c>
      <c r="N999" t="s">
        <v>3295</v>
      </c>
    </row>
    <row r="1000" spans="1:14" x14ac:dyDescent="0.3">
      <c r="A1000" s="58">
        <v>998</v>
      </c>
      <c r="B1000" s="265">
        <v>45860</v>
      </c>
      <c r="C1000" s="272" t="s">
        <v>1559</v>
      </c>
      <c r="E1000" s="272" t="s">
        <v>2224</v>
      </c>
      <c r="F1000" s="272" t="s">
        <v>1844</v>
      </c>
      <c r="G1000" s="267">
        <v>10000</v>
      </c>
      <c r="H1000" s="272">
        <v>1</v>
      </c>
      <c r="K1000" s="267">
        <v>10000</v>
      </c>
      <c r="N1000" t="s">
        <v>3295</v>
      </c>
    </row>
    <row r="1001" spans="1:14" x14ac:dyDescent="0.3">
      <c r="A1001" s="58">
        <v>999</v>
      </c>
      <c r="B1001" s="265">
        <v>45860</v>
      </c>
      <c r="C1001" s="272" t="s">
        <v>1832</v>
      </c>
      <c r="E1001" s="272" t="s">
        <v>1762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3295</v>
      </c>
    </row>
    <row r="1002" spans="1:14" x14ac:dyDescent="0.3">
      <c r="A1002" s="58">
        <v>1000</v>
      </c>
      <c r="B1002" s="265">
        <v>45860</v>
      </c>
      <c r="C1002" s="272" t="s">
        <v>1832</v>
      </c>
      <c r="E1002" s="272" t="s">
        <v>1537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3295</v>
      </c>
    </row>
    <row r="1003" spans="1:14" x14ac:dyDescent="0.3">
      <c r="A1003" s="58">
        <v>1001</v>
      </c>
      <c r="B1003" s="265">
        <v>45860</v>
      </c>
      <c r="C1003" s="272" t="s">
        <v>1022</v>
      </c>
      <c r="E1003" s="272" t="s">
        <v>2120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3295</v>
      </c>
    </row>
    <row r="1004" spans="1:14" x14ac:dyDescent="0.3">
      <c r="A1004" s="58">
        <v>1002</v>
      </c>
      <c r="B1004" s="265">
        <v>45860</v>
      </c>
      <c r="C1004" s="272" t="s">
        <v>3087</v>
      </c>
      <c r="E1004" s="272" t="s">
        <v>2219</v>
      </c>
      <c r="F1004" s="272" t="s">
        <v>1222</v>
      </c>
      <c r="G1004" s="267">
        <v>510000</v>
      </c>
      <c r="H1004" s="272">
        <v>1</v>
      </c>
      <c r="K1004" s="267">
        <v>510000</v>
      </c>
      <c r="N1004" t="s">
        <v>3295</v>
      </c>
    </row>
    <row r="1005" spans="1:14" x14ac:dyDescent="0.3">
      <c r="A1005" s="58">
        <v>1003</v>
      </c>
      <c r="B1005" s="265">
        <v>45860</v>
      </c>
      <c r="C1005" s="272" t="s">
        <v>1740</v>
      </c>
      <c r="E1005" s="272" t="s">
        <v>1735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3295</v>
      </c>
    </row>
    <row r="1006" spans="1:14" x14ac:dyDescent="0.3">
      <c r="A1006" s="58">
        <v>1004</v>
      </c>
      <c r="B1006" s="265">
        <v>45860</v>
      </c>
      <c r="C1006" s="272" t="s">
        <v>3094</v>
      </c>
      <c r="E1006" s="272" t="s">
        <v>3095</v>
      </c>
      <c r="F1006" s="272" t="s">
        <v>3096</v>
      </c>
      <c r="G1006" s="267">
        <v>1200000</v>
      </c>
      <c r="H1006" s="272">
        <v>1</v>
      </c>
      <c r="J1006" s="268" t="s">
        <v>3097</v>
      </c>
      <c r="K1006" s="267">
        <v>1320000</v>
      </c>
      <c r="N1006" t="s">
        <v>3295</v>
      </c>
    </row>
    <row r="1007" spans="1:14" x14ac:dyDescent="0.3">
      <c r="A1007" s="58">
        <v>1005</v>
      </c>
      <c r="B1007" s="265">
        <v>45860</v>
      </c>
      <c r="C1007" s="272" t="s">
        <v>3001</v>
      </c>
      <c r="E1007" s="272" t="s">
        <v>1138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3087</v>
      </c>
      <c r="E1008" s="272" t="s">
        <v>1138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1417</v>
      </c>
      <c r="E1009" s="272" t="s">
        <v>2120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3295</v>
      </c>
    </row>
    <row r="1010" spans="1:14" x14ac:dyDescent="0.3">
      <c r="A1010" s="58">
        <v>1008</v>
      </c>
      <c r="B1010" s="265">
        <v>45861</v>
      </c>
      <c r="C1010" s="272" t="s">
        <v>1417</v>
      </c>
      <c r="E1010" s="272" t="s">
        <v>3100</v>
      </c>
      <c r="G1010" s="267">
        <v>20000</v>
      </c>
      <c r="H1010" s="272">
        <v>1</v>
      </c>
      <c r="K1010" s="267">
        <v>20000</v>
      </c>
      <c r="N1010" t="s">
        <v>3295</v>
      </c>
    </row>
    <row r="1011" spans="1:14" x14ac:dyDescent="0.3">
      <c r="A1011" s="58">
        <v>1009</v>
      </c>
      <c r="B1011" s="265">
        <v>45861</v>
      </c>
      <c r="C1011" s="272" t="s">
        <v>1766</v>
      </c>
      <c r="E1011" s="272" t="s">
        <v>1220</v>
      </c>
      <c r="F1011" s="272" t="s">
        <v>1219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3295</v>
      </c>
    </row>
    <row r="1012" spans="1:14" x14ac:dyDescent="0.3">
      <c r="A1012" s="58">
        <v>1010</v>
      </c>
      <c r="B1012" s="265">
        <v>45861</v>
      </c>
      <c r="C1012" s="272" t="s">
        <v>1829</v>
      </c>
      <c r="E1012" s="272" t="s">
        <v>1514</v>
      </c>
      <c r="F1012" s="272" t="s">
        <v>2765</v>
      </c>
      <c r="G1012" s="267">
        <v>350000</v>
      </c>
      <c r="H1012" s="272">
        <v>1</v>
      </c>
      <c r="K1012" s="267">
        <v>350000</v>
      </c>
      <c r="N1012" t="s">
        <v>3295</v>
      </c>
    </row>
    <row r="1013" spans="1:14" x14ac:dyDescent="0.3">
      <c r="A1013" s="58">
        <v>1011</v>
      </c>
      <c r="B1013" s="265">
        <v>45861</v>
      </c>
      <c r="C1013" s="272" t="s">
        <v>1870</v>
      </c>
      <c r="E1013" s="272" t="s">
        <v>2221</v>
      </c>
      <c r="F1013" s="272" t="s">
        <v>1215</v>
      </c>
      <c r="G1013" s="267">
        <v>100000</v>
      </c>
      <c r="H1013" s="272">
        <v>1</v>
      </c>
      <c r="K1013" s="267">
        <v>100000</v>
      </c>
      <c r="N1013" t="s">
        <v>3295</v>
      </c>
    </row>
    <row r="1014" spans="1:14" x14ac:dyDescent="0.3">
      <c r="A1014" s="58">
        <v>1012</v>
      </c>
      <c r="B1014" s="265">
        <v>45861</v>
      </c>
      <c r="C1014" s="272" t="s">
        <v>1485</v>
      </c>
      <c r="E1014" s="272" t="s">
        <v>2212</v>
      </c>
      <c r="F1014" s="272" t="s">
        <v>1216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3295</v>
      </c>
    </row>
    <row r="1015" spans="1:14" x14ac:dyDescent="0.3">
      <c r="A1015" s="58">
        <v>1013</v>
      </c>
      <c r="B1015" s="265">
        <v>45861</v>
      </c>
      <c r="C1015" s="272" t="s">
        <v>1485</v>
      </c>
      <c r="E1015" s="272" t="s">
        <v>2213</v>
      </c>
      <c r="F1015" s="272" t="s">
        <v>1823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3295</v>
      </c>
    </row>
    <row r="1016" spans="1:14" x14ac:dyDescent="0.3">
      <c r="A1016" s="58">
        <v>1014</v>
      </c>
      <c r="B1016" s="265">
        <v>45861</v>
      </c>
      <c r="C1016" s="272" t="s">
        <v>1059</v>
      </c>
      <c r="E1016" s="272" t="s">
        <v>2212</v>
      </c>
      <c r="F1016" s="272" t="s">
        <v>1216</v>
      </c>
      <c r="G1016" s="267">
        <v>1500000</v>
      </c>
      <c r="H1016" s="272">
        <v>1</v>
      </c>
      <c r="K1016" s="267">
        <v>1500000</v>
      </c>
      <c r="N1016" t="s">
        <v>3295</v>
      </c>
    </row>
    <row r="1017" spans="1:14" x14ac:dyDescent="0.3">
      <c r="A1017" s="58">
        <v>1015</v>
      </c>
      <c r="B1017" s="265">
        <v>45861</v>
      </c>
      <c r="C1017" s="272" t="s">
        <v>1059</v>
      </c>
      <c r="E1017" s="272" t="s">
        <v>2213</v>
      </c>
      <c r="F1017" s="272" t="s">
        <v>1823</v>
      </c>
      <c r="G1017" s="267">
        <v>50000</v>
      </c>
      <c r="H1017" s="272">
        <v>1</v>
      </c>
      <c r="K1017" s="267">
        <v>50000</v>
      </c>
      <c r="N1017" t="s">
        <v>3295</v>
      </c>
    </row>
    <row r="1018" spans="1:14" x14ac:dyDescent="0.3">
      <c r="A1018" s="58">
        <v>1016</v>
      </c>
      <c r="B1018" s="265">
        <v>45861</v>
      </c>
      <c r="C1018" s="272" t="s">
        <v>1059</v>
      </c>
      <c r="E1018" s="272" t="s">
        <v>2215</v>
      </c>
      <c r="F1018" s="272" t="s">
        <v>1738</v>
      </c>
      <c r="G1018" s="267">
        <v>70000</v>
      </c>
      <c r="H1018" s="272">
        <v>1</v>
      </c>
      <c r="K1018" s="267">
        <v>70000</v>
      </c>
      <c r="N1018" t="s">
        <v>3295</v>
      </c>
    </row>
    <row r="1019" spans="1:14" x14ac:dyDescent="0.3">
      <c r="A1019" s="58">
        <v>1017</v>
      </c>
      <c r="B1019" s="265">
        <v>45861</v>
      </c>
      <c r="C1019" s="272" t="s">
        <v>2354</v>
      </c>
      <c r="E1019" s="272" t="s">
        <v>2212</v>
      </c>
      <c r="F1019" s="272" t="s">
        <v>1216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3295</v>
      </c>
    </row>
    <row r="1020" spans="1:14" x14ac:dyDescent="0.3">
      <c r="A1020" s="58">
        <v>1018</v>
      </c>
      <c r="B1020" s="265">
        <v>45861</v>
      </c>
      <c r="C1020" s="272" t="s">
        <v>2354</v>
      </c>
      <c r="E1020" s="272" t="s">
        <v>3108</v>
      </c>
      <c r="L1020" s="267">
        <v>-3150000</v>
      </c>
      <c r="N1020" t="s">
        <v>3295</v>
      </c>
    </row>
    <row r="1021" spans="1:14" x14ac:dyDescent="0.3">
      <c r="A1021" s="58">
        <v>1019</v>
      </c>
      <c r="B1021" s="265">
        <v>45861</v>
      </c>
      <c r="C1021" s="272" t="s">
        <v>1870</v>
      </c>
      <c r="E1021" s="272" t="s">
        <v>3109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1829</v>
      </c>
      <c r="E1022" s="272" t="s">
        <v>1138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1059</v>
      </c>
      <c r="E1023" s="272" t="s">
        <v>1138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1467</v>
      </c>
      <c r="E1024" s="272" t="s">
        <v>1138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1417</v>
      </c>
      <c r="E1025" s="272" t="s">
        <v>2212</v>
      </c>
      <c r="F1025" s="272" t="s">
        <v>1216</v>
      </c>
      <c r="G1025" s="267">
        <v>1500000</v>
      </c>
      <c r="H1025" s="272">
        <v>1</v>
      </c>
      <c r="K1025" s="267">
        <v>1500000</v>
      </c>
      <c r="N1025" t="s">
        <v>3295</v>
      </c>
    </row>
    <row r="1026" spans="1:14" x14ac:dyDescent="0.3">
      <c r="A1026" s="58">
        <v>1024</v>
      </c>
      <c r="B1026" s="265">
        <v>45862</v>
      </c>
      <c r="C1026" s="272" t="s">
        <v>1417</v>
      </c>
      <c r="E1026" s="272" t="s">
        <v>2213</v>
      </c>
      <c r="F1026" s="272" t="s">
        <v>1823</v>
      </c>
      <c r="G1026" s="267">
        <v>50000</v>
      </c>
      <c r="H1026" s="272">
        <v>1</v>
      </c>
      <c r="K1026" s="267">
        <v>50000</v>
      </c>
      <c r="N1026" t="s">
        <v>3295</v>
      </c>
    </row>
    <row r="1027" spans="1:14" x14ac:dyDescent="0.3">
      <c r="A1027" s="58">
        <v>1025</v>
      </c>
      <c r="B1027" s="265">
        <v>45862</v>
      </c>
      <c r="C1027" s="272" t="s">
        <v>1417</v>
      </c>
      <c r="E1027" s="272" t="s">
        <v>1567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3295</v>
      </c>
    </row>
    <row r="1028" spans="1:14" x14ac:dyDescent="0.3">
      <c r="A1028" s="58">
        <v>1026</v>
      </c>
      <c r="B1028" s="265">
        <v>45862</v>
      </c>
      <c r="C1028" s="272" t="s">
        <v>3128</v>
      </c>
      <c r="E1028" s="272" t="s">
        <v>3129</v>
      </c>
      <c r="G1028" s="267">
        <v>1600000</v>
      </c>
      <c r="H1028" s="272">
        <v>1</v>
      </c>
      <c r="J1028" s="268" t="s">
        <v>3130</v>
      </c>
      <c r="K1028" s="267">
        <v>1760000</v>
      </c>
      <c r="N1028" t="s">
        <v>3295</v>
      </c>
    </row>
    <row r="1029" spans="1:14" x14ac:dyDescent="0.3">
      <c r="A1029" s="58">
        <v>1027</v>
      </c>
      <c r="B1029" s="265">
        <v>45862</v>
      </c>
      <c r="C1029" s="272" t="s">
        <v>1476</v>
      </c>
      <c r="E1029" s="272" t="s">
        <v>2212</v>
      </c>
      <c r="F1029" s="272" t="s">
        <v>1216</v>
      </c>
      <c r="G1029" s="267">
        <v>1500000</v>
      </c>
      <c r="H1029" s="272">
        <v>1</v>
      </c>
      <c r="K1029" s="267">
        <v>1500000</v>
      </c>
      <c r="N1029" t="s">
        <v>3295</v>
      </c>
    </row>
    <row r="1030" spans="1:14" x14ac:dyDescent="0.3">
      <c r="A1030" s="58">
        <v>1028</v>
      </c>
      <c r="B1030" s="265">
        <v>45862</v>
      </c>
      <c r="C1030" s="272" t="s">
        <v>1476</v>
      </c>
      <c r="E1030" s="272" t="s">
        <v>2213</v>
      </c>
      <c r="F1030" s="272" t="s">
        <v>1823</v>
      </c>
      <c r="G1030" s="267">
        <v>50000</v>
      </c>
      <c r="H1030" s="272">
        <v>1</v>
      </c>
      <c r="K1030" s="267">
        <v>50000</v>
      </c>
      <c r="N1030" t="s">
        <v>3295</v>
      </c>
    </row>
    <row r="1031" spans="1:14" x14ac:dyDescent="0.3">
      <c r="A1031" s="58">
        <v>1029</v>
      </c>
      <c r="B1031" s="265">
        <v>45862</v>
      </c>
      <c r="C1031" s="272" t="s">
        <v>1467</v>
      </c>
      <c r="E1031" s="272" t="s">
        <v>2219</v>
      </c>
      <c r="F1031" s="272" t="s">
        <v>1222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3295</v>
      </c>
    </row>
    <row r="1032" spans="1:14" x14ac:dyDescent="0.3">
      <c r="A1032" s="58">
        <v>1030</v>
      </c>
      <c r="B1032" s="265">
        <v>45862</v>
      </c>
      <c r="C1032" s="272" t="s">
        <v>1467</v>
      </c>
      <c r="E1032" s="272" t="s">
        <v>2222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3295</v>
      </c>
    </row>
    <row r="1033" spans="1:14" x14ac:dyDescent="0.3">
      <c r="A1033" s="58">
        <v>1031</v>
      </c>
      <c r="B1033" s="265">
        <v>45862</v>
      </c>
      <c r="C1033" s="272" t="s">
        <v>1598</v>
      </c>
      <c r="E1033" s="272" t="s">
        <v>1283</v>
      </c>
      <c r="F1033" s="272" t="s">
        <v>1282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3295</v>
      </c>
    </row>
    <row r="1034" spans="1:14" x14ac:dyDescent="0.3">
      <c r="A1034" s="58">
        <v>1032</v>
      </c>
      <c r="B1034" s="265">
        <v>45862</v>
      </c>
      <c r="C1034" s="272" t="s">
        <v>1462</v>
      </c>
      <c r="E1034" s="272" t="s">
        <v>3122</v>
      </c>
      <c r="F1034" s="272" t="s">
        <v>3123</v>
      </c>
      <c r="G1034" s="267">
        <v>-230000</v>
      </c>
      <c r="H1034" s="272">
        <v>1</v>
      </c>
      <c r="K1034" s="267">
        <v>-230000</v>
      </c>
      <c r="N1034" t="s">
        <v>3295</v>
      </c>
    </row>
    <row r="1035" spans="1:14" x14ac:dyDescent="0.3">
      <c r="A1035" s="58">
        <v>1033</v>
      </c>
      <c r="B1035" s="265">
        <v>45862</v>
      </c>
      <c r="C1035" s="272" t="s">
        <v>2533</v>
      </c>
      <c r="E1035" s="272" t="s">
        <v>2759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3206</v>
      </c>
      <c r="E1036" s="272" t="s">
        <v>3207</v>
      </c>
      <c r="G1036" s="267">
        <v>50000</v>
      </c>
      <c r="H1036" s="272">
        <v>1</v>
      </c>
      <c r="K1036" s="267">
        <v>50000</v>
      </c>
      <c r="N1036" t="s">
        <v>3295</v>
      </c>
    </row>
    <row r="1037" spans="1:14" x14ac:dyDescent="0.3">
      <c r="A1037" s="58">
        <v>1035</v>
      </c>
      <c r="B1037" s="265">
        <v>45862</v>
      </c>
      <c r="C1037" s="272" t="s">
        <v>3143</v>
      </c>
      <c r="E1037" s="272" t="s">
        <v>3144</v>
      </c>
      <c r="F1037" s="272" t="s">
        <v>3145</v>
      </c>
      <c r="G1037" s="267">
        <v>1500000</v>
      </c>
      <c r="H1037" s="272">
        <v>1</v>
      </c>
      <c r="K1037" s="267">
        <v>1500000</v>
      </c>
      <c r="N1037" t="s">
        <v>3295</v>
      </c>
    </row>
    <row r="1038" spans="1:14" x14ac:dyDescent="0.3">
      <c r="A1038" s="58">
        <v>1036</v>
      </c>
      <c r="B1038" s="265">
        <v>45862</v>
      </c>
      <c r="C1038" s="272" t="s">
        <v>3143</v>
      </c>
      <c r="E1038" s="272" t="s">
        <v>3146</v>
      </c>
      <c r="F1038" s="272" t="s">
        <v>3147</v>
      </c>
      <c r="G1038" s="267">
        <v>50000</v>
      </c>
      <c r="H1038" s="272">
        <v>1</v>
      </c>
      <c r="K1038" s="267">
        <v>50000</v>
      </c>
      <c r="N1038" t="s">
        <v>3295</v>
      </c>
    </row>
    <row r="1039" spans="1:14" x14ac:dyDescent="0.3">
      <c r="A1039" s="58">
        <v>1037</v>
      </c>
      <c r="B1039" s="265">
        <v>45862</v>
      </c>
      <c r="C1039" s="272" t="s">
        <v>1476</v>
      </c>
      <c r="E1039" s="272" t="s">
        <v>3131</v>
      </c>
      <c r="G1039" s="267">
        <v>40000</v>
      </c>
      <c r="H1039" s="272">
        <v>1</v>
      </c>
      <c r="K1039" s="267">
        <v>40000</v>
      </c>
      <c r="N1039" t="s">
        <v>3295</v>
      </c>
    </row>
    <row r="1040" spans="1:14" x14ac:dyDescent="0.3">
      <c r="A1040" s="58">
        <v>1038</v>
      </c>
      <c r="B1040" s="265">
        <v>45862</v>
      </c>
      <c r="C1040" s="272" t="s">
        <v>1832</v>
      </c>
      <c r="E1040" s="272" t="s">
        <v>1138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2435</v>
      </c>
      <c r="E1041" s="272" t="s">
        <v>3134</v>
      </c>
      <c r="F1041" s="272" t="s">
        <v>3135</v>
      </c>
      <c r="G1041" s="267">
        <v>2000000</v>
      </c>
      <c r="H1041" s="272">
        <v>1</v>
      </c>
      <c r="K1041" s="267">
        <v>2000000</v>
      </c>
      <c r="N1041" t="s">
        <v>3295</v>
      </c>
    </row>
    <row r="1042" spans="1:14" x14ac:dyDescent="0.3">
      <c r="A1042" s="58">
        <v>1040</v>
      </c>
      <c r="B1042" s="265">
        <v>45863</v>
      </c>
      <c r="C1042" s="272" t="s">
        <v>2004</v>
      </c>
      <c r="E1042" s="272" t="s">
        <v>1734</v>
      </c>
      <c r="F1042" s="272" t="s">
        <v>1733</v>
      </c>
      <c r="G1042" s="267">
        <v>23000</v>
      </c>
      <c r="H1042" s="272">
        <v>10</v>
      </c>
      <c r="K1042" s="267">
        <v>230000</v>
      </c>
      <c r="N1042" t="s">
        <v>3295</v>
      </c>
    </row>
    <row r="1043" spans="1:14" x14ac:dyDescent="0.3">
      <c r="A1043" s="58">
        <v>1041</v>
      </c>
      <c r="B1043" s="265">
        <v>45863</v>
      </c>
      <c r="C1043" s="272" t="s">
        <v>1616</v>
      </c>
      <c r="E1043" s="272" t="s">
        <v>1218</v>
      </c>
      <c r="F1043" s="272" t="s">
        <v>1771</v>
      </c>
      <c r="G1043" s="267">
        <v>1000000</v>
      </c>
      <c r="H1043" s="272">
        <v>1</v>
      </c>
      <c r="K1043" s="267">
        <v>1000000</v>
      </c>
      <c r="N1043" t="s">
        <v>3295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3140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3295</v>
      </c>
    </row>
    <row r="1045" spans="1:14" x14ac:dyDescent="0.3">
      <c r="A1045" s="58">
        <v>1043</v>
      </c>
      <c r="B1045" s="265">
        <v>45863</v>
      </c>
      <c r="C1045" s="272" t="s">
        <v>1095</v>
      </c>
      <c r="E1045" s="272" t="s">
        <v>2212</v>
      </c>
      <c r="F1045" s="272" t="s">
        <v>1216</v>
      </c>
      <c r="G1045" s="267">
        <v>1500000</v>
      </c>
      <c r="H1045" s="272">
        <v>1</v>
      </c>
      <c r="K1045" s="267">
        <v>1500000</v>
      </c>
      <c r="N1045" t="s">
        <v>3295</v>
      </c>
    </row>
    <row r="1046" spans="1:14" x14ac:dyDescent="0.3">
      <c r="A1046" s="58">
        <v>1044</v>
      </c>
      <c r="B1046" s="265">
        <v>45863</v>
      </c>
      <c r="C1046" s="272" t="s">
        <v>1095</v>
      </c>
      <c r="E1046" s="272" t="s">
        <v>2213</v>
      </c>
      <c r="F1046" s="272" t="s">
        <v>1823</v>
      </c>
      <c r="G1046" s="267">
        <v>50000</v>
      </c>
      <c r="H1046" s="272">
        <v>1</v>
      </c>
      <c r="K1046" s="267">
        <v>50000</v>
      </c>
      <c r="N1046" t="s">
        <v>3295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1138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1893</v>
      </c>
      <c r="E1048" s="272" t="s">
        <v>1138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2435</v>
      </c>
      <c r="E1049" s="272" t="s">
        <v>1138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1487</v>
      </c>
      <c r="E1050" s="272" t="s">
        <v>1218</v>
      </c>
      <c r="F1050" s="272" t="s">
        <v>1378</v>
      </c>
      <c r="G1050" s="267">
        <v>1300000</v>
      </c>
      <c r="H1050" s="272">
        <v>1</v>
      </c>
      <c r="K1050" s="267">
        <v>1300000</v>
      </c>
      <c r="N1050" t="s">
        <v>3295</v>
      </c>
    </row>
    <row r="1051" spans="1:14" x14ac:dyDescent="0.3">
      <c r="A1051" s="58">
        <v>1049</v>
      </c>
      <c r="B1051" s="265">
        <v>45864</v>
      </c>
      <c r="C1051" s="272" t="s">
        <v>1467</v>
      </c>
      <c r="E1051" s="272" t="s">
        <v>1765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1462</v>
      </c>
      <c r="E1052" s="272" t="s">
        <v>2210</v>
      </c>
      <c r="F1052" s="272" t="s">
        <v>1482</v>
      </c>
      <c r="G1052" s="267">
        <v>1500000</v>
      </c>
      <c r="H1052" s="272">
        <v>1</v>
      </c>
      <c r="K1052" s="267">
        <v>1500000</v>
      </c>
      <c r="N1052" t="s">
        <v>3295</v>
      </c>
    </row>
    <row r="1053" spans="1:14" x14ac:dyDescent="0.3">
      <c r="A1053" s="58">
        <v>1051</v>
      </c>
      <c r="B1053" s="265">
        <v>45864</v>
      </c>
      <c r="C1053" s="272" t="s">
        <v>1616</v>
      </c>
      <c r="E1053" s="272" t="s">
        <v>1765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3126</v>
      </c>
      <c r="E1054" s="272" t="s">
        <v>1138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1095</v>
      </c>
      <c r="E1055" s="272" t="s">
        <v>1138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1766</v>
      </c>
      <c r="E1056" s="272" t="s">
        <v>1138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1059</v>
      </c>
      <c r="E1057" s="272" t="s">
        <v>2133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3295</v>
      </c>
    </row>
    <row r="1058" spans="1:14" x14ac:dyDescent="0.3">
      <c r="A1058" s="58">
        <v>1056</v>
      </c>
      <c r="B1058" s="265">
        <v>45866</v>
      </c>
      <c r="C1058" s="272" t="s">
        <v>1417</v>
      </c>
      <c r="E1058" s="272" t="s">
        <v>1755</v>
      </c>
      <c r="F1058" s="272" t="s">
        <v>2937</v>
      </c>
      <c r="G1058" s="267">
        <v>500000</v>
      </c>
      <c r="H1058" s="272">
        <v>1</v>
      </c>
      <c r="K1058" s="267">
        <v>500000</v>
      </c>
      <c r="N1058" t="s">
        <v>3295</v>
      </c>
    </row>
    <row r="1059" spans="1:14" x14ac:dyDescent="0.3">
      <c r="A1059" s="58">
        <v>1057</v>
      </c>
      <c r="B1059" s="265">
        <v>45866</v>
      </c>
      <c r="C1059" s="272" t="s">
        <v>1417</v>
      </c>
      <c r="E1059" s="272" t="s">
        <v>3038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3295</v>
      </c>
    </row>
    <row r="1060" spans="1:14" x14ac:dyDescent="0.3">
      <c r="A1060" s="58">
        <v>1058</v>
      </c>
      <c r="B1060" s="265">
        <v>45866</v>
      </c>
      <c r="C1060" s="272" t="s">
        <v>1766</v>
      </c>
      <c r="E1060" s="272" t="s">
        <v>1754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3295</v>
      </c>
    </row>
    <row r="1061" spans="1:14" x14ac:dyDescent="0.3">
      <c r="A1061" s="58">
        <v>1059</v>
      </c>
      <c r="B1061" s="265">
        <v>45866</v>
      </c>
      <c r="C1061" s="272" t="s">
        <v>1870</v>
      </c>
      <c r="E1061" s="272" t="s">
        <v>2221</v>
      </c>
      <c r="F1061" s="272" t="s">
        <v>1215</v>
      </c>
      <c r="G1061" s="267">
        <v>200000</v>
      </c>
      <c r="H1061" s="272">
        <v>1</v>
      </c>
      <c r="K1061" s="267">
        <v>200000</v>
      </c>
      <c r="N1061" t="s">
        <v>3295</v>
      </c>
    </row>
    <row r="1062" spans="1:14" x14ac:dyDescent="0.3">
      <c r="A1062" s="58">
        <v>1060</v>
      </c>
      <c r="B1062" s="265">
        <v>45866</v>
      </c>
      <c r="C1062" s="272" t="s">
        <v>1689</v>
      </c>
      <c r="E1062" s="272" t="s">
        <v>1852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3295</v>
      </c>
    </row>
    <row r="1063" spans="1:14" x14ac:dyDescent="0.3">
      <c r="A1063" s="58">
        <v>1061</v>
      </c>
      <c r="B1063" s="265">
        <v>45866</v>
      </c>
      <c r="C1063" s="272" t="s">
        <v>1491</v>
      </c>
      <c r="E1063" s="272" t="s">
        <v>2219</v>
      </c>
      <c r="F1063" s="272" t="s">
        <v>1222</v>
      </c>
      <c r="G1063" s="267">
        <v>500000</v>
      </c>
      <c r="H1063" s="272">
        <v>1</v>
      </c>
      <c r="K1063" s="267">
        <v>500000</v>
      </c>
      <c r="N1063" t="s">
        <v>3295</v>
      </c>
    </row>
    <row r="1064" spans="1:14" x14ac:dyDescent="0.3">
      <c r="A1064" s="58">
        <v>1062</v>
      </c>
      <c r="B1064" s="265">
        <v>45866</v>
      </c>
      <c r="C1064" s="272" t="s">
        <v>3157</v>
      </c>
      <c r="E1064" s="272" t="s">
        <v>1882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3295</v>
      </c>
    </row>
    <row r="1065" spans="1:14" x14ac:dyDescent="0.3">
      <c r="A1065" s="58">
        <v>1063</v>
      </c>
      <c r="B1065" s="265">
        <v>45866</v>
      </c>
      <c r="C1065" s="272" t="s">
        <v>1562</v>
      </c>
      <c r="E1065" s="272" t="s">
        <v>2218</v>
      </c>
      <c r="F1065" s="272" t="s">
        <v>1215</v>
      </c>
      <c r="G1065" s="267">
        <v>1400000</v>
      </c>
      <c r="H1065" s="272">
        <v>1</v>
      </c>
      <c r="K1065" s="267">
        <v>1400000</v>
      </c>
      <c r="N1065" t="s">
        <v>3295</v>
      </c>
    </row>
    <row r="1066" spans="1:14" x14ac:dyDescent="0.3">
      <c r="A1066" s="58">
        <v>1064</v>
      </c>
      <c r="B1066" s="265">
        <v>45866</v>
      </c>
      <c r="C1066" s="272" t="s">
        <v>1884</v>
      </c>
      <c r="E1066" s="272" t="s">
        <v>2212</v>
      </c>
      <c r="F1066" s="272" t="s">
        <v>1216</v>
      </c>
      <c r="G1066" s="267">
        <v>1500000</v>
      </c>
      <c r="H1066" s="272">
        <v>1</v>
      </c>
      <c r="K1066" s="267">
        <v>1500000</v>
      </c>
      <c r="N1066" t="s">
        <v>3295</v>
      </c>
    </row>
    <row r="1067" spans="1:14" x14ac:dyDescent="0.3">
      <c r="A1067" s="58">
        <v>1065</v>
      </c>
      <c r="B1067" s="265">
        <v>45866</v>
      </c>
      <c r="C1067" s="272" t="s">
        <v>1884</v>
      </c>
      <c r="E1067" s="272" t="s">
        <v>2213</v>
      </c>
      <c r="F1067" s="272" t="s">
        <v>1823</v>
      </c>
      <c r="G1067" s="267">
        <v>50000</v>
      </c>
      <c r="H1067" s="272">
        <v>1</v>
      </c>
      <c r="K1067" s="267">
        <v>50000</v>
      </c>
      <c r="N1067" t="s">
        <v>3295</v>
      </c>
    </row>
    <row r="1068" spans="1:14" x14ac:dyDescent="0.3">
      <c r="A1068" s="58">
        <v>1066</v>
      </c>
      <c r="B1068" s="265">
        <v>45866</v>
      </c>
      <c r="C1068" s="272" t="s">
        <v>1766</v>
      </c>
      <c r="E1068" s="272" t="s">
        <v>2468</v>
      </c>
      <c r="F1068" s="272" t="s">
        <v>2844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3295</v>
      </c>
    </row>
    <row r="1069" spans="1:14" x14ac:dyDescent="0.3">
      <c r="A1069" s="58">
        <v>1067</v>
      </c>
      <c r="B1069" s="265">
        <v>45866</v>
      </c>
      <c r="C1069" s="272" t="s">
        <v>1766</v>
      </c>
      <c r="E1069" s="272" t="s">
        <v>1537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3295</v>
      </c>
    </row>
    <row r="1070" spans="1:14" x14ac:dyDescent="0.3">
      <c r="A1070" s="58">
        <v>1068</v>
      </c>
      <c r="B1070" s="265">
        <v>45866</v>
      </c>
      <c r="C1070" s="272" t="s">
        <v>1467</v>
      </c>
      <c r="E1070" s="272" t="s">
        <v>1218</v>
      </c>
      <c r="F1070" s="272" t="s">
        <v>1771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3295</v>
      </c>
    </row>
    <row r="1071" spans="1:14" x14ac:dyDescent="0.3">
      <c r="A1071" s="58">
        <v>1069</v>
      </c>
      <c r="B1071" s="265">
        <v>45866</v>
      </c>
      <c r="C1071" s="272" t="s">
        <v>3157</v>
      </c>
      <c r="E1071" s="272" t="s">
        <v>1765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3165</v>
      </c>
      <c r="E1072" s="272" t="s">
        <v>2212</v>
      </c>
      <c r="F1072" s="272" t="s">
        <v>1216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3295</v>
      </c>
    </row>
    <row r="1073" spans="1:14" x14ac:dyDescent="0.3">
      <c r="A1073" s="58">
        <v>1071</v>
      </c>
      <c r="B1073" s="265">
        <v>45866</v>
      </c>
      <c r="C1073" s="272" t="s">
        <v>3165</v>
      </c>
      <c r="E1073" s="272" t="s">
        <v>2213</v>
      </c>
      <c r="F1073" s="272" t="s">
        <v>1823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3295</v>
      </c>
    </row>
    <row r="1074" spans="1:14" x14ac:dyDescent="0.3">
      <c r="A1074" s="58">
        <v>1072</v>
      </c>
      <c r="B1074" s="265">
        <v>45866</v>
      </c>
      <c r="C1074" s="272" t="s">
        <v>3165</v>
      </c>
      <c r="E1074" s="272" t="s">
        <v>1765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1467</v>
      </c>
      <c r="E1075" s="272" t="s">
        <v>1765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1689</v>
      </c>
      <c r="E1076" s="272" t="s">
        <v>1765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1562</v>
      </c>
      <c r="E1077" s="272" t="s">
        <v>1765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1476</v>
      </c>
      <c r="E1078" s="272" t="s">
        <v>1765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1870</v>
      </c>
      <c r="E1079" s="272" t="s">
        <v>1765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2004</v>
      </c>
      <c r="E1080" s="272" t="s">
        <v>1765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1059</v>
      </c>
      <c r="E1081" s="272" t="s">
        <v>1765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1019</v>
      </c>
      <c r="E1082" s="272" t="s">
        <v>1765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1598</v>
      </c>
      <c r="E1083" s="272" t="s">
        <v>3109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1462</v>
      </c>
      <c r="E1084" s="272" t="s">
        <v>3197</v>
      </c>
      <c r="F1084" s="272" t="s">
        <v>3196</v>
      </c>
      <c r="G1084" s="267">
        <v>250000</v>
      </c>
      <c r="H1084" s="272">
        <v>1</v>
      </c>
      <c r="K1084" s="267">
        <v>250000</v>
      </c>
      <c r="N1084" t="s">
        <v>3295</v>
      </c>
    </row>
    <row r="1085" spans="1:14" x14ac:dyDescent="0.3">
      <c r="A1085" s="58">
        <v>1083</v>
      </c>
      <c r="B1085" s="265">
        <v>45867</v>
      </c>
      <c r="C1085" s="272" t="s">
        <v>1810</v>
      </c>
      <c r="E1085" s="272" t="s">
        <v>2212</v>
      </c>
      <c r="F1085" s="272" t="s">
        <v>1216</v>
      </c>
      <c r="G1085" s="267">
        <v>1500000</v>
      </c>
      <c r="H1085" s="272">
        <v>1</v>
      </c>
      <c r="K1085" s="267">
        <v>1500000</v>
      </c>
      <c r="N1085" t="s">
        <v>3295</v>
      </c>
    </row>
    <row r="1086" spans="1:14" x14ac:dyDescent="0.3">
      <c r="A1086" s="58">
        <v>1084</v>
      </c>
      <c r="B1086" s="265">
        <v>45867</v>
      </c>
      <c r="C1086" s="272" t="s">
        <v>1810</v>
      </c>
      <c r="E1086" s="272" t="s">
        <v>2213</v>
      </c>
      <c r="F1086" s="272" t="s">
        <v>1823</v>
      </c>
      <c r="G1086" s="267">
        <v>50000</v>
      </c>
      <c r="H1086" s="272">
        <v>1</v>
      </c>
      <c r="K1086" s="267">
        <v>50000</v>
      </c>
      <c r="N1086" t="s">
        <v>3295</v>
      </c>
    </row>
    <row r="1087" spans="1:14" x14ac:dyDescent="0.3">
      <c r="A1087" s="58">
        <v>1085</v>
      </c>
      <c r="B1087" s="265">
        <v>45867</v>
      </c>
      <c r="C1087" s="272" t="s">
        <v>1095</v>
      </c>
      <c r="E1087" s="272" t="s">
        <v>2218</v>
      </c>
      <c r="F1087" s="272" t="s">
        <v>1215</v>
      </c>
      <c r="G1087" s="267">
        <v>900000</v>
      </c>
      <c r="H1087" s="272">
        <v>1</v>
      </c>
      <c r="K1087" s="267">
        <v>900000</v>
      </c>
      <c r="N1087" t="s">
        <v>3295</v>
      </c>
    </row>
    <row r="1088" spans="1:14" x14ac:dyDescent="0.3">
      <c r="A1088" s="58">
        <v>1086</v>
      </c>
      <c r="B1088" s="265">
        <v>45867</v>
      </c>
      <c r="C1088" s="272" t="s">
        <v>1323</v>
      </c>
      <c r="E1088" s="272" t="s">
        <v>2219</v>
      </c>
      <c r="F1088" s="272" t="s">
        <v>1222</v>
      </c>
      <c r="G1088" s="267">
        <v>520000</v>
      </c>
      <c r="H1088" s="272">
        <v>1</v>
      </c>
      <c r="K1088" s="267">
        <v>520000</v>
      </c>
      <c r="N1088" t="s">
        <v>3295</v>
      </c>
    </row>
    <row r="1089" spans="1:14" x14ac:dyDescent="0.3">
      <c r="A1089" s="58">
        <v>1087</v>
      </c>
      <c r="B1089" s="265">
        <v>45867</v>
      </c>
      <c r="C1089" s="272" t="s">
        <v>1323</v>
      </c>
      <c r="E1089" s="272" t="s">
        <v>2222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3295</v>
      </c>
    </row>
    <row r="1090" spans="1:14" x14ac:dyDescent="0.3">
      <c r="A1090" s="58">
        <v>1088</v>
      </c>
      <c r="B1090" s="265">
        <v>45867</v>
      </c>
      <c r="C1090" s="272" t="s">
        <v>1323</v>
      </c>
      <c r="E1090" s="272" t="s">
        <v>2223</v>
      </c>
      <c r="F1090" s="272" t="s">
        <v>1815</v>
      </c>
      <c r="G1090" s="267">
        <v>35000</v>
      </c>
      <c r="H1090" s="272">
        <v>1</v>
      </c>
      <c r="K1090" s="267">
        <v>35000</v>
      </c>
      <c r="N1090" t="s">
        <v>3295</v>
      </c>
    </row>
    <row r="1091" spans="1:14" x14ac:dyDescent="0.3">
      <c r="A1091" s="58">
        <v>1089</v>
      </c>
      <c r="B1091" s="265">
        <v>45867</v>
      </c>
      <c r="C1091" s="272" t="s">
        <v>1323</v>
      </c>
      <c r="E1091" s="272" t="s">
        <v>3208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3295</v>
      </c>
    </row>
    <row r="1092" spans="1:14" x14ac:dyDescent="0.3">
      <c r="A1092" s="58">
        <v>1090</v>
      </c>
      <c r="B1092" s="265">
        <v>45867</v>
      </c>
      <c r="C1092" s="272" t="s">
        <v>1825</v>
      </c>
      <c r="E1092" s="272" t="s">
        <v>2687</v>
      </c>
      <c r="F1092" s="272" t="s">
        <v>2686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3295</v>
      </c>
    </row>
    <row r="1093" spans="1:14" x14ac:dyDescent="0.3">
      <c r="A1093" s="58">
        <v>1091</v>
      </c>
      <c r="B1093" s="265">
        <v>45867</v>
      </c>
      <c r="C1093" s="272" t="s">
        <v>3032</v>
      </c>
      <c r="E1093" s="272" t="s">
        <v>1218</v>
      </c>
      <c r="F1093" s="272" t="s">
        <v>1771</v>
      </c>
      <c r="G1093" s="267">
        <v>1000000</v>
      </c>
      <c r="H1093" s="272">
        <v>1</v>
      </c>
      <c r="K1093" s="267">
        <v>1000000</v>
      </c>
      <c r="N1093" t="s">
        <v>3295</v>
      </c>
    </row>
    <row r="1094" spans="1:14" x14ac:dyDescent="0.3">
      <c r="A1094" s="58">
        <v>1092</v>
      </c>
      <c r="B1094" s="265">
        <v>45867</v>
      </c>
      <c r="C1094" s="272" t="s">
        <v>1740</v>
      </c>
      <c r="E1094" s="272" t="s">
        <v>3209</v>
      </c>
      <c r="F1094" s="272" t="s">
        <v>2362</v>
      </c>
      <c r="G1094" s="267">
        <v>900000</v>
      </c>
      <c r="H1094" s="272">
        <v>1</v>
      </c>
      <c r="K1094" s="267">
        <v>900000</v>
      </c>
      <c r="N1094" t="s">
        <v>3295</v>
      </c>
    </row>
    <row r="1095" spans="1:14" x14ac:dyDescent="0.3">
      <c r="A1095" s="58">
        <v>1093</v>
      </c>
      <c r="B1095" s="265">
        <v>45867</v>
      </c>
      <c r="C1095" s="272" t="s">
        <v>1462</v>
      </c>
      <c r="E1095" s="272" t="s">
        <v>2212</v>
      </c>
      <c r="F1095" s="272" t="s">
        <v>1216</v>
      </c>
      <c r="G1095" s="267">
        <v>1500000</v>
      </c>
      <c r="H1095" s="272">
        <v>1</v>
      </c>
      <c r="K1095" s="267">
        <v>1500000</v>
      </c>
      <c r="N1095" t="s">
        <v>3295</v>
      </c>
    </row>
    <row r="1096" spans="1:14" x14ac:dyDescent="0.3">
      <c r="A1096" s="58">
        <v>1094</v>
      </c>
      <c r="B1096" s="265">
        <v>45867</v>
      </c>
      <c r="C1096" s="272" t="s">
        <v>1462</v>
      </c>
      <c r="E1096" s="272" t="s">
        <v>2213</v>
      </c>
      <c r="F1096" s="272" t="s">
        <v>1823</v>
      </c>
      <c r="G1096" s="267">
        <v>50000</v>
      </c>
      <c r="H1096" s="272">
        <v>1</v>
      </c>
      <c r="K1096" s="267">
        <v>50000</v>
      </c>
      <c r="N1096" t="s">
        <v>3295</v>
      </c>
    </row>
    <row r="1097" spans="1:14" x14ac:dyDescent="0.3">
      <c r="A1097" s="58">
        <v>1095</v>
      </c>
      <c r="B1097" s="265">
        <v>45867</v>
      </c>
      <c r="C1097" s="272" t="s">
        <v>1462</v>
      </c>
      <c r="E1097" s="272" t="s">
        <v>1567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3295</v>
      </c>
    </row>
    <row r="1098" spans="1:14" x14ac:dyDescent="0.3">
      <c r="A1098" s="58">
        <v>1096</v>
      </c>
      <c r="B1098" s="265">
        <v>45867</v>
      </c>
      <c r="C1098" s="272" t="s">
        <v>1825</v>
      </c>
      <c r="E1098" s="272" t="s">
        <v>1138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3032</v>
      </c>
      <c r="E1099" s="272" t="s">
        <v>1138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1323</v>
      </c>
      <c r="E1100" s="272" t="s">
        <v>1765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2001</v>
      </c>
      <c r="E1101" s="272" t="s">
        <v>2212</v>
      </c>
      <c r="F1101" s="272" t="s">
        <v>1216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3295</v>
      </c>
    </row>
    <row r="1102" spans="1:14" x14ac:dyDescent="0.3">
      <c r="A1102" s="58">
        <v>1100</v>
      </c>
      <c r="B1102" s="265">
        <v>45868</v>
      </c>
      <c r="C1102" s="272" t="s">
        <v>2001</v>
      </c>
      <c r="E1102" s="272" t="s">
        <v>2213</v>
      </c>
      <c r="F1102" s="272" t="s">
        <v>1823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3295</v>
      </c>
    </row>
    <row r="1103" spans="1:14" x14ac:dyDescent="0.3">
      <c r="A1103" s="58">
        <v>1101</v>
      </c>
      <c r="B1103" s="265">
        <v>45868</v>
      </c>
      <c r="C1103" s="272" t="s">
        <v>1829</v>
      </c>
      <c r="E1103" s="272" t="s">
        <v>2212</v>
      </c>
      <c r="F1103" s="272" t="s">
        <v>1216</v>
      </c>
      <c r="G1103" s="267">
        <v>1500000</v>
      </c>
      <c r="H1103" s="272">
        <v>1</v>
      </c>
      <c r="K1103" s="267">
        <v>1500000</v>
      </c>
      <c r="N1103" t="s">
        <v>3295</v>
      </c>
    </row>
    <row r="1104" spans="1:14" x14ac:dyDescent="0.3">
      <c r="A1104" s="58">
        <v>1102</v>
      </c>
      <c r="B1104" s="265">
        <v>45868</v>
      </c>
      <c r="C1104" s="272" t="s">
        <v>1829</v>
      </c>
      <c r="E1104" s="272" t="s">
        <v>2213</v>
      </c>
      <c r="F1104" s="272" t="s">
        <v>1823</v>
      </c>
      <c r="G1104" s="267">
        <v>50000</v>
      </c>
      <c r="H1104" s="272">
        <v>1</v>
      </c>
      <c r="K1104" s="267">
        <v>50000</v>
      </c>
      <c r="N1104" t="s">
        <v>3295</v>
      </c>
    </row>
    <row r="1105" spans="1:14" x14ac:dyDescent="0.3">
      <c r="A1105" s="58">
        <v>1103</v>
      </c>
      <c r="B1105" s="265">
        <v>45868</v>
      </c>
      <c r="C1105" s="272" t="s">
        <v>2892</v>
      </c>
      <c r="E1105" s="272" t="s">
        <v>2214</v>
      </c>
      <c r="F1105" s="272" t="s">
        <v>2250</v>
      </c>
      <c r="G1105" s="267">
        <v>250000</v>
      </c>
      <c r="H1105" s="272">
        <v>1</v>
      </c>
      <c r="K1105" s="267">
        <v>250000</v>
      </c>
      <c r="N1105" t="s">
        <v>3295</v>
      </c>
    </row>
    <row r="1106" spans="1:14" x14ac:dyDescent="0.3">
      <c r="A1106" s="58">
        <v>1104</v>
      </c>
      <c r="B1106" s="265">
        <v>45868</v>
      </c>
      <c r="C1106" s="272" t="s">
        <v>1825</v>
      </c>
      <c r="E1106" s="272" t="s">
        <v>3213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3295</v>
      </c>
    </row>
    <row r="1107" spans="1:14" x14ac:dyDescent="0.3">
      <c r="A1107" s="58">
        <v>1105</v>
      </c>
      <c r="B1107" s="265">
        <v>45868</v>
      </c>
      <c r="C1107" s="272" t="s">
        <v>1595</v>
      </c>
      <c r="E1107" s="272" t="s">
        <v>3038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3295</v>
      </c>
    </row>
    <row r="1108" spans="1:14" x14ac:dyDescent="0.3">
      <c r="A1108" s="58">
        <v>1106</v>
      </c>
      <c r="B1108" s="265">
        <v>45868</v>
      </c>
      <c r="C1108" s="272" t="s">
        <v>3216</v>
      </c>
      <c r="E1108" s="272" t="s">
        <v>1218</v>
      </c>
      <c r="F1108" s="272" t="s">
        <v>1771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3295</v>
      </c>
    </row>
    <row r="1109" spans="1:14" x14ac:dyDescent="0.3">
      <c r="A1109" s="58">
        <v>1107</v>
      </c>
      <c r="B1109" s="265">
        <v>45868</v>
      </c>
      <c r="C1109" s="272" t="s">
        <v>2354</v>
      </c>
      <c r="E1109" s="272" t="s">
        <v>3038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3295</v>
      </c>
    </row>
    <row r="1110" spans="1:14" x14ac:dyDescent="0.3">
      <c r="A1110" s="58">
        <v>1108</v>
      </c>
      <c r="B1110" s="265">
        <v>45868</v>
      </c>
      <c r="C1110" s="272" t="s">
        <v>1689</v>
      </c>
      <c r="E1110" s="272" t="s">
        <v>1138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2819</v>
      </c>
      <c r="E1111" s="272" t="s">
        <v>1138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2354</v>
      </c>
      <c r="E1112" s="272" t="s">
        <v>1138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2001</v>
      </c>
      <c r="E1113" s="272" t="s">
        <v>1138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2892</v>
      </c>
      <c r="E1114" s="272" t="s">
        <v>1138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3216</v>
      </c>
      <c r="E1115" s="272" t="s">
        <v>1138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1470</v>
      </c>
      <c r="E1116" s="272" t="s">
        <v>1138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1095</v>
      </c>
      <c r="E1117" s="272" t="s">
        <v>1138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2354</v>
      </c>
      <c r="E1118" s="272" t="s">
        <v>1138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1491</v>
      </c>
      <c r="E1119" s="272" t="s">
        <v>2212</v>
      </c>
      <c r="F1119" s="272" t="s">
        <v>1216</v>
      </c>
      <c r="G1119" s="267">
        <v>1500000</v>
      </c>
      <c r="H1119" s="272">
        <v>1</v>
      </c>
      <c r="K1119" s="267">
        <v>1500000</v>
      </c>
      <c r="N1119" t="s">
        <v>3295</v>
      </c>
    </row>
    <row r="1120" spans="1:14" x14ac:dyDescent="0.3">
      <c r="A1120" s="58">
        <v>1118</v>
      </c>
      <c r="B1120" s="265">
        <v>45869</v>
      </c>
      <c r="C1120" s="272" t="s">
        <v>1810</v>
      </c>
      <c r="E1120" s="272" t="s">
        <v>2212</v>
      </c>
      <c r="F1120" s="272" t="s">
        <v>1216</v>
      </c>
      <c r="G1120" s="267">
        <v>1500000</v>
      </c>
      <c r="H1120" s="272">
        <v>1</v>
      </c>
      <c r="K1120" s="267">
        <v>1500000</v>
      </c>
      <c r="N1120" t="s">
        <v>3295</v>
      </c>
    </row>
    <row r="1121" spans="1:14" x14ac:dyDescent="0.3">
      <c r="A1121" s="58">
        <v>1119</v>
      </c>
      <c r="B1121" s="265">
        <v>45869</v>
      </c>
      <c r="C1121" s="272" t="s">
        <v>1810</v>
      </c>
      <c r="E1121" s="272" t="s">
        <v>2213</v>
      </c>
      <c r="F1121" s="272" t="s">
        <v>1823</v>
      </c>
      <c r="G1121" s="267">
        <v>50000</v>
      </c>
      <c r="H1121" s="272">
        <v>1</v>
      </c>
      <c r="K1121" s="267">
        <v>50000</v>
      </c>
      <c r="N1121" t="s">
        <v>3295</v>
      </c>
    </row>
    <row r="1122" spans="1:14" x14ac:dyDescent="0.3">
      <c r="A1122" s="58">
        <v>1120</v>
      </c>
      <c r="B1122" s="265">
        <v>45869</v>
      </c>
      <c r="C1122" s="272" t="s">
        <v>1516</v>
      </c>
      <c r="E1122" s="272" t="s">
        <v>1218</v>
      </c>
      <c r="F1122" s="272" t="s">
        <v>1771</v>
      </c>
      <c r="G1122" s="267">
        <v>1200000</v>
      </c>
      <c r="H1122" s="272">
        <v>1</v>
      </c>
      <c r="K1122" s="267">
        <v>1200000</v>
      </c>
      <c r="N1122" t="s">
        <v>3295</v>
      </c>
    </row>
    <row r="1123" spans="1:14" x14ac:dyDescent="0.3">
      <c r="A1123" s="58">
        <v>1121</v>
      </c>
      <c r="B1123" s="265">
        <v>45869</v>
      </c>
      <c r="C1123" s="272" t="s">
        <v>1516</v>
      </c>
      <c r="E1123" s="272" t="s">
        <v>1537</v>
      </c>
      <c r="G1123" s="267">
        <v>20000</v>
      </c>
      <c r="H1123" s="272">
        <v>1</v>
      </c>
      <c r="K1123" s="267">
        <v>20000</v>
      </c>
      <c r="N1123" t="s">
        <v>3295</v>
      </c>
    </row>
    <row r="1124" spans="1:14" x14ac:dyDescent="0.3">
      <c r="A1124" s="58">
        <v>1122</v>
      </c>
      <c r="B1124" s="265">
        <v>45869</v>
      </c>
      <c r="C1124" s="272" t="s">
        <v>1689</v>
      </c>
      <c r="E1124" s="272" t="s">
        <v>2633</v>
      </c>
      <c r="F1124" s="272" t="s">
        <v>2632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3295</v>
      </c>
    </row>
    <row r="1125" spans="1:14" x14ac:dyDescent="0.3">
      <c r="A1125" s="58">
        <v>1123</v>
      </c>
      <c r="B1125" s="265">
        <v>45869</v>
      </c>
      <c r="C1125" s="272" t="s">
        <v>1598</v>
      </c>
      <c r="E1125" s="272" t="s">
        <v>1283</v>
      </c>
      <c r="F1125" s="272" t="s">
        <v>1282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3295</v>
      </c>
    </row>
    <row r="1126" spans="1:14" x14ac:dyDescent="0.3">
      <c r="A1126" s="58">
        <v>1124</v>
      </c>
      <c r="B1126" s="265">
        <v>45869</v>
      </c>
      <c r="C1126" s="272" t="s">
        <v>1417</v>
      </c>
      <c r="E1126" s="272" t="s">
        <v>1138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1884</v>
      </c>
      <c r="E1127" s="272" t="s">
        <v>1138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1572</v>
      </c>
      <c r="E1128" s="272" t="s">
        <v>1138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1516</v>
      </c>
      <c r="E1129" s="272" t="s">
        <v>1138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1595</v>
      </c>
      <c r="E1130" s="272" t="s">
        <v>1138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1160</v>
      </c>
      <c r="E1131" s="272" t="s">
        <v>1138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1491</v>
      </c>
      <c r="E1132" s="272" t="s">
        <v>2219</v>
      </c>
      <c r="F1132" s="272" t="s">
        <v>1222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3232</v>
      </c>
      <c r="E1133" s="272" t="s">
        <v>1220</v>
      </c>
      <c r="F1133" s="272" t="s">
        <v>1219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1965</v>
      </c>
      <c r="E1134" s="272" t="s">
        <v>2212</v>
      </c>
      <c r="F1134" s="272" t="s">
        <v>1216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1965</v>
      </c>
      <c r="E1135" s="272" t="s">
        <v>2213</v>
      </c>
      <c r="F1135" s="272" t="s">
        <v>1823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1417</v>
      </c>
      <c r="E1136" s="272" t="s">
        <v>2212</v>
      </c>
      <c r="F1136" s="272" t="s">
        <v>1216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1417</v>
      </c>
      <c r="E1137" s="272" t="s">
        <v>2213</v>
      </c>
      <c r="F1137" s="272" t="s">
        <v>1823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1559</v>
      </c>
      <c r="E1138" s="272" t="s">
        <v>1138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1965</v>
      </c>
      <c r="E1139" s="272" t="s">
        <v>1138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1491</v>
      </c>
      <c r="E1140" s="272" t="s">
        <v>1138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3232</v>
      </c>
      <c r="E1141" s="272" t="s">
        <v>1138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1740</v>
      </c>
      <c r="E1142" s="272" t="s">
        <v>1734</v>
      </c>
      <c r="F1142" s="272" t="s">
        <v>1733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1347</v>
      </c>
      <c r="E1143" s="272" t="s">
        <v>3250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1491</v>
      </c>
      <c r="E1144" s="272" t="s">
        <v>1138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1829</v>
      </c>
      <c r="E1145" s="272" t="s">
        <v>1138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1825</v>
      </c>
      <c r="E1146" s="272" t="s">
        <v>1138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1491</v>
      </c>
      <c r="E1147" s="272" t="s">
        <v>2212</v>
      </c>
      <c r="F1147" s="272" t="s">
        <v>1216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1491</v>
      </c>
      <c r="E1148" s="272" t="s">
        <v>2212</v>
      </c>
      <c r="F1148" s="272" t="s">
        <v>1216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2179</v>
      </c>
      <c r="E1149" s="272" t="s">
        <v>1735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1019</v>
      </c>
      <c r="E1150" s="272" t="s">
        <v>1882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1766</v>
      </c>
      <c r="E1151" s="272" t="s">
        <v>1765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1766</v>
      </c>
      <c r="E1152" s="272" t="s">
        <v>2222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1766</v>
      </c>
      <c r="E1153" s="272" t="s">
        <v>2223</v>
      </c>
      <c r="F1153" s="272" t="s">
        <v>1815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2176</v>
      </c>
      <c r="E1154" s="272" t="s">
        <v>2943</v>
      </c>
      <c r="F1154" s="272" t="s">
        <v>2846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1485</v>
      </c>
      <c r="E1155" s="272" t="s">
        <v>2226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1614</v>
      </c>
      <c r="E1156" s="272" t="s">
        <v>1220</v>
      </c>
      <c r="F1156" s="272" t="s">
        <v>1221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2460</v>
      </c>
      <c r="E1157" s="272" t="s">
        <v>2468</v>
      </c>
      <c r="F1157" s="272" t="s">
        <v>2844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3255</v>
      </c>
      <c r="E1158" s="272" t="s">
        <v>2228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1417</v>
      </c>
      <c r="E1159" s="272" t="s">
        <v>1218</v>
      </c>
      <c r="F1159" s="272" t="s">
        <v>1771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1417</v>
      </c>
      <c r="E1160" s="272" t="s">
        <v>2219</v>
      </c>
      <c r="F1160" s="272" t="s">
        <v>1222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1417</v>
      </c>
      <c r="E1161" s="272" t="s">
        <v>2223</v>
      </c>
      <c r="F1161" s="272" t="s">
        <v>1815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2001</v>
      </c>
      <c r="E1162" s="272" t="s">
        <v>1218</v>
      </c>
      <c r="F1162" s="272" t="s">
        <v>1771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2001</v>
      </c>
      <c r="E1163" s="272" t="s">
        <v>3256</v>
      </c>
      <c r="F1163" s="272" t="s">
        <v>1771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1572</v>
      </c>
      <c r="E1164" s="272" t="s">
        <v>3257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1572</v>
      </c>
      <c r="E1165" s="272" t="s">
        <v>3258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1572</v>
      </c>
      <c r="E1166" s="272" t="s">
        <v>3259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1462</v>
      </c>
      <c r="E1167" s="272" t="s">
        <v>2212</v>
      </c>
      <c r="F1167" s="272" t="s">
        <v>1216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1462</v>
      </c>
      <c r="E1168" s="272" t="s">
        <v>2213</v>
      </c>
      <c r="F1168" s="272" t="s">
        <v>1823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2001</v>
      </c>
      <c r="E1169" s="272" t="s">
        <v>1138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3255</v>
      </c>
      <c r="E1170" s="272" t="s">
        <v>1138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2179</v>
      </c>
      <c r="E1171" s="272" t="s">
        <v>1138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1491</v>
      </c>
      <c r="E1172" s="272" t="s">
        <v>1138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2460</v>
      </c>
      <c r="E1173" s="272" t="s">
        <v>1138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1512</v>
      </c>
      <c r="E1174" s="272" t="s">
        <v>1218</v>
      </c>
      <c r="F1174" s="272" t="s">
        <v>1771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1030</v>
      </c>
      <c r="E1175" s="272" t="s">
        <v>2142</v>
      </c>
      <c r="F1175" s="272" t="s">
        <v>2649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3261</v>
      </c>
      <c r="E1176" s="272" t="s">
        <v>2212</v>
      </c>
      <c r="F1176" s="272" t="s">
        <v>1216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3261</v>
      </c>
      <c r="E1177" s="272" t="s">
        <v>2213</v>
      </c>
      <c r="F1177" s="272" t="s">
        <v>1823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1160</v>
      </c>
      <c r="E1178" s="272" t="s">
        <v>3274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1829</v>
      </c>
      <c r="E1179" s="272" t="s">
        <v>1514</v>
      </c>
      <c r="F1179" s="272" t="s">
        <v>2765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3283</v>
      </c>
      <c r="E1180" s="272" t="s">
        <v>3284</v>
      </c>
      <c r="F1180" s="272" t="s">
        <v>3285</v>
      </c>
      <c r="G1180" s="267">
        <v>1300000</v>
      </c>
      <c r="H1180" s="272">
        <v>1</v>
      </c>
      <c r="J1180" s="268" t="s">
        <v>3286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2176</v>
      </c>
      <c r="E1181" s="272" t="s">
        <v>2228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2176</v>
      </c>
      <c r="E1182" s="272" t="s">
        <v>3015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1595</v>
      </c>
      <c r="E1183" s="272" t="s">
        <v>3280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1766</v>
      </c>
      <c r="E1184" s="272" t="s">
        <v>2228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1766</v>
      </c>
      <c r="E1185" s="272" t="s">
        <v>1537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3261</v>
      </c>
      <c r="E1186" s="272" t="s">
        <v>1138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2176</v>
      </c>
      <c r="E1187" s="272" t="s">
        <v>1138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3277</v>
      </c>
      <c r="E1188" s="272" t="s">
        <v>1138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1462</v>
      </c>
      <c r="E1189" s="272" t="s">
        <v>2908</v>
      </c>
      <c r="F1189" s="272" t="s">
        <v>2907</v>
      </c>
      <c r="G1189" s="267">
        <v>250000</v>
      </c>
      <c r="H1189" s="272">
        <v>1</v>
      </c>
      <c r="K1189" s="267">
        <v>250000</v>
      </c>
      <c r="M1189" s="272" t="s">
        <v>3287</v>
      </c>
    </row>
    <row r="1190" spans="1:13" x14ac:dyDescent="0.3">
      <c r="A1190" s="58">
        <v>1188</v>
      </c>
      <c r="B1190" s="265">
        <v>45876</v>
      </c>
      <c r="C1190" s="272" t="s">
        <v>1462</v>
      </c>
      <c r="E1190" s="272" t="s">
        <v>2215</v>
      </c>
      <c r="F1190" s="272" t="s">
        <v>1738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2886</v>
      </c>
      <c r="E1191" s="272" t="s">
        <v>2212</v>
      </c>
      <c r="F1191" s="272" t="s">
        <v>1216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2886</v>
      </c>
      <c r="E1192" s="272" t="s">
        <v>2213</v>
      </c>
      <c r="F1192" s="272" t="s">
        <v>1823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2460</v>
      </c>
      <c r="E1193" s="272" t="s">
        <v>2468</v>
      </c>
      <c r="F1193" s="272" t="s">
        <v>2844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2460</v>
      </c>
      <c r="E1194" s="272" t="s">
        <v>3291</v>
      </c>
      <c r="F1194" s="272" t="s">
        <v>2844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1512</v>
      </c>
      <c r="E1195" s="272" t="s">
        <v>1138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1497</v>
      </c>
      <c r="E1196" s="272" t="s">
        <v>1138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1740</v>
      </c>
      <c r="E1197" s="272" t="s">
        <v>1138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2886</v>
      </c>
      <c r="E1198" s="272" t="s">
        <v>1138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2460</v>
      </c>
      <c r="E1199" s="272" t="s">
        <v>1138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3293</v>
      </c>
      <c r="E1200" s="272" t="s">
        <v>1514</v>
      </c>
      <c r="F1200" s="272" t="s">
        <v>2765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3293</v>
      </c>
      <c r="E1201" s="272" t="s">
        <v>1537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3293</v>
      </c>
      <c r="E1202" s="272" t="s">
        <v>1138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3296</v>
      </c>
      <c r="E1203" s="272" t="s">
        <v>2334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3296</v>
      </c>
      <c r="E1204" s="272" t="s">
        <v>1138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1022</v>
      </c>
      <c r="E1205" s="272" t="s">
        <v>2936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1022</v>
      </c>
      <c r="E1206" s="272" t="s">
        <v>3304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1022</v>
      </c>
      <c r="E1207" s="272" t="s">
        <v>1283</v>
      </c>
      <c r="F1207" s="272" t="s">
        <v>1282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3306</v>
      </c>
      <c r="E1208" s="272" t="s">
        <v>2212</v>
      </c>
      <c r="F1208" s="272" t="s">
        <v>1216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3306</v>
      </c>
      <c r="E1209" s="272" t="s">
        <v>2213</v>
      </c>
      <c r="F1209" s="272" t="s">
        <v>1823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1485</v>
      </c>
      <c r="E1210" s="272" t="s">
        <v>1138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2354</v>
      </c>
      <c r="E1211" s="272" t="s">
        <v>1220</v>
      </c>
      <c r="F1211" s="272" t="s">
        <v>1221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1766</v>
      </c>
      <c r="E1212" s="272" t="s">
        <v>2220</v>
      </c>
      <c r="F1212" s="272" t="s">
        <v>1276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1766</v>
      </c>
      <c r="E1213" s="272" t="s">
        <v>2224</v>
      </c>
      <c r="F1213" s="272" t="s">
        <v>1844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1598</v>
      </c>
      <c r="E1214" s="272" t="s">
        <v>1220</v>
      </c>
      <c r="F1214" s="272" t="s">
        <v>1581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1512</v>
      </c>
      <c r="E1215" s="272" t="s">
        <v>2431</v>
      </c>
      <c r="F1215" s="272" t="s">
        <v>3311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1417</v>
      </c>
      <c r="E1216" s="272" t="s">
        <v>1218</v>
      </c>
      <c r="F1216" s="272" t="s">
        <v>1771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1417</v>
      </c>
      <c r="E1217" s="272" t="s">
        <v>1514</v>
      </c>
      <c r="F1217" s="272" t="s">
        <v>2765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1417</v>
      </c>
      <c r="E1218" s="272" t="s">
        <v>2943</v>
      </c>
      <c r="F1218" s="272" t="s">
        <v>2846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1917</v>
      </c>
      <c r="E1219" s="272" t="s">
        <v>1218</v>
      </c>
      <c r="F1219" s="272" t="s">
        <v>1771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3032</v>
      </c>
      <c r="E1220" s="272" t="s">
        <v>2212</v>
      </c>
      <c r="F1220" s="272" t="s">
        <v>1216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3032</v>
      </c>
      <c r="E1221" s="272" t="s">
        <v>1138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1485</v>
      </c>
      <c r="E1222" s="272" t="s">
        <v>2051</v>
      </c>
      <c r="F1222" s="272" t="s">
        <v>1233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1491</v>
      </c>
      <c r="E1223" s="272" t="s">
        <v>2219</v>
      </c>
      <c r="F1223" s="272" t="s">
        <v>1222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2354</v>
      </c>
      <c r="E1224" s="272" t="s">
        <v>2878</v>
      </c>
      <c r="F1224" s="272" t="s">
        <v>1230</v>
      </c>
      <c r="G1224" s="267">
        <v>1500000</v>
      </c>
      <c r="H1224" s="272">
        <v>1</v>
      </c>
      <c r="K1224" s="267">
        <v>1500000</v>
      </c>
      <c r="M1224" s="272" t="s">
        <v>3320</v>
      </c>
    </row>
    <row r="1225" spans="1:13" x14ac:dyDescent="0.3">
      <c r="A1225" s="58">
        <v>1223</v>
      </c>
      <c r="B1225" s="265">
        <v>45881</v>
      </c>
      <c r="C1225" s="272" t="s">
        <v>3126</v>
      </c>
      <c r="E1225" s="272" t="s">
        <v>2210</v>
      </c>
      <c r="F1225" s="272" t="s">
        <v>1482</v>
      </c>
      <c r="G1225" s="267">
        <v>1500000</v>
      </c>
      <c r="H1225" s="272">
        <v>1</v>
      </c>
      <c r="J1225" s="268">
        <v>150000</v>
      </c>
      <c r="K1225" s="267">
        <v>1650000</v>
      </c>
      <c r="M1225" s="288" t="s">
        <v>3322</v>
      </c>
    </row>
    <row r="1226" spans="1:13" x14ac:dyDescent="0.3">
      <c r="A1226" s="58">
        <v>1224</v>
      </c>
      <c r="B1226" s="265">
        <v>45881</v>
      </c>
      <c r="C1226" s="272" t="s">
        <v>1689</v>
      </c>
      <c r="E1226" s="272" t="s">
        <v>1138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2354</v>
      </c>
      <c r="E1227" s="272" t="s">
        <v>1138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1829</v>
      </c>
      <c r="E1228" s="272" t="s">
        <v>1138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3306</v>
      </c>
      <c r="E1229" s="272" t="s">
        <v>1138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1825</v>
      </c>
      <c r="E1230" s="272" t="s">
        <v>2219</v>
      </c>
      <c r="F1230" s="272" t="s">
        <v>1222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1825</v>
      </c>
      <c r="E1231" s="272" t="s">
        <v>2220</v>
      </c>
      <c r="F1231" s="272" t="s">
        <v>1276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1598</v>
      </c>
      <c r="E1232" s="272" t="s">
        <v>2219</v>
      </c>
      <c r="F1232" s="272" t="s">
        <v>1222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1417</v>
      </c>
      <c r="E1233" s="272" t="s">
        <v>2468</v>
      </c>
      <c r="F1233" s="272" t="s">
        <v>2844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1417</v>
      </c>
      <c r="E1234" s="272" t="s">
        <v>2219</v>
      </c>
      <c r="F1234" s="272" t="s">
        <v>1222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1417</v>
      </c>
      <c r="E1235" s="272" t="s">
        <v>2224</v>
      </c>
      <c r="F1235" s="272" t="s">
        <v>1844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1417</v>
      </c>
      <c r="E1236" s="272" t="s">
        <v>2223</v>
      </c>
      <c r="F1236" s="272" t="s">
        <v>1815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1595</v>
      </c>
      <c r="E1237" s="272" t="s">
        <v>2219</v>
      </c>
      <c r="F1237" s="272" t="s">
        <v>1222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1595</v>
      </c>
      <c r="E1238" s="272" t="s">
        <v>2222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1595</v>
      </c>
      <c r="E1239" s="272" t="s">
        <v>2223</v>
      </c>
      <c r="F1239" s="272" t="s">
        <v>1815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1595</v>
      </c>
      <c r="E1240" s="272" t="s">
        <v>2224</v>
      </c>
      <c r="F1240" s="272" t="s">
        <v>1844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1595</v>
      </c>
      <c r="E1241" s="272" t="s">
        <v>2226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1022</v>
      </c>
      <c r="E1242" s="272" t="s">
        <v>2220</v>
      </c>
      <c r="F1242" s="272" t="s">
        <v>1276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1022</v>
      </c>
      <c r="E1243" s="272" t="s">
        <v>2222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1022</v>
      </c>
      <c r="E1244" s="272" t="s">
        <v>2224</v>
      </c>
      <c r="F1244" s="272" t="s">
        <v>1844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1022</v>
      </c>
      <c r="E1245" s="272" t="s">
        <v>2223</v>
      </c>
      <c r="F1245" s="272" t="s">
        <v>1815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3334</v>
      </c>
      <c r="E1246" s="272" t="s">
        <v>1218</v>
      </c>
      <c r="F1246" s="272" t="s">
        <v>1771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3334</v>
      </c>
      <c r="E1247" s="272" t="s">
        <v>1514</v>
      </c>
      <c r="F1247" s="272" t="s">
        <v>2765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3331</v>
      </c>
      <c r="E1248" s="272" t="s">
        <v>3339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3334</v>
      </c>
      <c r="E1249" s="272" t="s">
        <v>1138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3331</v>
      </c>
      <c r="E1250" s="272" t="s">
        <v>1138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3355</v>
      </c>
      <c r="E1251" s="272" t="s">
        <v>3356</v>
      </c>
      <c r="F1251" s="272" t="s">
        <v>3357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3358</v>
      </c>
    </row>
    <row r="1252" spans="1:13" x14ac:dyDescent="0.3">
      <c r="A1252" s="58">
        <v>1250</v>
      </c>
      <c r="B1252" s="265">
        <v>45883</v>
      </c>
      <c r="C1252" s="272" t="s">
        <v>1512</v>
      </c>
      <c r="E1252" s="272" t="s">
        <v>1138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1497</v>
      </c>
      <c r="E1253" s="272" t="s">
        <v>2219</v>
      </c>
      <c r="F1253" s="272" t="s">
        <v>1222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1497</v>
      </c>
      <c r="E1254" s="272" t="s">
        <v>2220</v>
      </c>
      <c r="F1254" s="272" t="s">
        <v>1276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1497</v>
      </c>
      <c r="E1255" s="272" t="s">
        <v>2224</v>
      </c>
      <c r="F1255" s="272" t="s">
        <v>1844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1598</v>
      </c>
      <c r="E1256" s="272" t="s">
        <v>3344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2212</v>
      </c>
      <c r="F1257" s="272" t="s">
        <v>1216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1030</v>
      </c>
      <c r="E1258" s="272" t="s">
        <v>2219</v>
      </c>
      <c r="F1258" s="272" t="s">
        <v>1222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1245</v>
      </c>
      <c r="E1259" s="272" t="s">
        <v>2218</v>
      </c>
      <c r="F1259" s="272" t="s">
        <v>1215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3347</v>
      </c>
    </row>
    <row r="1260" spans="1:13" x14ac:dyDescent="0.3">
      <c r="A1260" s="58">
        <v>1258</v>
      </c>
      <c r="B1260" s="265">
        <v>45883</v>
      </c>
      <c r="C1260" s="272" t="s">
        <v>3349</v>
      </c>
      <c r="E1260" s="272" t="s">
        <v>1762</v>
      </c>
      <c r="G1260" s="267">
        <v>600000</v>
      </c>
      <c r="H1260" s="272">
        <v>1</v>
      </c>
      <c r="K1260" s="267">
        <v>600000</v>
      </c>
      <c r="M1260" s="272" t="s">
        <v>3350</v>
      </c>
    </row>
    <row r="1261" spans="1:13" x14ac:dyDescent="0.3">
      <c r="A1261" s="58">
        <v>1259</v>
      </c>
      <c r="B1261" s="265">
        <v>45883</v>
      </c>
      <c r="C1261" s="272" t="s">
        <v>2664</v>
      </c>
      <c r="E1261" s="272" t="s">
        <v>2633</v>
      </c>
      <c r="F1261" s="272" t="s">
        <v>2632</v>
      </c>
      <c r="G1261" s="267">
        <v>1000000</v>
      </c>
      <c r="H1261" s="272">
        <v>1</v>
      </c>
      <c r="K1261" s="267">
        <v>1000000</v>
      </c>
    </row>
    <row r="1262" spans="1:13" x14ac:dyDescent="0.3">
      <c r="A1262" s="58">
        <v>1260</v>
      </c>
      <c r="B1262" s="265">
        <v>45883</v>
      </c>
      <c r="C1262" s="272" t="s">
        <v>1022</v>
      </c>
      <c r="E1262" s="272" t="s">
        <v>1138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1245</v>
      </c>
      <c r="E1263" s="272" t="s">
        <v>1138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1138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2460</v>
      </c>
      <c r="E1265" s="272" t="s">
        <v>2766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1917</v>
      </c>
      <c r="E1266" s="272" t="s">
        <v>1138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3371</v>
      </c>
      <c r="E1267" s="272" t="s">
        <v>3372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1417</v>
      </c>
      <c r="E1268" s="272" t="s">
        <v>2724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3361</v>
      </c>
      <c r="E1269" s="272" t="s">
        <v>2334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3361</v>
      </c>
      <c r="E1270" s="272" t="s">
        <v>2943</v>
      </c>
      <c r="F1270" s="272" t="s">
        <v>2846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1740</v>
      </c>
      <c r="E1271" s="272" t="s">
        <v>2219</v>
      </c>
      <c r="F1271" s="272" t="s">
        <v>1222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1740</v>
      </c>
      <c r="E1272" s="272" t="s">
        <v>2220</v>
      </c>
      <c r="F1272" s="272" t="s">
        <v>1276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3349</v>
      </c>
      <c r="E1273" s="272" t="s">
        <v>1138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2460</v>
      </c>
      <c r="E1274" s="272" t="s">
        <v>1138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1467</v>
      </c>
      <c r="E1275" s="272" t="s">
        <v>1138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1417</v>
      </c>
      <c r="E1276" s="272" t="s">
        <v>1762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1497</v>
      </c>
      <c r="E1277" s="272" t="s">
        <v>2219</v>
      </c>
      <c r="F1277" s="272" t="s">
        <v>1222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1497</v>
      </c>
      <c r="E1278" s="272" t="s">
        <v>2220</v>
      </c>
      <c r="F1278" s="272" t="s">
        <v>1276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1497</v>
      </c>
      <c r="E1279" s="272" t="s">
        <v>2224</v>
      </c>
      <c r="F1279" s="272" t="s">
        <v>1844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1497</v>
      </c>
      <c r="E1280" s="272" t="s">
        <v>2223</v>
      </c>
      <c r="F1280" s="272" t="s">
        <v>1815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1497</v>
      </c>
      <c r="E1281" s="272" t="s">
        <v>1218</v>
      </c>
      <c r="F1281" s="272" t="s">
        <v>1771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1497</v>
      </c>
      <c r="E1282" s="272" t="s">
        <v>1514</v>
      </c>
      <c r="F1282" s="272" t="s">
        <v>2765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1462</v>
      </c>
      <c r="E1283" s="272" t="s">
        <v>2228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1462</v>
      </c>
      <c r="E1284" s="272" t="s">
        <v>2082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1485</v>
      </c>
      <c r="E1285" s="272" t="s">
        <v>3376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1485</v>
      </c>
      <c r="E1286" s="272" t="s">
        <v>3376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3377</v>
      </c>
    </row>
    <row r="1287" spans="1:13" x14ac:dyDescent="0.3">
      <c r="A1287" s="58">
        <v>1285</v>
      </c>
      <c r="B1287" s="265">
        <v>45887</v>
      </c>
      <c r="C1287" s="272" t="s">
        <v>3388</v>
      </c>
      <c r="E1287" s="272" t="s">
        <v>3389</v>
      </c>
      <c r="F1287" s="272" t="s">
        <v>3390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2001</v>
      </c>
      <c r="E1288" s="272" t="s">
        <v>2212</v>
      </c>
      <c r="F1288" s="272" t="s">
        <v>1216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3381</v>
      </c>
    </row>
    <row r="1289" spans="1:13" x14ac:dyDescent="0.3">
      <c r="A1289" s="58">
        <v>1287</v>
      </c>
      <c r="B1289" s="265">
        <v>45887</v>
      </c>
      <c r="C1289" s="272" t="s">
        <v>3398</v>
      </c>
      <c r="E1289" s="272" t="s">
        <v>3399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1616</v>
      </c>
      <c r="E1290" s="272" t="s">
        <v>2212</v>
      </c>
      <c r="F1290" s="272" t="s">
        <v>1216</v>
      </c>
      <c r="G1290" s="267">
        <v>1500000</v>
      </c>
      <c r="H1290" s="272">
        <v>1</v>
      </c>
      <c r="K1290" s="267">
        <v>1500000</v>
      </c>
      <c r="M1290" s="272" t="s">
        <v>3383</v>
      </c>
    </row>
    <row r="1291" spans="1:13" x14ac:dyDescent="0.3">
      <c r="A1291" s="58">
        <v>1289</v>
      </c>
      <c r="B1291" s="265">
        <v>45887</v>
      </c>
      <c r="C1291" s="272" t="s">
        <v>2001</v>
      </c>
      <c r="E1291" s="272" t="s">
        <v>1138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1472</v>
      </c>
      <c r="E1292" s="272" t="s">
        <v>2212</v>
      </c>
      <c r="F1292" s="272" t="s">
        <v>1216</v>
      </c>
      <c r="G1292" s="267">
        <v>1550000</v>
      </c>
      <c r="H1292" s="272">
        <v>1</v>
      </c>
      <c r="K1292" s="267">
        <v>1550000</v>
      </c>
      <c r="M1292" s="272" t="s">
        <v>3385</v>
      </c>
    </row>
    <row r="1293" spans="1:13" x14ac:dyDescent="0.3">
      <c r="A1293" s="58">
        <v>1291</v>
      </c>
      <c r="B1293" s="265">
        <v>45887</v>
      </c>
      <c r="C1293" s="272" t="s">
        <v>3361</v>
      </c>
      <c r="E1293" s="272" t="s">
        <v>1138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1467</v>
      </c>
      <c r="E1294" s="272" t="s">
        <v>1138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1595</v>
      </c>
      <c r="E1295" s="272" t="s">
        <v>2950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1595</v>
      </c>
      <c r="E1296" s="272" t="s">
        <v>2878</v>
      </c>
      <c r="F1296" s="272" t="s">
        <v>1230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3391</v>
      </c>
    </row>
    <row r="1297" spans="1:13" x14ac:dyDescent="0.3">
      <c r="A1297" s="58">
        <v>1295</v>
      </c>
      <c r="B1297" s="265">
        <v>45888</v>
      </c>
      <c r="C1297" s="272" t="s">
        <v>1595</v>
      </c>
      <c r="E1297" s="272" t="s">
        <v>1537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1417</v>
      </c>
      <c r="E1298" s="272" t="s">
        <v>2051</v>
      </c>
      <c r="F1298" s="272" t="s">
        <v>1233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1491</v>
      </c>
      <c r="E1299" s="272" t="s">
        <v>2325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1616</v>
      </c>
      <c r="E1300" s="272" t="s">
        <v>1218</v>
      </c>
      <c r="F1300" s="272" t="s">
        <v>1771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1417</v>
      </c>
      <c r="E1301" s="272" t="s">
        <v>1762</v>
      </c>
      <c r="G1301" s="267">
        <v>650000</v>
      </c>
      <c r="H1301" s="272">
        <v>1</v>
      </c>
      <c r="K1301" s="267">
        <v>650000</v>
      </c>
      <c r="M1301" s="272" t="s">
        <v>3396</v>
      </c>
    </row>
    <row r="1302" spans="1:13" x14ac:dyDescent="0.3">
      <c r="A1302" s="58">
        <v>1300</v>
      </c>
      <c r="B1302" s="265">
        <v>45888</v>
      </c>
      <c r="C1302" s="272" t="s">
        <v>1616</v>
      </c>
      <c r="E1302" s="272" t="s">
        <v>1138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2677</v>
      </c>
      <c r="E1303" s="272" t="s">
        <v>1138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1030</v>
      </c>
      <c r="E1304" s="272" t="s">
        <v>2218</v>
      </c>
      <c r="F1304" s="272" t="s">
        <v>1215</v>
      </c>
      <c r="G1304" s="267">
        <v>1400000</v>
      </c>
      <c r="H1304" s="272">
        <v>1</v>
      </c>
      <c r="K1304" s="267">
        <v>1400000</v>
      </c>
      <c r="M1304" s="272" t="s">
        <v>3400</v>
      </c>
    </row>
    <row r="1305" spans="1:13" x14ac:dyDescent="0.3">
      <c r="A1305" s="58">
        <v>1303</v>
      </c>
      <c r="B1305" s="265">
        <v>45889</v>
      </c>
      <c r="C1305" s="272" t="s">
        <v>1559</v>
      </c>
      <c r="E1305" s="272" t="s">
        <v>1762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1050</v>
      </c>
      <c r="E1306" s="272" t="s">
        <v>2212</v>
      </c>
      <c r="F1306" s="272" t="s">
        <v>1216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1050</v>
      </c>
      <c r="E1307" s="272" t="s">
        <v>2213</v>
      </c>
      <c r="F1307" s="272" t="s">
        <v>1823</v>
      </c>
      <c r="G1307" s="267">
        <v>50000</v>
      </c>
      <c r="H1307" s="272">
        <v>1</v>
      </c>
      <c r="K1307" s="267">
        <v>50000</v>
      </c>
      <c r="M1307" s="272" t="s">
        <v>3404</v>
      </c>
    </row>
    <row r="1308" spans="1:13" x14ac:dyDescent="0.3">
      <c r="A1308" s="58">
        <v>1306</v>
      </c>
      <c r="B1308" s="265">
        <v>45889</v>
      </c>
      <c r="C1308" s="272" t="s">
        <v>2623</v>
      </c>
      <c r="E1308" s="272" t="s">
        <v>1762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2296</v>
      </c>
      <c r="E1309" s="272" t="s">
        <v>1218</v>
      </c>
      <c r="F1309" s="272" t="s">
        <v>1771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2413</v>
      </c>
      <c r="E1310" s="272" t="s">
        <v>3407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1396</v>
      </c>
      <c r="E1311" s="272" t="s">
        <v>1735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3032</v>
      </c>
      <c r="E1312" s="272" t="s">
        <v>2325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1598</v>
      </c>
      <c r="E1313" s="272" t="s">
        <v>1763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1598</v>
      </c>
      <c r="E1314" s="272" t="s">
        <v>1283</v>
      </c>
      <c r="F1314" s="272" t="s">
        <v>1282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2623</v>
      </c>
      <c r="E1315" s="272" t="s">
        <v>2210</v>
      </c>
      <c r="F1315" s="272" t="s">
        <v>1482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1740</v>
      </c>
      <c r="E1316" s="272" t="s">
        <v>1220</v>
      </c>
      <c r="F1316" s="272" t="s">
        <v>1221</v>
      </c>
      <c r="G1316" s="267">
        <v>1200000</v>
      </c>
      <c r="H1316" s="272">
        <v>1</v>
      </c>
      <c r="K1316" s="267">
        <v>1200000</v>
      </c>
      <c r="M1316" s="272" t="s">
        <v>3413</v>
      </c>
    </row>
    <row r="1317" spans="1:13" x14ac:dyDescent="0.3">
      <c r="A1317" s="58">
        <v>1315</v>
      </c>
      <c r="B1317" s="265">
        <v>45890</v>
      </c>
      <c r="C1317" s="272" t="s">
        <v>1417</v>
      </c>
      <c r="E1317" s="272" t="s">
        <v>2212</v>
      </c>
      <c r="F1317" s="272" t="s">
        <v>1216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1417</v>
      </c>
      <c r="E1318" s="272" t="s">
        <v>3415</v>
      </c>
      <c r="H1318" s="272">
        <v>1</v>
      </c>
      <c r="L1318" s="267">
        <v>-600000</v>
      </c>
      <c r="M1318" s="272" t="s">
        <v>3416</v>
      </c>
    </row>
    <row r="1319" spans="1:13" x14ac:dyDescent="0.3">
      <c r="A1319" s="58">
        <v>1317</v>
      </c>
      <c r="B1319" s="265">
        <v>45890</v>
      </c>
      <c r="C1319" s="272" t="s">
        <v>1417</v>
      </c>
      <c r="E1319" s="272" t="s">
        <v>2213</v>
      </c>
      <c r="F1319" s="272" t="s">
        <v>1823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3261</v>
      </c>
      <c r="E1320" s="272" t="s">
        <v>2468</v>
      </c>
      <c r="F1320" s="272" t="s">
        <v>2844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3032</v>
      </c>
      <c r="E1321" s="272" t="s">
        <v>1138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3261</v>
      </c>
      <c r="E1322" s="272" t="s">
        <v>1138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2296</v>
      </c>
      <c r="E1323" s="272" t="s">
        <v>1138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2623</v>
      </c>
      <c r="E1324" s="272" t="s">
        <v>1138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1472</v>
      </c>
      <c r="E1325" s="272" t="s">
        <v>1138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2962</v>
      </c>
      <c r="E1326" s="272" t="s">
        <v>2917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1832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1832</v>
      </c>
      <c r="E1328" s="272" t="s">
        <v>2219</v>
      </c>
      <c r="F1328" s="272" t="s">
        <v>1222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3422</v>
      </c>
    </row>
    <row r="1329" spans="1:13" x14ac:dyDescent="0.3">
      <c r="A1329" s="58">
        <v>1327</v>
      </c>
      <c r="B1329" s="265">
        <v>45891</v>
      </c>
      <c r="C1329" s="272" t="s">
        <v>3424</v>
      </c>
      <c r="E1329" s="272" t="s">
        <v>3427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3437</v>
      </c>
      <c r="E1330" s="272" t="s">
        <v>3438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3430</v>
      </c>
      <c r="E1331" s="272" t="s">
        <v>3434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3435</v>
      </c>
    </row>
    <row r="1332" spans="1:13" x14ac:dyDescent="0.3">
      <c r="A1332" s="58">
        <v>1330</v>
      </c>
      <c r="B1332" s="265">
        <v>45891</v>
      </c>
      <c r="C1332" s="272" t="s">
        <v>3424</v>
      </c>
      <c r="E1332" s="272" t="s">
        <v>1138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3430</v>
      </c>
      <c r="E1333" s="272" t="s">
        <v>1138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2962</v>
      </c>
      <c r="E1334" s="272" t="s">
        <v>1138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2623</v>
      </c>
      <c r="E1335" s="272" t="s">
        <v>1138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1011</v>
      </c>
      <c r="E1336" s="272" t="s">
        <v>1735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2677</v>
      </c>
      <c r="E1337" s="272" t="s">
        <v>1765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1396</v>
      </c>
      <c r="E1338" s="272" t="s">
        <v>1765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1030</v>
      </c>
      <c r="E1339" s="272" t="s">
        <v>1138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1011</v>
      </c>
      <c r="E1340" s="272" t="s">
        <v>1138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1417</v>
      </c>
      <c r="E1341" s="272" t="s">
        <v>1763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1417</v>
      </c>
      <c r="E1342" s="272" t="s">
        <v>1218</v>
      </c>
      <c r="F1342" s="272" t="s">
        <v>1771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1417</v>
      </c>
      <c r="E1343" s="272" t="s">
        <v>2943</v>
      </c>
      <c r="F1343" s="272" t="s">
        <v>2846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1417</v>
      </c>
      <c r="E1344" s="272" t="s">
        <v>2219</v>
      </c>
      <c r="F1344" s="272" t="s">
        <v>1222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1417</v>
      </c>
      <c r="E1345" s="272" t="s">
        <v>2220</v>
      </c>
      <c r="F1345" s="272" t="s">
        <v>1276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1417</v>
      </c>
      <c r="E1346" s="272" t="s">
        <v>2223</v>
      </c>
      <c r="F1346" s="272" t="s">
        <v>1815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1417</v>
      </c>
      <c r="E1347" s="272" t="s">
        <v>2224</v>
      </c>
      <c r="F1347" s="272" t="s">
        <v>1844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1825</v>
      </c>
      <c r="E1348" s="272" t="s">
        <v>2219</v>
      </c>
      <c r="F1348" s="272" t="s">
        <v>1222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1825</v>
      </c>
      <c r="E1349" s="272" t="s">
        <v>2220</v>
      </c>
      <c r="F1349" s="272" t="s">
        <v>1276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1825</v>
      </c>
      <c r="E1350" s="272" t="s">
        <v>2223</v>
      </c>
      <c r="F1350" s="272" t="s">
        <v>1815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1825</v>
      </c>
      <c r="E1351" s="272" t="s">
        <v>2224</v>
      </c>
      <c r="F1351" s="272" t="s">
        <v>1844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3261</v>
      </c>
      <c r="E1352" s="272" t="s">
        <v>3449</v>
      </c>
      <c r="F1352" s="272" t="s">
        <v>3450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3032</v>
      </c>
      <c r="E1353" s="272" t="s">
        <v>2167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1595</v>
      </c>
      <c r="E1354" s="272" t="s">
        <v>3038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2327</v>
      </c>
      <c r="E1355" s="272" t="s">
        <v>2363</v>
      </c>
      <c r="F1355" s="272" t="s">
        <v>2362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2623</v>
      </c>
      <c r="E1356" s="272" t="s">
        <v>2051</v>
      </c>
      <c r="F1356" s="272" t="s">
        <v>1233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2623</v>
      </c>
      <c r="E1357" s="272" t="s">
        <v>1759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3457</v>
      </c>
      <c r="E1358" s="272" t="s">
        <v>2212</v>
      </c>
      <c r="F1358" s="272" t="s">
        <v>1216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3457</v>
      </c>
      <c r="E1359" s="272" t="s">
        <v>2212</v>
      </c>
      <c r="F1359" s="272" t="s">
        <v>1216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1762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2460</v>
      </c>
      <c r="E1361" s="272" t="s">
        <v>3464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2341</v>
      </c>
      <c r="E1362" s="272" t="s">
        <v>2334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1595</v>
      </c>
      <c r="E1363" s="272" t="s">
        <v>2219</v>
      </c>
      <c r="F1363" s="272" t="s">
        <v>1222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3474</v>
      </c>
      <c r="E1364" s="272" t="s">
        <v>3473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1595</v>
      </c>
      <c r="E1365" s="272" t="s">
        <v>2223</v>
      </c>
      <c r="F1365" s="272" t="s">
        <v>1815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1595</v>
      </c>
      <c r="E1366" s="272" t="s">
        <v>2224</v>
      </c>
      <c r="F1366" s="272" t="s">
        <v>1844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1595</v>
      </c>
      <c r="E1367" s="272" t="s">
        <v>2226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1595</v>
      </c>
      <c r="E1368" s="272" t="s">
        <v>2219</v>
      </c>
      <c r="F1368" s="272" t="s">
        <v>1222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1595</v>
      </c>
      <c r="E1369" s="272" t="s">
        <v>2222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1595</v>
      </c>
      <c r="E1370" s="272" t="s">
        <v>2223</v>
      </c>
      <c r="F1370" s="272" t="s">
        <v>1815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1595</v>
      </c>
      <c r="E1371" s="272" t="s">
        <v>2224</v>
      </c>
      <c r="F1371" s="272" t="s">
        <v>1844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1595</v>
      </c>
      <c r="E1372" s="272" t="s">
        <v>2226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1019</v>
      </c>
      <c r="E1373" s="272" t="s">
        <v>2219</v>
      </c>
      <c r="F1373" s="272" t="s">
        <v>1222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3472</v>
      </c>
      <c r="E1374" s="272" t="s">
        <v>3473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1462</v>
      </c>
      <c r="E1375" s="272" t="s">
        <v>3470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1462</v>
      </c>
      <c r="E1376" s="272" t="s">
        <v>3471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1598</v>
      </c>
      <c r="E1377" s="272" t="s">
        <v>1138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2460</v>
      </c>
      <c r="E1378" s="272" t="s">
        <v>1138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1138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2327</v>
      </c>
      <c r="E1380" s="272" t="s">
        <v>1138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3032</v>
      </c>
      <c r="E1381" s="272" t="s">
        <v>1138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3457</v>
      </c>
      <c r="E1382" s="272" t="s">
        <v>1138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1559</v>
      </c>
      <c r="E1383" s="272" t="s">
        <v>1942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1487</v>
      </c>
      <c r="E1384" s="272" t="s">
        <v>1939</v>
      </c>
      <c r="F1384" s="272" t="s">
        <v>2080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1019</v>
      </c>
      <c r="E1385" s="272" t="s">
        <v>2218</v>
      </c>
      <c r="F1385" s="272" t="s">
        <v>1215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1598</v>
      </c>
      <c r="E1386" s="272" t="s">
        <v>3481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1462</v>
      </c>
      <c r="E1387" s="272" t="s">
        <v>2219</v>
      </c>
      <c r="F1387" s="272" t="s">
        <v>1222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1462</v>
      </c>
      <c r="E1388" s="272" t="s">
        <v>2222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1462</v>
      </c>
      <c r="E1389" s="272" t="s">
        <v>2223</v>
      </c>
      <c r="F1389" s="272" t="s">
        <v>1815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1462</v>
      </c>
      <c r="E1390" s="272" t="s">
        <v>1735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2962</v>
      </c>
      <c r="E1391" s="272" t="s">
        <v>3485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2962</v>
      </c>
      <c r="E1392" s="272" t="s">
        <v>1537</v>
      </c>
      <c r="G1392" s="267">
        <v>25000</v>
      </c>
      <c r="H1392" s="272">
        <v>1</v>
      </c>
      <c r="K1392" s="267">
        <v>25000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70"/>
  <sheetViews>
    <sheetView tabSelected="1"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45895</v>
      </c>
      <c r="B3" s="235" t="s">
        <v>1139</v>
      </c>
      <c r="C3" s="290">
        <f>SUMIF($B:$B,A3,I:I)</f>
        <v>7895000</v>
      </c>
      <c r="D3" s="237" t="s">
        <v>1137</v>
      </c>
      <c r="E3" s="236">
        <f ca="1">SUMIF($B:$B,TODAY(),E:E)</f>
        <v>0</v>
      </c>
      <c r="F3" s="247" t="s">
        <v>2584</v>
      </c>
      <c r="G3" s="236">
        <f>SUMIF($D:$D,"*schaeffler*",I:I)</f>
        <v>495000</v>
      </c>
      <c r="H3" s="239"/>
      <c r="I3" s="240"/>
      <c r="J3" s="69"/>
      <c r="K3" s="67"/>
    </row>
    <row r="4" spans="1:16" ht="15.95" customHeight="1" x14ac:dyDescent="0.3">
      <c r="A4" s="241">
        <f>MONTH(A3)</f>
        <v>8</v>
      </c>
      <c r="B4" s="235" t="s">
        <v>1140</v>
      </c>
      <c r="C4" s="236">
        <f>SUMIFS($I:$I,$B:$B,"&gt;="&amp;DATE(A5,A4,1),$B:$B,"&lt;="&amp;EOMONTH(DATE(A5,A4,1),0))</f>
        <v>135117701</v>
      </c>
      <c r="D4" s="238"/>
      <c r="E4" s="242"/>
      <c r="F4" s="247" t="s">
        <v>2585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1141</v>
      </c>
      <c r="C5" s="236">
        <f>SUMIFS($I:$I,$B:$B,"&gt;="&amp;DATE(A5,A4,1),$B:$B,"&lt;="&amp;EOMONTH(DATE(A5,A4,1),0))</f>
        <v>135117701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2" t="s">
        <v>1138</v>
      </c>
      <c r="E9" s="79"/>
      <c r="F9" s="224"/>
      <c r="H9" s="128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2" t="s">
        <v>1138</v>
      </c>
      <c r="E10" s="79"/>
      <c r="F10" s="224"/>
      <c r="H10" s="128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2" t="s">
        <v>2219</v>
      </c>
      <c r="E11" s="79"/>
      <c r="F11" s="224">
        <v>500000</v>
      </c>
      <c r="G11" s="85">
        <v>1</v>
      </c>
      <c r="H11" s="128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3232</v>
      </c>
      <c r="D12" s="112" t="s">
        <v>1220</v>
      </c>
      <c r="E12" s="79"/>
      <c r="F12" s="224">
        <v>1250000</v>
      </c>
      <c r="G12" s="85">
        <v>1</v>
      </c>
      <c r="H12" s="128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2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2" t="s">
        <v>2213</v>
      </c>
      <c r="E14" s="79"/>
      <c r="F14" s="224">
        <v>50000</v>
      </c>
      <c r="G14" s="85">
        <v>1</v>
      </c>
      <c r="H14" s="128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2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3" t="s">
        <v>2213</v>
      </c>
      <c r="F16" s="120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2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2" t="s">
        <v>1138</v>
      </c>
      <c r="E18" s="79"/>
      <c r="F18" s="224"/>
      <c r="G18" s="85"/>
      <c r="H18" s="128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2" t="s">
        <v>1138</v>
      </c>
      <c r="E19" s="78"/>
      <c r="F19" s="80"/>
      <c r="G19" s="85"/>
      <c r="H19" s="126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3232</v>
      </c>
      <c r="D20" s="112" t="s">
        <v>1138</v>
      </c>
      <c r="E20" s="79"/>
      <c r="F20" s="224"/>
      <c r="G20" s="85"/>
      <c r="H20" s="128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2" t="s">
        <v>1765</v>
      </c>
      <c r="E21" s="79"/>
      <c r="F21" s="224"/>
      <c r="G21" s="85"/>
      <c r="H21" s="128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2" t="s">
        <v>1138</v>
      </c>
      <c r="E22" s="78"/>
      <c r="F22" s="80"/>
      <c r="G22" s="85"/>
      <c r="H22" s="126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2" t="s">
        <v>1138</v>
      </c>
      <c r="E23" s="78"/>
      <c r="F23" s="80"/>
      <c r="G23" s="85"/>
      <c r="H23" s="126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2" t="s">
        <v>1138</v>
      </c>
      <c r="E24" s="78"/>
      <c r="F24" s="80"/>
      <c r="G24" s="85"/>
      <c r="H24" s="126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2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2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2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2" t="s">
        <v>1882</v>
      </c>
      <c r="E28" s="78"/>
      <c r="F28" s="80">
        <v>1100000</v>
      </c>
      <c r="G28" s="85">
        <v>1</v>
      </c>
      <c r="H28" s="126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2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2" t="s">
        <v>2222</v>
      </c>
      <c r="E30" s="78"/>
      <c r="F30" s="80">
        <v>75000</v>
      </c>
      <c r="G30" s="85">
        <v>2</v>
      </c>
      <c r="H30" s="126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2" t="s">
        <v>2223</v>
      </c>
      <c r="E31" s="78"/>
      <c r="F31" s="80">
        <v>35000</v>
      </c>
      <c r="G31" s="85">
        <v>1</v>
      </c>
      <c r="H31" s="126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2" t="s">
        <v>2943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2" t="s">
        <v>2226</v>
      </c>
      <c r="E33" s="79"/>
      <c r="F33" s="224">
        <v>600000</v>
      </c>
      <c r="G33" s="85">
        <v>1</v>
      </c>
      <c r="H33" s="128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3" t="s">
        <v>1220</v>
      </c>
      <c r="F34" s="120">
        <v>1200000</v>
      </c>
      <c r="G34" s="85">
        <v>1</v>
      </c>
      <c r="H34" s="126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2460</v>
      </c>
      <c r="D35" s="113" t="s">
        <v>2468</v>
      </c>
      <c r="F35" s="120">
        <v>1100000</v>
      </c>
      <c r="G35" s="85">
        <v>1</v>
      </c>
      <c r="H35" s="126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3255</v>
      </c>
      <c r="D36" s="113" t="s">
        <v>2228</v>
      </c>
      <c r="F36" s="120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3" t="s">
        <v>1218</v>
      </c>
      <c r="F37" s="120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3" t="s">
        <v>2219</v>
      </c>
      <c r="F38" s="120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3" t="s">
        <v>2223</v>
      </c>
      <c r="F39" s="120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3" t="s">
        <v>1218</v>
      </c>
      <c r="F40" s="120">
        <v>1200000</v>
      </c>
      <c r="G40" s="85">
        <v>1</v>
      </c>
      <c r="H40" s="126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3" t="s">
        <v>3323</v>
      </c>
      <c r="F41" s="120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2" t="s">
        <v>3257</v>
      </c>
      <c r="E42" s="78"/>
      <c r="F42" s="80">
        <v>1200000</v>
      </c>
      <c r="G42" s="85">
        <v>1</v>
      </c>
      <c r="H42" s="126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2" t="s">
        <v>3258</v>
      </c>
      <c r="E43" s="79"/>
      <c r="F43" s="224">
        <v>50000</v>
      </c>
      <c r="G43" s="85">
        <v>1</v>
      </c>
      <c r="H43" s="128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2" t="s">
        <v>3259</v>
      </c>
      <c r="E44" s="78"/>
      <c r="F44" s="80">
        <v>20000</v>
      </c>
      <c r="G44" s="85">
        <v>1</v>
      </c>
      <c r="H44" s="126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2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2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3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3255</v>
      </c>
      <c r="D48" s="113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3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3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2460</v>
      </c>
      <c r="D51" s="113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3" t="s">
        <v>1218</v>
      </c>
      <c r="F52" s="120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3" t="s">
        <v>2142</v>
      </c>
      <c r="F53" s="120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3261</v>
      </c>
      <c r="D54" s="113" t="s">
        <v>2212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3261</v>
      </c>
      <c r="D55" s="113" t="s">
        <v>2213</v>
      </c>
      <c r="F55" s="120">
        <v>50000</v>
      </c>
      <c r="G55" s="85">
        <v>1</v>
      </c>
      <c r="H55" s="126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3" t="s">
        <v>3274</v>
      </c>
      <c r="F56" s="120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3" t="s">
        <v>1514</v>
      </c>
      <c r="F57" s="120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3277</v>
      </c>
      <c r="D58" s="113" t="s">
        <v>1220</v>
      </c>
      <c r="F58" s="120">
        <v>1300000</v>
      </c>
      <c r="G58" s="85">
        <v>1</v>
      </c>
      <c r="H58" s="126" t="s">
        <v>3286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3" t="s">
        <v>2228</v>
      </c>
      <c r="F59" s="120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3" t="s">
        <v>3015</v>
      </c>
      <c r="F60" s="120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3" t="s">
        <v>3280</v>
      </c>
      <c r="F61" s="120">
        <v>250000</v>
      </c>
      <c r="G61" s="85">
        <v>1</v>
      </c>
      <c r="H61" s="126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3" t="s">
        <v>2228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3" t="s">
        <v>1537</v>
      </c>
      <c r="F63" s="120">
        <v>20000</v>
      </c>
      <c r="G63" s="85">
        <v>1</v>
      </c>
      <c r="H63" s="126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3261</v>
      </c>
      <c r="D64" s="113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3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3277</v>
      </c>
      <c r="D66" s="113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3" t="s">
        <v>2908</v>
      </c>
      <c r="F67" s="120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3" t="s">
        <v>2215</v>
      </c>
      <c r="F68" s="120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2886</v>
      </c>
      <c r="D69" s="113" t="s">
        <v>2212</v>
      </c>
      <c r="F69" s="120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2886</v>
      </c>
      <c r="D70" s="113" t="s">
        <v>2213</v>
      </c>
      <c r="F70" s="120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2460</v>
      </c>
      <c r="D71" s="113" t="s">
        <v>2468</v>
      </c>
      <c r="F71" s="120">
        <v>1100000</v>
      </c>
      <c r="G71" s="85">
        <v>1</v>
      </c>
      <c r="H71" s="126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2460</v>
      </c>
      <c r="D72" s="113" t="s">
        <v>3324</v>
      </c>
      <c r="F72" s="120">
        <v>200000</v>
      </c>
      <c r="G72" s="85">
        <v>1</v>
      </c>
      <c r="H72" s="126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3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3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3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2886</v>
      </c>
      <c r="D76" s="113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2460</v>
      </c>
      <c r="D77" s="113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3293</v>
      </c>
      <c r="D78" s="113" t="s">
        <v>1514</v>
      </c>
      <c r="F78" s="120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3293</v>
      </c>
      <c r="D79" s="113" t="s">
        <v>1537</v>
      </c>
      <c r="F79" s="120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3293</v>
      </c>
      <c r="D80" s="113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3296</v>
      </c>
      <c r="D81" s="113" t="s">
        <v>2334</v>
      </c>
      <c r="F81" s="120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3296</v>
      </c>
      <c r="D82" s="113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3" t="s">
        <v>2936</v>
      </c>
      <c r="F83" s="120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3" t="s">
        <v>3304</v>
      </c>
      <c r="F84" s="120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3" t="s">
        <v>1283</v>
      </c>
      <c r="F85" s="120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3306</v>
      </c>
      <c r="D86" s="113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3306</v>
      </c>
      <c r="D87" s="113" t="s">
        <v>2213</v>
      </c>
      <c r="F87" s="120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3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3" t="s">
        <v>1220</v>
      </c>
      <c r="F89" s="120">
        <v>1200000</v>
      </c>
      <c r="G89" s="85">
        <v>1</v>
      </c>
      <c r="H89" s="126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3" t="s">
        <v>2220</v>
      </c>
      <c r="F90" s="80">
        <v>130000</v>
      </c>
      <c r="G90" s="85">
        <v>1</v>
      </c>
      <c r="H90" s="126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3" t="s">
        <v>2224</v>
      </c>
      <c r="F91" s="120">
        <v>10000</v>
      </c>
      <c r="G91" s="85">
        <v>1</v>
      </c>
      <c r="H91" s="126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3" t="s">
        <v>1220</v>
      </c>
      <c r="F92" s="80">
        <v>1200000</v>
      </c>
      <c r="G92" s="120">
        <v>1</v>
      </c>
      <c r="H92" s="126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3" t="s">
        <v>2431</v>
      </c>
      <c r="F93" s="80">
        <v>1550000</v>
      </c>
      <c r="G93" s="120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3" t="s">
        <v>1218</v>
      </c>
      <c r="F94" s="80">
        <v>1200000</v>
      </c>
      <c r="G94" s="120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3" t="s">
        <v>1514</v>
      </c>
      <c r="F95" s="80">
        <v>350000</v>
      </c>
      <c r="G95" s="120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3" t="s">
        <v>2943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3" t="s">
        <v>1218</v>
      </c>
      <c r="F97" s="80">
        <v>1300000</v>
      </c>
      <c r="G97" s="120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3032</v>
      </c>
      <c r="D98" s="113" t="s">
        <v>2212</v>
      </c>
      <c r="F98" s="80">
        <v>1500000</v>
      </c>
      <c r="G98" s="120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3032</v>
      </c>
      <c r="D99" s="113" t="s">
        <v>1138</v>
      </c>
      <c r="F99" s="80"/>
      <c r="G99" s="120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3" t="s">
        <v>2051</v>
      </c>
      <c r="F100" s="80">
        <v>1500000</v>
      </c>
      <c r="G100" s="120">
        <v>1</v>
      </c>
      <c r="H100" s="126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3" t="s">
        <v>2219</v>
      </c>
      <c r="F101" s="80">
        <v>500000</v>
      </c>
      <c r="G101" s="120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3" t="s">
        <v>2878</v>
      </c>
      <c r="F102" s="80">
        <v>1500000</v>
      </c>
      <c r="G102" s="120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3126</v>
      </c>
      <c r="D103" s="113" t="s">
        <v>2210</v>
      </c>
      <c r="F103" s="80">
        <v>1500000</v>
      </c>
      <c r="G103" s="120">
        <v>1</v>
      </c>
      <c r="H103" s="126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3" t="s">
        <v>1138</v>
      </c>
      <c r="F104" s="80"/>
      <c r="G104" s="120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3" t="s">
        <v>1138</v>
      </c>
      <c r="F105" s="80"/>
      <c r="G105" s="120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3" t="s">
        <v>1138</v>
      </c>
      <c r="F106" s="80"/>
      <c r="G106" s="120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3306</v>
      </c>
      <c r="D107" s="113" t="s">
        <v>1138</v>
      </c>
      <c r="F107" s="80"/>
      <c r="G107" s="120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3" t="s">
        <v>2219</v>
      </c>
      <c r="F108" s="80">
        <v>526364</v>
      </c>
      <c r="G108" s="120">
        <v>1</v>
      </c>
      <c r="H108" s="126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3" t="s">
        <v>2220</v>
      </c>
      <c r="F109" s="80">
        <v>130000</v>
      </c>
      <c r="G109" s="120">
        <v>1</v>
      </c>
      <c r="H109" s="126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3" t="s">
        <v>2219</v>
      </c>
      <c r="F110" s="80">
        <v>526364</v>
      </c>
      <c r="G110" s="120">
        <v>1</v>
      </c>
      <c r="H110" s="126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3" t="s">
        <v>2468</v>
      </c>
      <c r="F111" s="80">
        <v>1100000</v>
      </c>
      <c r="G111" s="120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3" t="s">
        <v>2219</v>
      </c>
      <c r="F112" s="80">
        <v>510000</v>
      </c>
      <c r="G112" s="120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3" t="s">
        <v>2224</v>
      </c>
      <c r="F113" s="80">
        <v>10000</v>
      </c>
      <c r="G113" s="120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3" t="s">
        <v>2223</v>
      </c>
      <c r="F114" s="80">
        <v>30000</v>
      </c>
      <c r="G114" s="120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3" t="s">
        <v>2219</v>
      </c>
      <c r="F115" s="80">
        <v>526364</v>
      </c>
      <c r="G115" s="120">
        <v>1</v>
      </c>
      <c r="H115" s="126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3" t="s">
        <v>2222</v>
      </c>
      <c r="F116" s="80">
        <v>72727</v>
      </c>
      <c r="G116" s="120">
        <v>1</v>
      </c>
      <c r="H116" s="126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3" t="s">
        <v>2223</v>
      </c>
      <c r="F117" s="80">
        <v>32000</v>
      </c>
      <c r="G117" s="120">
        <v>1</v>
      </c>
      <c r="H117" s="126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3" t="s">
        <v>2224</v>
      </c>
      <c r="F118" s="80">
        <v>10000</v>
      </c>
      <c r="G118" s="120">
        <v>1</v>
      </c>
      <c r="H118" s="126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3" t="s">
        <v>2226</v>
      </c>
      <c r="F119" s="80">
        <v>600000</v>
      </c>
      <c r="G119" s="120">
        <v>1</v>
      </c>
      <c r="H119" s="126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3" t="s">
        <v>2220</v>
      </c>
      <c r="F120" s="80">
        <v>130000</v>
      </c>
      <c r="G120" s="120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3" t="s">
        <v>2222</v>
      </c>
      <c r="F121" s="80">
        <v>80000</v>
      </c>
      <c r="G121" s="120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3" t="s">
        <v>2224</v>
      </c>
      <c r="F122" s="120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3" t="s">
        <v>2223</v>
      </c>
      <c r="F123" s="120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3334</v>
      </c>
      <c r="D124" s="113" t="s">
        <v>1218</v>
      </c>
      <c r="F124" s="120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3334</v>
      </c>
      <c r="D125" s="113" t="s">
        <v>1514</v>
      </c>
      <c r="F125" s="120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3331</v>
      </c>
      <c r="D126" s="113" t="s">
        <v>3339</v>
      </c>
      <c r="F126" s="120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3334</v>
      </c>
      <c r="D127" s="113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3331</v>
      </c>
      <c r="D128" s="113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3" t="s">
        <v>2051</v>
      </c>
      <c r="F129" s="120">
        <v>1500000</v>
      </c>
      <c r="G129" s="85">
        <v>-1</v>
      </c>
      <c r="H129" s="126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3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3" t="s">
        <v>2219</v>
      </c>
      <c r="F131" s="120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3" t="s">
        <v>2220</v>
      </c>
      <c r="F132" s="120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3" t="s">
        <v>2224</v>
      </c>
      <c r="F133" s="120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3" t="s">
        <v>3344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3" t="s">
        <v>2212</v>
      </c>
      <c r="F135" s="120">
        <v>1500000</v>
      </c>
      <c r="G135" s="85">
        <v>1</v>
      </c>
      <c r="H135" s="126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3" t="s">
        <v>2219</v>
      </c>
      <c r="F136" s="120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3" t="s">
        <v>2218</v>
      </c>
      <c r="F137" s="120">
        <v>1000000</v>
      </c>
      <c r="G137" s="85">
        <v>1</v>
      </c>
      <c r="H137" s="126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3349</v>
      </c>
      <c r="D138" s="113" t="s">
        <v>1762</v>
      </c>
      <c r="F138" s="120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2664</v>
      </c>
      <c r="D139" s="113" t="s">
        <v>2633</v>
      </c>
      <c r="F139" s="120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3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3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3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2460</v>
      </c>
      <c r="D143" s="113" t="s">
        <v>2766</v>
      </c>
      <c r="F143" s="120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3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3" t="s">
        <v>1153</v>
      </c>
      <c r="F145" s="120">
        <v>1000000</v>
      </c>
      <c r="G145" s="85">
        <v>1</v>
      </c>
      <c r="H145" s="126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3" t="s">
        <v>2724</v>
      </c>
      <c r="F146" s="120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3361</v>
      </c>
      <c r="D147" s="113" t="s">
        <v>2334</v>
      </c>
      <c r="F147" s="120">
        <v>650000</v>
      </c>
      <c r="G147" s="85">
        <v>1</v>
      </c>
      <c r="H147" s="126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3361</v>
      </c>
      <c r="D148" s="113" t="s">
        <v>2943</v>
      </c>
      <c r="F148" s="120">
        <v>129000</v>
      </c>
      <c r="G148" s="85">
        <v>1</v>
      </c>
      <c r="H148" s="126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3" t="s">
        <v>2219</v>
      </c>
      <c r="F149" s="120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3" t="s">
        <v>2220</v>
      </c>
      <c r="F150" s="120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3349</v>
      </c>
      <c r="D151" s="113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2460</v>
      </c>
      <c r="D152" s="113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3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3" t="s">
        <v>1762</v>
      </c>
      <c r="F154" s="120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3" t="s">
        <v>2219</v>
      </c>
      <c r="F155" s="120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3" t="s">
        <v>2220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3" t="s">
        <v>2224</v>
      </c>
      <c r="F157" s="120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3" t="s">
        <v>2223</v>
      </c>
      <c r="F158" s="120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3" t="s">
        <v>1218</v>
      </c>
      <c r="F159" s="120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3" t="s">
        <v>1514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3" t="s">
        <v>2228</v>
      </c>
      <c r="F161" s="120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3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3" t="s">
        <v>3376</v>
      </c>
      <c r="F163" s="120">
        <v>1100000</v>
      </c>
      <c r="G163" s="85">
        <v>1</v>
      </c>
      <c r="H163" s="126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3" t="s">
        <v>3376</v>
      </c>
      <c r="F164" s="120">
        <v>1100000</v>
      </c>
      <c r="G164" s="85">
        <v>1</v>
      </c>
      <c r="H164" s="126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3" t="s">
        <v>1218</v>
      </c>
      <c r="F165" s="120">
        <v>1200000</v>
      </c>
      <c r="G165" s="85">
        <v>1</v>
      </c>
      <c r="H165" s="126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3" t="s">
        <v>2212</v>
      </c>
      <c r="F166" s="120">
        <v>1500000</v>
      </c>
      <c r="G166" s="85">
        <v>1</v>
      </c>
      <c r="H166" s="126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2677</v>
      </c>
      <c r="D167" s="113" t="s">
        <v>1735</v>
      </c>
      <c r="F167" s="120">
        <v>200000</v>
      </c>
      <c r="G167" s="85">
        <v>1</v>
      </c>
      <c r="H167" s="126">
        <v>20000</v>
      </c>
      <c r="I167" s="80">
        <v>220000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3" t="s">
        <v>2212</v>
      </c>
      <c r="F168" s="120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3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3" t="s">
        <v>2212</v>
      </c>
      <c r="F170" s="120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3361</v>
      </c>
      <c r="D171" s="113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3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3" t="s">
        <v>2950</v>
      </c>
      <c r="F173" s="120">
        <v>13000</v>
      </c>
      <c r="G173" s="85">
        <v>1</v>
      </c>
      <c r="H173" s="126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3" t="s">
        <v>2878</v>
      </c>
      <c r="F174" s="120">
        <v>1600000</v>
      </c>
      <c r="G174" s="85">
        <v>1</v>
      </c>
      <c r="H174" s="126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3" t="s">
        <v>1537</v>
      </c>
      <c r="F175" s="120">
        <v>20000</v>
      </c>
      <c r="G175" s="85">
        <v>1</v>
      </c>
      <c r="H175" s="126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3" t="s">
        <v>2051</v>
      </c>
      <c r="F176" s="120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3" t="s">
        <v>2325</v>
      </c>
      <c r="F177" s="120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3" t="s">
        <v>1218</v>
      </c>
      <c r="F178" s="120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3" t="s">
        <v>1762</v>
      </c>
      <c r="F179" s="120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3" t="s">
        <v>1138</v>
      </c>
      <c r="J180" s="80">
        <v>-2500000</v>
      </c>
    </row>
    <row r="181" spans="1:10" ht="18" customHeight="1" x14ac:dyDescent="0.3">
      <c r="A181" s="82">
        <v>1301</v>
      </c>
      <c r="B181" s="93">
        <v>45889</v>
      </c>
      <c r="C181" s="83" t="s">
        <v>2677</v>
      </c>
      <c r="D181" s="113" t="s">
        <v>1138</v>
      </c>
      <c r="J181" s="80">
        <v>-220000</v>
      </c>
    </row>
    <row r="182" spans="1:10" ht="18" customHeight="1" x14ac:dyDescent="0.3">
      <c r="A182" s="82">
        <v>1302</v>
      </c>
      <c r="B182" s="93">
        <v>45889</v>
      </c>
      <c r="C182" s="83" t="s">
        <v>1030</v>
      </c>
      <c r="D182" s="113" t="s">
        <v>2218</v>
      </c>
      <c r="F182" s="120">
        <v>1400000</v>
      </c>
      <c r="G182" s="85">
        <v>1</v>
      </c>
      <c r="I182" s="80">
        <v>1400000</v>
      </c>
    </row>
    <row r="183" spans="1:10" ht="18" customHeight="1" x14ac:dyDescent="0.3">
      <c r="A183" s="82">
        <v>1303</v>
      </c>
      <c r="B183" s="93">
        <v>45889</v>
      </c>
      <c r="C183" s="83" t="s">
        <v>1559</v>
      </c>
      <c r="D183" s="113" t="s">
        <v>1762</v>
      </c>
      <c r="F183" s="120">
        <v>650000</v>
      </c>
      <c r="G183" s="85">
        <v>1</v>
      </c>
      <c r="I183" s="80">
        <v>650000</v>
      </c>
    </row>
    <row r="184" spans="1:10" ht="18" customHeight="1" x14ac:dyDescent="0.3">
      <c r="A184" s="82">
        <v>1304</v>
      </c>
      <c r="B184" s="93">
        <v>45889</v>
      </c>
      <c r="C184" s="83" t="s">
        <v>1050</v>
      </c>
      <c r="D184" s="113" t="s">
        <v>2212</v>
      </c>
      <c r="F184" s="120">
        <v>1500000</v>
      </c>
      <c r="G184" s="85">
        <v>1</v>
      </c>
      <c r="I184" s="80">
        <v>1500000</v>
      </c>
    </row>
    <row r="185" spans="1:10" ht="18" customHeight="1" x14ac:dyDescent="0.3">
      <c r="A185" s="82">
        <v>1305</v>
      </c>
      <c r="B185" s="93">
        <v>45889</v>
      </c>
      <c r="C185" s="83" t="s">
        <v>1050</v>
      </c>
      <c r="D185" s="113" t="s">
        <v>2213</v>
      </c>
      <c r="F185" s="120">
        <v>50000</v>
      </c>
      <c r="G185" s="85">
        <v>1</v>
      </c>
      <c r="I185" s="80">
        <v>50000</v>
      </c>
    </row>
    <row r="186" spans="1:10" ht="18" customHeight="1" x14ac:dyDescent="0.3">
      <c r="A186" s="82">
        <v>1306</v>
      </c>
      <c r="B186" s="93">
        <v>45889</v>
      </c>
      <c r="C186" s="83" t="s">
        <v>2623</v>
      </c>
      <c r="D186" s="113" t="s">
        <v>1762</v>
      </c>
      <c r="F186" s="120">
        <v>1100000</v>
      </c>
      <c r="G186" s="85">
        <v>1</v>
      </c>
      <c r="I186" s="80">
        <v>1100000</v>
      </c>
    </row>
    <row r="187" spans="1:10" ht="18" customHeight="1" x14ac:dyDescent="0.3">
      <c r="A187" s="82">
        <v>1307</v>
      </c>
      <c r="B187" s="93">
        <v>45889</v>
      </c>
      <c r="C187" s="83" t="s">
        <v>2296</v>
      </c>
      <c r="D187" s="113" t="s">
        <v>1218</v>
      </c>
      <c r="F187" s="120">
        <v>1200000</v>
      </c>
      <c r="G187" s="85">
        <v>1</v>
      </c>
      <c r="I187" s="80">
        <v>1200000</v>
      </c>
    </row>
    <row r="188" spans="1:10" ht="18" customHeight="1" x14ac:dyDescent="0.3">
      <c r="A188" s="82">
        <v>1308</v>
      </c>
      <c r="B188" s="93">
        <v>45889</v>
      </c>
      <c r="C188" s="83" t="s">
        <v>2413</v>
      </c>
      <c r="D188" s="113" t="s">
        <v>3407</v>
      </c>
      <c r="F188" s="120">
        <v>3600000</v>
      </c>
      <c r="G188" s="85">
        <v>1</v>
      </c>
      <c r="H188" s="126">
        <v>360000</v>
      </c>
      <c r="I188" s="80">
        <v>3960000</v>
      </c>
    </row>
    <row r="189" spans="1:10" ht="18" customHeight="1" x14ac:dyDescent="0.3">
      <c r="A189" s="82">
        <v>1309</v>
      </c>
      <c r="B189" s="93">
        <v>45890</v>
      </c>
      <c r="C189" s="83" t="s">
        <v>1396</v>
      </c>
      <c r="D189" s="113" t="s">
        <v>1735</v>
      </c>
      <c r="F189" s="120">
        <v>150000</v>
      </c>
      <c r="G189" s="85">
        <v>2</v>
      </c>
      <c r="I189" s="80">
        <v>300000</v>
      </c>
    </row>
    <row r="190" spans="1:10" ht="18" customHeight="1" x14ac:dyDescent="0.3">
      <c r="A190" s="82">
        <v>1310</v>
      </c>
      <c r="B190" s="93">
        <v>45890</v>
      </c>
      <c r="C190" s="83" t="s">
        <v>3032</v>
      </c>
      <c r="D190" s="113" t="s">
        <v>2325</v>
      </c>
      <c r="F190" s="120">
        <v>1500000</v>
      </c>
      <c r="G190" s="85">
        <v>1</v>
      </c>
      <c r="I190" s="80">
        <v>1500000</v>
      </c>
    </row>
    <row r="191" spans="1:10" ht="18" customHeight="1" x14ac:dyDescent="0.3">
      <c r="A191" s="82">
        <v>1311</v>
      </c>
      <c r="B191" s="93">
        <v>45890</v>
      </c>
      <c r="C191" s="83" t="s">
        <v>1598</v>
      </c>
      <c r="D191" s="113" t="s">
        <v>1763</v>
      </c>
      <c r="F191" s="120">
        <v>1550000</v>
      </c>
      <c r="G191" s="85">
        <v>1</v>
      </c>
      <c r="H191" s="126">
        <v>155000</v>
      </c>
      <c r="I191" s="80">
        <v>1705000</v>
      </c>
    </row>
    <row r="192" spans="1:10" ht="18" customHeight="1" x14ac:dyDescent="0.3">
      <c r="A192" s="82">
        <v>1312</v>
      </c>
      <c r="B192" s="93">
        <v>45890</v>
      </c>
      <c r="C192" s="83" t="s">
        <v>1598</v>
      </c>
      <c r="D192" s="113" t="s">
        <v>1283</v>
      </c>
      <c r="F192" s="120">
        <v>50000</v>
      </c>
      <c r="G192" s="85">
        <v>3</v>
      </c>
      <c r="H192" s="126">
        <v>15000</v>
      </c>
      <c r="I192" s="80">
        <v>165000</v>
      </c>
    </row>
    <row r="193" spans="1:10" ht="18" customHeight="1" x14ac:dyDescent="0.3">
      <c r="A193" s="82">
        <v>1313</v>
      </c>
      <c r="B193" s="93">
        <v>45890</v>
      </c>
      <c r="C193" s="83" t="s">
        <v>2623</v>
      </c>
      <c r="D193" s="113" t="s">
        <v>2210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1314</v>
      </c>
      <c r="B194" s="93">
        <v>45890</v>
      </c>
      <c r="C194" s="83" t="s">
        <v>1740</v>
      </c>
      <c r="D194" s="113" t="s">
        <v>1220</v>
      </c>
      <c r="F194" s="120">
        <v>1200000</v>
      </c>
      <c r="G194" s="85">
        <v>1</v>
      </c>
      <c r="I194" s="80">
        <v>1200000</v>
      </c>
    </row>
    <row r="195" spans="1:10" ht="18" customHeight="1" x14ac:dyDescent="0.3">
      <c r="A195" s="82">
        <v>1315</v>
      </c>
      <c r="B195" s="93">
        <v>45890</v>
      </c>
      <c r="C195" s="83" t="s">
        <v>1417</v>
      </c>
      <c r="D195" s="113" t="s">
        <v>2212</v>
      </c>
      <c r="F195" s="120">
        <v>1500000</v>
      </c>
      <c r="G195" s="85">
        <v>1</v>
      </c>
      <c r="I195" s="80">
        <v>1500000</v>
      </c>
    </row>
    <row r="196" spans="1:10" ht="18" customHeight="1" x14ac:dyDescent="0.3">
      <c r="A196" s="82">
        <v>1316</v>
      </c>
      <c r="B196" s="93">
        <v>45890</v>
      </c>
      <c r="C196" s="83" t="s">
        <v>1417</v>
      </c>
      <c r="D196" s="113" t="s">
        <v>3415</v>
      </c>
      <c r="G196" s="85">
        <v>1</v>
      </c>
      <c r="J196" s="80">
        <v>-600000</v>
      </c>
    </row>
    <row r="197" spans="1:10" ht="18" customHeight="1" x14ac:dyDescent="0.3">
      <c r="A197" s="82">
        <v>1317</v>
      </c>
      <c r="B197" s="93">
        <v>45890</v>
      </c>
      <c r="C197" s="83" t="s">
        <v>1417</v>
      </c>
      <c r="D197" s="113" t="s">
        <v>2213</v>
      </c>
      <c r="F197" s="120">
        <v>50000</v>
      </c>
      <c r="G197" s="85">
        <v>1</v>
      </c>
      <c r="I197" s="80">
        <v>50000</v>
      </c>
    </row>
    <row r="198" spans="1:10" ht="18" customHeight="1" x14ac:dyDescent="0.3">
      <c r="A198" s="82">
        <v>1318</v>
      </c>
      <c r="B198" s="93">
        <v>45890</v>
      </c>
      <c r="C198" s="83" t="s">
        <v>3261</v>
      </c>
      <c r="D198" s="113" t="s">
        <v>2468</v>
      </c>
      <c r="F198" s="120">
        <v>1100000</v>
      </c>
      <c r="G198" s="85">
        <v>1</v>
      </c>
      <c r="H198" s="126">
        <v>110000</v>
      </c>
      <c r="I198" s="80">
        <v>1210000</v>
      </c>
    </row>
    <row r="199" spans="1:10" ht="18" customHeight="1" x14ac:dyDescent="0.3">
      <c r="A199" s="82">
        <v>1319</v>
      </c>
      <c r="B199" s="93">
        <v>45890</v>
      </c>
      <c r="C199" s="83" t="s">
        <v>3032</v>
      </c>
      <c r="D199" s="113" t="s">
        <v>1138</v>
      </c>
      <c r="J199" s="80">
        <v>-1500000</v>
      </c>
    </row>
    <row r="200" spans="1:10" ht="18" customHeight="1" x14ac:dyDescent="0.3">
      <c r="A200" s="82">
        <v>1320</v>
      </c>
      <c r="B200" s="93">
        <v>45890</v>
      </c>
      <c r="C200" s="83" t="s">
        <v>3261</v>
      </c>
      <c r="D200" s="113" t="s">
        <v>1138</v>
      </c>
      <c r="I200" s="126"/>
      <c r="J200" s="80">
        <v>-1210000</v>
      </c>
    </row>
    <row r="201" spans="1:10" ht="18" customHeight="1" x14ac:dyDescent="0.3">
      <c r="A201" s="82">
        <v>1321</v>
      </c>
      <c r="B201" s="93">
        <v>45889</v>
      </c>
      <c r="C201" s="83" t="s">
        <v>2296</v>
      </c>
      <c r="D201" s="113" t="s">
        <v>1138</v>
      </c>
      <c r="I201" s="126"/>
      <c r="J201" s="80">
        <v>-1200000</v>
      </c>
    </row>
    <row r="202" spans="1:10" ht="18" customHeight="1" x14ac:dyDescent="0.3">
      <c r="A202" s="82">
        <v>1322</v>
      </c>
      <c r="B202" s="93">
        <v>45889</v>
      </c>
      <c r="C202" s="83" t="s">
        <v>2623</v>
      </c>
      <c r="D202" s="113" t="s">
        <v>1138</v>
      </c>
      <c r="J202" s="80">
        <v>-1100000</v>
      </c>
    </row>
    <row r="203" spans="1:10" ht="18" customHeight="1" x14ac:dyDescent="0.3">
      <c r="A203" s="82">
        <v>1323</v>
      </c>
      <c r="B203" s="93">
        <v>45891</v>
      </c>
      <c r="C203" s="83" t="s">
        <v>1472</v>
      </c>
      <c r="D203" s="113" t="s">
        <v>1138</v>
      </c>
      <c r="J203" s="80">
        <v>-1550000</v>
      </c>
    </row>
    <row r="204" spans="1:10" ht="18" customHeight="1" x14ac:dyDescent="0.3">
      <c r="A204" s="82">
        <v>1324</v>
      </c>
      <c r="B204" s="93">
        <v>45891</v>
      </c>
      <c r="C204" s="83" t="s">
        <v>2962</v>
      </c>
      <c r="D204" s="113" t="s">
        <v>2917</v>
      </c>
      <c r="F204" s="120">
        <v>1000000</v>
      </c>
      <c r="G204" s="85">
        <v>1</v>
      </c>
      <c r="H204" s="126">
        <v>100000</v>
      </c>
      <c r="I204" s="80">
        <v>1100000</v>
      </c>
    </row>
    <row r="205" spans="1:10" ht="18" customHeight="1" x14ac:dyDescent="0.3">
      <c r="A205" s="82">
        <v>1325</v>
      </c>
      <c r="B205" s="93">
        <v>45891</v>
      </c>
      <c r="C205" s="83" t="s">
        <v>1832</v>
      </c>
      <c r="D205" s="113">
        <v>-1</v>
      </c>
      <c r="F205" s="120">
        <v>-1</v>
      </c>
      <c r="G205" s="85">
        <v>1</v>
      </c>
      <c r="I205" s="80">
        <v>-1</v>
      </c>
    </row>
    <row r="206" spans="1:10" ht="18" customHeight="1" x14ac:dyDescent="0.3">
      <c r="A206" s="82">
        <v>1326</v>
      </c>
      <c r="B206" s="93">
        <v>45891</v>
      </c>
      <c r="C206" s="83" t="s">
        <v>1832</v>
      </c>
      <c r="D206" s="113" t="s">
        <v>2219</v>
      </c>
      <c r="F206" s="120">
        <v>545455</v>
      </c>
      <c r="G206" s="85">
        <v>1</v>
      </c>
      <c r="H206" s="126">
        <v>54546</v>
      </c>
      <c r="I206" s="80">
        <v>600001</v>
      </c>
    </row>
    <row r="207" spans="1:10" ht="18" customHeight="1" x14ac:dyDescent="0.3">
      <c r="A207" s="82">
        <v>1327</v>
      </c>
      <c r="B207" s="93">
        <v>45891</v>
      </c>
      <c r="C207" s="83" t="s">
        <v>3424</v>
      </c>
      <c r="D207" s="113" t="s">
        <v>3427</v>
      </c>
      <c r="F207" s="120">
        <v>200000</v>
      </c>
      <c r="G207" s="85">
        <v>1</v>
      </c>
      <c r="I207" s="80">
        <v>200000</v>
      </c>
    </row>
    <row r="208" spans="1:10" ht="18" customHeight="1" x14ac:dyDescent="0.3">
      <c r="A208" s="82">
        <v>1328</v>
      </c>
      <c r="B208" s="93">
        <v>45891</v>
      </c>
      <c r="C208" s="83" t="s">
        <v>2677</v>
      </c>
      <c r="D208" s="113" t="s">
        <v>1735</v>
      </c>
      <c r="F208" s="120">
        <v>200000</v>
      </c>
      <c r="G208" s="85">
        <v>1</v>
      </c>
      <c r="H208" s="126">
        <v>20000</v>
      </c>
      <c r="I208" s="80">
        <v>220000</v>
      </c>
    </row>
    <row r="209" spans="1:10" ht="18" customHeight="1" x14ac:dyDescent="0.3">
      <c r="A209" s="82">
        <v>1329</v>
      </c>
      <c r="B209" s="93">
        <v>45891</v>
      </c>
      <c r="C209" s="83" t="s">
        <v>3430</v>
      </c>
      <c r="D209" s="113" t="s">
        <v>3434</v>
      </c>
      <c r="F209" s="120">
        <v>1750000</v>
      </c>
      <c r="G209" s="85">
        <v>1</v>
      </c>
      <c r="I209" s="80">
        <v>1750000</v>
      </c>
    </row>
    <row r="210" spans="1:10" ht="18" customHeight="1" x14ac:dyDescent="0.3">
      <c r="A210" s="82">
        <v>1330</v>
      </c>
      <c r="B210" s="93">
        <v>45891</v>
      </c>
      <c r="C210" s="83" t="s">
        <v>3424</v>
      </c>
      <c r="D210" s="113" t="s">
        <v>1138</v>
      </c>
      <c r="J210" s="80">
        <v>-200000</v>
      </c>
    </row>
    <row r="211" spans="1:10" ht="18" customHeight="1" x14ac:dyDescent="0.3">
      <c r="A211" s="82">
        <v>1331</v>
      </c>
      <c r="B211" s="93">
        <v>45891</v>
      </c>
      <c r="C211" s="83" t="s">
        <v>3430</v>
      </c>
      <c r="D211" s="113" t="s">
        <v>1138</v>
      </c>
      <c r="J211" s="80">
        <v>-1750000</v>
      </c>
    </row>
    <row r="212" spans="1:10" ht="18" customHeight="1" x14ac:dyDescent="0.3">
      <c r="A212" s="82">
        <v>1332</v>
      </c>
      <c r="B212" s="93">
        <v>45891</v>
      </c>
      <c r="C212" s="83" t="s">
        <v>2962</v>
      </c>
      <c r="D212" s="113" t="s">
        <v>1138</v>
      </c>
      <c r="J212" s="80">
        <v>-1100000</v>
      </c>
    </row>
    <row r="213" spans="1:10" ht="18" customHeight="1" x14ac:dyDescent="0.3">
      <c r="A213" s="82">
        <v>1333</v>
      </c>
      <c r="B213" s="93">
        <v>45891</v>
      </c>
      <c r="C213" s="83" t="s">
        <v>2623</v>
      </c>
      <c r="D213" s="113" t="s">
        <v>1138</v>
      </c>
      <c r="J213" s="80">
        <v>-1500000</v>
      </c>
    </row>
    <row r="214" spans="1:10" ht="18" customHeight="1" x14ac:dyDescent="0.3">
      <c r="A214" s="82">
        <v>1334</v>
      </c>
      <c r="B214" s="93">
        <v>45892</v>
      </c>
      <c r="C214" s="83" t="s">
        <v>1011</v>
      </c>
      <c r="D214" s="113" t="s">
        <v>1735</v>
      </c>
      <c r="F214" s="120">
        <v>150000</v>
      </c>
      <c r="G214" s="85">
        <v>1</v>
      </c>
      <c r="I214" s="80">
        <v>150000</v>
      </c>
    </row>
    <row r="215" spans="1:10" ht="18" customHeight="1" x14ac:dyDescent="0.3">
      <c r="A215" s="82">
        <v>1335</v>
      </c>
      <c r="B215" s="93">
        <v>45892</v>
      </c>
      <c r="C215" s="83" t="s">
        <v>2677</v>
      </c>
      <c r="D215" s="113" t="s">
        <v>1765</v>
      </c>
      <c r="J215" s="80">
        <v>-220000</v>
      </c>
    </row>
    <row r="216" spans="1:10" ht="18" customHeight="1" x14ac:dyDescent="0.3">
      <c r="A216" s="82">
        <v>1336</v>
      </c>
      <c r="B216" s="93">
        <v>45892</v>
      </c>
      <c r="C216" s="83" t="s">
        <v>1396</v>
      </c>
      <c r="D216" s="113" t="s">
        <v>1765</v>
      </c>
      <c r="J216" s="80">
        <v>-300000</v>
      </c>
    </row>
    <row r="217" spans="1:10" ht="18" customHeight="1" x14ac:dyDescent="0.3">
      <c r="A217" s="82">
        <v>1337</v>
      </c>
      <c r="B217" s="93">
        <v>45891</v>
      </c>
      <c r="C217" s="83" t="s">
        <v>1030</v>
      </c>
      <c r="D217" s="113" t="s">
        <v>1138</v>
      </c>
      <c r="J217" s="80">
        <v>-2070000</v>
      </c>
    </row>
    <row r="218" spans="1:10" ht="18" customHeight="1" x14ac:dyDescent="0.3">
      <c r="A218" s="82">
        <v>1338</v>
      </c>
      <c r="B218" s="93">
        <v>45894</v>
      </c>
      <c r="C218" s="83" t="s">
        <v>1011</v>
      </c>
      <c r="D218" s="113" t="s">
        <v>1138</v>
      </c>
      <c r="J218" s="80">
        <v>-150000</v>
      </c>
    </row>
    <row r="219" spans="1:10" ht="18" customHeight="1" x14ac:dyDescent="0.3">
      <c r="A219" s="82">
        <v>1339</v>
      </c>
      <c r="B219" s="93">
        <v>45894</v>
      </c>
      <c r="C219" s="83" t="s">
        <v>1417</v>
      </c>
      <c r="D219" s="113" t="s">
        <v>1763</v>
      </c>
      <c r="F219" s="120">
        <v>1550000</v>
      </c>
      <c r="G219" s="85">
        <v>1</v>
      </c>
      <c r="I219" s="80">
        <v>1550000</v>
      </c>
    </row>
    <row r="220" spans="1:10" ht="18" customHeight="1" x14ac:dyDescent="0.3">
      <c r="A220" s="82">
        <v>1340</v>
      </c>
      <c r="B220" s="93">
        <v>45894</v>
      </c>
      <c r="C220" s="83" t="s">
        <v>1417</v>
      </c>
      <c r="D220" s="113" t="s">
        <v>1218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1341</v>
      </c>
      <c r="B221" s="93">
        <v>45894</v>
      </c>
      <c r="C221" s="83" t="s">
        <v>1417</v>
      </c>
      <c r="D221" s="113" t="s">
        <v>2943</v>
      </c>
      <c r="F221" s="120">
        <v>129000</v>
      </c>
      <c r="G221" s="85">
        <v>1</v>
      </c>
      <c r="I221" s="80">
        <v>129000</v>
      </c>
    </row>
    <row r="222" spans="1:10" ht="18" customHeight="1" x14ac:dyDescent="0.3">
      <c r="A222" s="82">
        <v>1342</v>
      </c>
      <c r="B222" s="93">
        <v>45894</v>
      </c>
      <c r="C222" s="83" t="s">
        <v>1417</v>
      </c>
      <c r="D222" s="113" t="s">
        <v>2219</v>
      </c>
      <c r="F222" s="120">
        <v>510000</v>
      </c>
      <c r="G222" s="85">
        <v>1</v>
      </c>
      <c r="I222" s="80">
        <v>510000</v>
      </c>
    </row>
    <row r="223" spans="1:10" ht="18" customHeight="1" x14ac:dyDescent="0.3">
      <c r="A223" s="82">
        <v>1343</v>
      </c>
      <c r="B223" s="93">
        <v>45894</v>
      </c>
      <c r="C223" s="83" t="s">
        <v>1417</v>
      </c>
      <c r="D223" s="113" t="s">
        <v>2220</v>
      </c>
      <c r="F223" s="120">
        <v>130000</v>
      </c>
      <c r="G223" s="85">
        <v>1</v>
      </c>
      <c r="I223" s="80">
        <v>130000</v>
      </c>
    </row>
    <row r="224" spans="1:10" ht="18" customHeight="1" x14ac:dyDescent="0.3">
      <c r="A224" s="82">
        <v>1344</v>
      </c>
      <c r="B224" s="93">
        <v>45894</v>
      </c>
      <c r="C224" s="83" t="s">
        <v>1417</v>
      </c>
      <c r="D224" s="113" t="s">
        <v>2223</v>
      </c>
      <c r="F224" s="120">
        <v>30000</v>
      </c>
      <c r="G224" s="85">
        <v>1</v>
      </c>
      <c r="I224" s="80">
        <v>30000</v>
      </c>
    </row>
    <row r="225" spans="1:9" ht="18" customHeight="1" x14ac:dyDescent="0.3">
      <c r="A225" s="82">
        <v>1345</v>
      </c>
      <c r="B225" s="93">
        <v>45894</v>
      </c>
      <c r="C225" s="83" t="s">
        <v>1417</v>
      </c>
      <c r="D225" s="113" t="s">
        <v>2224</v>
      </c>
      <c r="F225" s="120">
        <v>10000</v>
      </c>
      <c r="G225" s="85">
        <v>1</v>
      </c>
      <c r="I225" s="80">
        <v>10000</v>
      </c>
    </row>
    <row r="226" spans="1:9" ht="18" customHeight="1" x14ac:dyDescent="0.3">
      <c r="A226" s="82">
        <v>1346</v>
      </c>
      <c r="B226" s="93">
        <v>45894</v>
      </c>
      <c r="C226" s="83" t="s">
        <v>1825</v>
      </c>
      <c r="D226" s="113" t="s">
        <v>2219</v>
      </c>
      <c r="F226" s="120">
        <v>526364</v>
      </c>
      <c r="G226" s="85">
        <v>1</v>
      </c>
      <c r="H226" s="126">
        <v>52636</v>
      </c>
      <c r="I226" s="80">
        <v>579000</v>
      </c>
    </row>
    <row r="227" spans="1:9" ht="18" customHeight="1" x14ac:dyDescent="0.3">
      <c r="A227" s="82">
        <v>1347</v>
      </c>
      <c r="B227" s="93">
        <v>45894</v>
      </c>
      <c r="C227" s="83" t="s">
        <v>1825</v>
      </c>
      <c r="D227" s="113" t="s">
        <v>2220</v>
      </c>
      <c r="F227" s="120">
        <v>130000</v>
      </c>
      <c r="G227" s="85">
        <v>1</v>
      </c>
      <c r="H227" s="126">
        <v>13000</v>
      </c>
      <c r="I227" s="80">
        <v>143000</v>
      </c>
    </row>
    <row r="228" spans="1:9" ht="18" customHeight="1" x14ac:dyDescent="0.3">
      <c r="A228" s="82">
        <v>1348</v>
      </c>
      <c r="B228" s="93">
        <v>45894</v>
      </c>
      <c r="C228" s="83" t="s">
        <v>1825</v>
      </c>
      <c r="D228" s="113" t="s">
        <v>2223</v>
      </c>
      <c r="F228" s="120">
        <v>32000</v>
      </c>
      <c r="G228" s="85">
        <v>2</v>
      </c>
      <c r="H228" s="126">
        <v>6400</v>
      </c>
      <c r="I228" s="80">
        <v>70400</v>
      </c>
    </row>
    <row r="229" spans="1:9" ht="18" customHeight="1" x14ac:dyDescent="0.3">
      <c r="A229" s="82">
        <v>1349</v>
      </c>
      <c r="B229" s="93">
        <v>45894</v>
      </c>
      <c r="C229" s="83" t="s">
        <v>1825</v>
      </c>
      <c r="D229" s="113" t="s">
        <v>2224</v>
      </c>
      <c r="F229" s="120">
        <v>10000</v>
      </c>
      <c r="G229" s="85">
        <v>1</v>
      </c>
      <c r="H229" s="126">
        <v>1000</v>
      </c>
      <c r="I229" s="80">
        <v>11000</v>
      </c>
    </row>
    <row r="230" spans="1:9" ht="18" customHeight="1" x14ac:dyDescent="0.3">
      <c r="A230" s="82">
        <v>1350</v>
      </c>
      <c r="B230" s="93">
        <v>45894</v>
      </c>
      <c r="C230" s="83" t="s">
        <v>3261</v>
      </c>
      <c r="D230" s="113" t="s">
        <v>3449</v>
      </c>
      <c r="F230" s="120">
        <v>300000</v>
      </c>
      <c r="G230" s="85">
        <v>1</v>
      </c>
      <c r="H230" s="126">
        <v>30000</v>
      </c>
      <c r="I230" s="80">
        <v>330000</v>
      </c>
    </row>
    <row r="231" spans="1:9" ht="18" customHeight="1" x14ac:dyDescent="0.3">
      <c r="A231" s="82">
        <v>1351</v>
      </c>
      <c r="B231" s="93">
        <v>45894</v>
      </c>
      <c r="C231" s="83" t="s">
        <v>3032</v>
      </c>
      <c r="D231" s="113" t="s">
        <v>2167</v>
      </c>
      <c r="F231" s="120">
        <v>1650000</v>
      </c>
      <c r="G231" s="85">
        <v>1</v>
      </c>
      <c r="I231" s="80">
        <v>1650000</v>
      </c>
    </row>
    <row r="232" spans="1:9" ht="18" customHeight="1" x14ac:dyDescent="0.3">
      <c r="A232" s="82">
        <v>1352</v>
      </c>
      <c r="B232" s="93">
        <v>45894</v>
      </c>
      <c r="C232" s="83" t="s">
        <v>1595</v>
      </c>
      <c r="D232" s="113" t="s">
        <v>3038</v>
      </c>
      <c r="F232" s="120">
        <v>450000</v>
      </c>
      <c r="G232" s="85">
        <v>1</v>
      </c>
      <c r="H232" s="126">
        <v>45000</v>
      </c>
      <c r="I232" s="80">
        <v>495000</v>
      </c>
    </row>
    <row r="233" spans="1:9" ht="18" customHeight="1" x14ac:dyDescent="0.3">
      <c r="A233" s="82">
        <v>1353</v>
      </c>
      <c r="B233" s="93">
        <v>45894</v>
      </c>
      <c r="C233" s="83" t="s">
        <v>2327</v>
      </c>
      <c r="D233" s="113" t="s">
        <v>2363</v>
      </c>
      <c r="F233" s="120">
        <v>900000</v>
      </c>
      <c r="G233" s="85">
        <v>1</v>
      </c>
      <c r="H233" s="126">
        <v>90000</v>
      </c>
      <c r="I233" s="80">
        <v>990000</v>
      </c>
    </row>
    <row r="234" spans="1:9" ht="18" customHeight="1" x14ac:dyDescent="0.3">
      <c r="A234" s="82">
        <v>1354</v>
      </c>
      <c r="B234" s="93">
        <v>45894</v>
      </c>
      <c r="C234" s="83" t="s">
        <v>2623</v>
      </c>
      <c r="D234" s="113" t="s">
        <v>2051</v>
      </c>
      <c r="F234" s="120">
        <v>1500000</v>
      </c>
      <c r="G234" s="85">
        <v>1</v>
      </c>
      <c r="I234" s="80">
        <v>1500000</v>
      </c>
    </row>
    <row r="235" spans="1:9" ht="18" customHeight="1" x14ac:dyDescent="0.3">
      <c r="A235" s="82">
        <v>1355</v>
      </c>
      <c r="B235" s="93">
        <v>45894</v>
      </c>
      <c r="C235" s="83" t="s">
        <v>2623</v>
      </c>
      <c r="D235" s="113" t="s">
        <v>1759</v>
      </c>
      <c r="F235" s="120">
        <v>25000</v>
      </c>
      <c r="G235" s="85">
        <v>2</v>
      </c>
      <c r="I235" s="80">
        <v>50000</v>
      </c>
    </row>
    <row r="236" spans="1:9" ht="18" customHeight="1" x14ac:dyDescent="0.3">
      <c r="A236" s="82">
        <v>1356</v>
      </c>
      <c r="B236" s="93">
        <v>45894</v>
      </c>
      <c r="C236" s="83" t="s">
        <v>3457</v>
      </c>
      <c r="D236" s="113" t="s">
        <v>2212</v>
      </c>
      <c r="F236" s="120">
        <v>1500000</v>
      </c>
      <c r="G236" s="85">
        <v>1</v>
      </c>
      <c r="I236" s="80">
        <v>1500000</v>
      </c>
    </row>
    <row r="237" spans="1:9" ht="18" customHeight="1" x14ac:dyDescent="0.3">
      <c r="A237" s="82">
        <v>1357</v>
      </c>
      <c r="B237" s="93">
        <v>45894</v>
      </c>
      <c r="C237" s="83" t="s">
        <v>3457</v>
      </c>
      <c r="D237" s="113" t="s">
        <v>2212</v>
      </c>
      <c r="F237" s="120">
        <v>1500000</v>
      </c>
      <c r="G237" s="85">
        <v>1</v>
      </c>
      <c r="I237" s="80">
        <v>1500000</v>
      </c>
    </row>
    <row r="238" spans="1:9" ht="18" customHeight="1" x14ac:dyDescent="0.3">
      <c r="A238" s="82">
        <v>1358</v>
      </c>
      <c r="B238" s="93">
        <v>45894</v>
      </c>
      <c r="C238" s="83" t="s">
        <v>989</v>
      </c>
      <c r="D238" s="113" t="s">
        <v>1762</v>
      </c>
      <c r="F238" s="120">
        <v>650000</v>
      </c>
      <c r="G238" s="85">
        <v>1</v>
      </c>
      <c r="H238" s="126">
        <v>65000</v>
      </c>
      <c r="I238" s="80">
        <v>715000</v>
      </c>
    </row>
    <row r="239" spans="1:9" ht="18" customHeight="1" x14ac:dyDescent="0.3">
      <c r="A239" s="82">
        <v>1359</v>
      </c>
      <c r="B239" s="93">
        <v>45894</v>
      </c>
      <c r="C239" s="83" t="s">
        <v>2460</v>
      </c>
      <c r="D239" s="113" t="s">
        <v>3464</v>
      </c>
      <c r="F239" s="120">
        <v>300000</v>
      </c>
      <c r="G239" s="85">
        <v>1</v>
      </c>
      <c r="I239" s="80">
        <v>300000</v>
      </c>
    </row>
    <row r="240" spans="1:9" ht="18" customHeight="1" x14ac:dyDescent="0.3">
      <c r="A240" s="82">
        <v>1360</v>
      </c>
      <c r="B240" s="93">
        <v>45894</v>
      </c>
      <c r="C240" s="83" t="s">
        <v>2341</v>
      </c>
      <c r="D240" s="113" t="s">
        <v>2334</v>
      </c>
      <c r="F240" s="120">
        <v>650000</v>
      </c>
      <c r="G240" s="85">
        <v>1</v>
      </c>
      <c r="H240" s="126">
        <v>65000</v>
      </c>
      <c r="I240" s="80">
        <v>715000</v>
      </c>
    </row>
    <row r="241" spans="1:10" ht="18" customHeight="1" x14ac:dyDescent="0.3">
      <c r="A241" s="82">
        <v>1361</v>
      </c>
      <c r="B241" s="93">
        <v>45894</v>
      </c>
      <c r="C241" s="83" t="s">
        <v>1595</v>
      </c>
      <c r="D241" s="113" t="s">
        <v>2219</v>
      </c>
      <c r="F241" s="120">
        <v>526364</v>
      </c>
      <c r="G241" s="85">
        <v>1</v>
      </c>
      <c r="H241" s="126">
        <v>52636</v>
      </c>
      <c r="I241" s="80">
        <v>579000</v>
      </c>
    </row>
    <row r="242" spans="1:10" ht="18" customHeight="1" x14ac:dyDescent="0.3">
      <c r="A242" s="82">
        <v>1362</v>
      </c>
      <c r="B242" s="93">
        <v>45894</v>
      </c>
      <c r="C242" s="83" t="s">
        <v>1595</v>
      </c>
      <c r="D242" s="113" t="s">
        <v>2222</v>
      </c>
      <c r="F242" s="120">
        <v>72728</v>
      </c>
      <c r="G242" s="85">
        <v>1</v>
      </c>
      <c r="H242" s="126">
        <v>7273</v>
      </c>
      <c r="I242" s="80">
        <v>80000</v>
      </c>
    </row>
    <row r="243" spans="1:10" ht="18" customHeight="1" x14ac:dyDescent="0.3">
      <c r="A243" s="82">
        <v>1363</v>
      </c>
      <c r="B243" s="93">
        <v>45894</v>
      </c>
      <c r="C243" s="83" t="s">
        <v>1595</v>
      </c>
      <c r="D243" s="113" t="s">
        <v>2223</v>
      </c>
      <c r="F243" s="120">
        <v>32000</v>
      </c>
      <c r="G243" s="85">
        <v>1</v>
      </c>
      <c r="H243" s="126">
        <v>3200</v>
      </c>
      <c r="I243" s="80">
        <v>35200</v>
      </c>
    </row>
    <row r="244" spans="1:10" ht="18" customHeight="1" x14ac:dyDescent="0.3">
      <c r="A244" s="82">
        <v>1364</v>
      </c>
      <c r="B244" s="93">
        <v>45894</v>
      </c>
      <c r="C244" s="83" t="s">
        <v>1595</v>
      </c>
      <c r="D244" s="113" t="s">
        <v>2224</v>
      </c>
      <c r="F244" s="120">
        <v>10000</v>
      </c>
      <c r="G244" s="85">
        <v>1</v>
      </c>
      <c r="H244" s="126">
        <v>1000</v>
      </c>
      <c r="I244" s="80">
        <v>11000</v>
      </c>
    </row>
    <row r="245" spans="1:10" ht="18" customHeight="1" x14ac:dyDescent="0.3">
      <c r="A245" s="82">
        <v>1365</v>
      </c>
      <c r="B245" s="93">
        <v>45894</v>
      </c>
      <c r="C245" s="83" t="s">
        <v>1595</v>
      </c>
      <c r="D245" s="113" t="s">
        <v>2226</v>
      </c>
      <c r="F245" s="120">
        <v>600000</v>
      </c>
      <c r="G245" s="85">
        <v>1</v>
      </c>
      <c r="H245" s="126">
        <v>60000</v>
      </c>
      <c r="I245" s="80">
        <v>660000</v>
      </c>
    </row>
    <row r="246" spans="1:10" ht="18" customHeight="1" x14ac:dyDescent="0.3">
      <c r="A246" s="82">
        <v>1366</v>
      </c>
      <c r="B246" s="93">
        <v>45894</v>
      </c>
      <c r="C246" s="83" t="s">
        <v>1595</v>
      </c>
      <c r="D246" s="113" t="s">
        <v>2219</v>
      </c>
      <c r="F246" s="120">
        <v>526364</v>
      </c>
      <c r="G246" s="85">
        <v>1</v>
      </c>
      <c r="H246" s="126">
        <v>52636</v>
      </c>
      <c r="I246" s="80">
        <v>579000</v>
      </c>
    </row>
    <row r="247" spans="1:10" ht="18" customHeight="1" x14ac:dyDescent="0.3">
      <c r="A247" s="82">
        <v>1367</v>
      </c>
      <c r="B247" s="93">
        <v>45894</v>
      </c>
      <c r="C247" s="83" t="s">
        <v>1595</v>
      </c>
      <c r="D247" s="113" t="s">
        <v>2222</v>
      </c>
      <c r="F247" s="120">
        <v>72728</v>
      </c>
      <c r="G247" s="85">
        <v>1</v>
      </c>
      <c r="H247" s="126">
        <v>7273</v>
      </c>
      <c r="I247" s="80">
        <v>80001</v>
      </c>
    </row>
    <row r="248" spans="1:10" ht="18" customHeight="1" x14ac:dyDescent="0.3">
      <c r="A248" s="82">
        <v>1368</v>
      </c>
      <c r="B248" s="93">
        <v>45894</v>
      </c>
      <c r="C248" s="83" t="s">
        <v>1595</v>
      </c>
      <c r="D248" s="113" t="s">
        <v>2223</v>
      </c>
      <c r="F248" s="120">
        <v>32000</v>
      </c>
      <c r="G248" s="85">
        <v>1</v>
      </c>
      <c r="H248" s="126">
        <v>3200</v>
      </c>
      <c r="I248" s="80">
        <v>35200</v>
      </c>
    </row>
    <row r="249" spans="1:10" ht="18" customHeight="1" x14ac:dyDescent="0.3">
      <c r="A249" s="82">
        <v>1369</v>
      </c>
      <c r="B249" s="93">
        <v>45894</v>
      </c>
      <c r="C249" s="83" t="s">
        <v>1595</v>
      </c>
      <c r="D249" s="113" t="s">
        <v>2224</v>
      </c>
      <c r="F249" s="120">
        <v>10000</v>
      </c>
      <c r="G249" s="85">
        <v>1</v>
      </c>
      <c r="H249" s="126">
        <v>1000</v>
      </c>
      <c r="I249" s="80">
        <v>11000</v>
      </c>
    </row>
    <row r="250" spans="1:10" ht="18" customHeight="1" x14ac:dyDescent="0.3">
      <c r="A250" s="82">
        <v>1370</v>
      </c>
      <c r="B250" s="93">
        <v>45894</v>
      </c>
      <c r="C250" s="83" t="s">
        <v>1595</v>
      </c>
      <c r="D250" s="113" t="s">
        <v>2226</v>
      </c>
      <c r="F250" s="120">
        <v>600000</v>
      </c>
      <c r="G250" s="85">
        <v>1</v>
      </c>
      <c r="H250" s="126">
        <v>60000</v>
      </c>
      <c r="I250" s="80">
        <v>660000</v>
      </c>
    </row>
    <row r="251" spans="1:10" ht="18" customHeight="1" x14ac:dyDescent="0.3">
      <c r="A251" s="82">
        <v>1371</v>
      </c>
      <c r="B251" s="93">
        <v>45894</v>
      </c>
      <c r="C251" s="83" t="s">
        <v>1019</v>
      </c>
      <c r="D251" s="113" t="s">
        <v>2219</v>
      </c>
      <c r="F251" s="120">
        <v>526364</v>
      </c>
      <c r="G251" s="85">
        <v>1</v>
      </c>
      <c r="H251" s="126">
        <v>52636</v>
      </c>
      <c r="I251" s="80">
        <v>579000</v>
      </c>
    </row>
    <row r="252" spans="1:10" ht="18" customHeight="1" x14ac:dyDescent="0.3">
      <c r="A252" s="82">
        <v>1372</v>
      </c>
      <c r="B252" s="93">
        <v>45894</v>
      </c>
      <c r="C252" s="83" t="s">
        <v>1019</v>
      </c>
      <c r="D252" s="113" t="s">
        <v>2222</v>
      </c>
      <c r="F252" s="120">
        <v>70000</v>
      </c>
      <c r="G252" s="85">
        <v>1</v>
      </c>
      <c r="H252" s="126">
        <v>7000</v>
      </c>
      <c r="I252" s="80">
        <v>77000</v>
      </c>
    </row>
    <row r="253" spans="1:10" ht="18" customHeight="1" x14ac:dyDescent="0.3">
      <c r="A253" s="82">
        <v>1373</v>
      </c>
      <c r="B253" s="93">
        <v>45894</v>
      </c>
      <c r="C253" s="83" t="s">
        <v>1462</v>
      </c>
      <c r="D253" s="113" t="s">
        <v>3470</v>
      </c>
      <c r="J253" s="80">
        <v>-600000</v>
      </c>
    </row>
    <row r="254" spans="1:10" ht="18" customHeight="1" x14ac:dyDescent="0.3">
      <c r="A254" s="82">
        <v>1374</v>
      </c>
      <c r="B254" s="93">
        <v>45894</v>
      </c>
      <c r="C254" s="83" t="s">
        <v>1462</v>
      </c>
      <c r="D254" s="113" t="s">
        <v>3471</v>
      </c>
      <c r="J254" s="80">
        <v>-1000000</v>
      </c>
    </row>
    <row r="255" spans="1:10" ht="18" customHeight="1" x14ac:dyDescent="0.3">
      <c r="A255" s="82">
        <v>1375</v>
      </c>
      <c r="B255" s="93">
        <v>45893</v>
      </c>
      <c r="C255" s="83" t="s">
        <v>1598</v>
      </c>
      <c r="D255" s="113" t="s">
        <v>1138</v>
      </c>
      <c r="J255" s="80">
        <v>-1000000</v>
      </c>
    </row>
    <row r="256" spans="1:10" ht="18" customHeight="1" x14ac:dyDescent="0.3">
      <c r="A256" s="82">
        <v>1378</v>
      </c>
      <c r="B256" s="93">
        <v>45894</v>
      </c>
      <c r="C256" s="83" t="s">
        <v>2460</v>
      </c>
      <c r="D256" s="113" t="s">
        <v>1138</v>
      </c>
      <c r="J256" s="80">
        <v>-300000</v>
      </c>
    </row>
    <row r="257" spans="1:10" ht="18" customHeight="1" x14ac:dyDescent="0.3">
      <c r="A257" s="82">
        <v>1379</v>
      </c>
      <c r="B257" s="93">
        <v>45894</v>
      </c>
      <c r="C257" s="83" t="s">
        <v>989</v>
      </c>
      <c r="D257" s="113" t="s">
        <v>1138</v>
      </c>
      <c r="J257" s="80">
        <v>-715000</v>
      </c>
    </row>
    <row r="258" spans="1:10" ht="18" customHeight="1" x14ac:dyDescent="0.3">
      <c r="A258" s="82">
        <v>1380</v>
      </c>
      <c r="B258" s="93">
        <v>45894</v>
      </c>
      <c r="C258" s="83" t="s">
        <v>2327</v>
      </c>
      <c r="D258" s="113" t="s">
        <v>1138</v>
      </c>
      <c r="J258" s="80">
        <v>-990000</v>
      </c>
    </row>
    <row r="259" spans="1:10" ht="18" customHeight="1" x14ac:dyDescent="0.3">
      <c r="A259" s="82">
        <v>1381</v>
      </c>
      <c r="B259" s="93">
        <v>45894</v>
      </c>
      <c r="C259" s="83" t="s">
        <v>3032</v>
      </c>
      <c r="D259" s="113" t="s">
        <v>1138</v>
      </c>
      <c r="J259" s="80">
        <v>-1650000</v>
      </c>
    </row>
    <row r="260" spans="1:10" ht="18" customHeight="1" x14ac:dyDescent="0.3">
      <c r="A260" s="82">
        <v>1382</v>
      </c>
      <c r="B260" s="93">
        <v>45894</v>
      </c>
      <c r="C260" s="83" t="s">
        <v>3457</v>
      </c>
      <c r="D260" s="113" t="s">
        <v>1138</v>
      </c>
      <c r="J260" s="80">
        <v>-3000000</v>
      </c>
    </row>
    <row r="261" spans="1:10" ht="18" customHeight="1" x14ac:dyDescent="0.3">
      <c r="A261" s="82">
        <v>1383</v>
      </c>
      <c r="B261" s="93">
        <v>45895</v>
      </c>
      <c r="C261" s="83" t="s">
        <v>1559</v>
      </c>
      <c r="D261" s="113" t="s">
        <v>1942</v>
      </c>
      <c r="F261" s="120">
        <v>2500000</v>
      </c>
      <c r="G261" s="85">
        <v>1</v>
      </c>
      <c r="I261" s="80">
        <v>2500000</v>
      </c>
    </row>
    <row r="262" spans="1:10" ht="18" customHeight="1" x14ac:dyDescent="0.3">
      <c r="A262" s="82">
        <v>1384</v>
      </c>
      <c r="B262" s="93">
        <v>45895</v>
      </c>
      <c r="C262" s="83" t="s">
        <v>1487</v>
      </c>
      <c r="D262" s="113" t="s">
        <v>1939</v>
      </c>
      <c r="F262" s="120">
        <v>1500000</v>
      </c>
      <c r="G262" s="85">
        <v>1</v>
      </c>
      <c r="I262" s="80">
        <v>1500000</v>
      </c>
    </row>
    <row r="263" spans="1:10" ht="18" customHeight="1" x14ac:dyDescent="0.3">
      <c r="A263" s="82">
        <v>1385</v>
      </c>
      <c r="B263" s="93">
        <v>45895</v>
      </c>
      <c r="C263" s="83" t="s">
        <v>1019</v>
      </c>
      <c r="D263" s="113" t="s">
        <v>2218</v>
      </c>
      <c r="F263" s="120">
        <v>1400000</v>
      </c>
      <c r="G263" s="85">
        <v>1</v>
      </c>
      <c r="H263" s="126">
        <v>140000</v>
      </c>
      <c r="I263" s="80">
        <v>1540000</v>
      </c>
    </row>
    <row r="264" spans="1:10" ht="18" customHeight="1" x14ac:dyDescent="0.3">
      <c r="A264" s="82">
        <v>1386</v>
      </c>
      <c r="B264" s="93">
        <v>45895</v>
      </c>
      <c r="C264" s="83" t="s">
        <v>1598</v>
      </c>
      <c r="D264" s="113" t="s">
        <v>3481</v>
      </c>
      <c r="F264" s="120">
        <v>700000</v>
      </c>
      <c r="G264" s="85">
        <v>1</v>
      </c>
      <c r="I264" s="80">
        <v>700000</v>
      </c>
    </row>
    <row r="265" spans="1:10" ht="18" customHeight="1" x14ac:dyDescent="0.3">
      <c r="A265" s="82">
        <v>1387</v>
      </c>
      <c r="B265" s="93">
        <v>45895</v>
      </c>
      <c r="C265" s="83" t="s">
        <v>1462</v>
      </c>
      <c r="D265" s="113" t="s">
        <v>2219</v>
      </c>
      <c r="F265" s="120">
        <v>510000</v>
      </c>
      <c r="G265" s="85">
        <v>1</v>
      </c>
      <c r="I265" s="80">
        <v>510000</v>
      </c>
    </row>
    <row r="266" spans="1:10" ht="18" customHeight="1" x14ac:dyDescent="0.3">
      <c r="A266" s="82">
        <v>1388</v>
      </c>
      <c r="B266" s="93">
        <v>45895</v>
      </c>
      <c r="C266" s="83" t="s">
        <v>1462</v>
      </c>
      <c r="D266" s="113" t="s">
        <v>2222</v>
      </c>
      <c r="F266" s="120">
        <v>70000</v>
      </c>
      <c r="G266" s="85">
        <v>1</v>
      </c>
      <c r="I266" s="80">
        <v>70000</v>
      </c>
    </row>
    <row r="267" spans="1:10" ht="18" customHeight="1" x14ac:dyDescent="0.3">
      <c r="A267" s="82">
        <v>1389</v>
      </c>
      <c r="B267" s="93">
        <v>45895</v>
      </c>
      <c r="C267" s="83" t="s">
        <v>1462</v>
      </c>
      <c r="D267" s="113" t="s">
        <v>2223</v>
      </c>
      <c r="F267" s="120">
        <v>35000</v>
      </c>
      <c r="G267" s="85">
        <v>1</v>
      </c>
      <c r="I267" s="80">
        <v>35000</v>
      </c>
    </row>
    <row r="268" spans="1:10" ht="18" customHeight="1" x14ac:dyDescent="0.3">
      <c r="A268" s="82">
        <v>1390</v>
      </c>
      <c r="B268" s="93">
        <v>45895</v>
      </c>
      <c r="C268" s="83" t="s">
        <v>1462</v>
      </c>
      <c r="D268" s="113" t="s">
        <v>1735</v>
      </c>
      <c r="F268" s="120">
        <v>150000</v>
      </c>
      <c r="G268" s="85">
        <v>2</v>
      </c>
      <c r="I268" s="80">
        <v>300000</v>
      </c>
    </row>
    <row r="269" spans="1:10" ht="18" customHeight="1" x14ac:dyDescent="0.3">
      <c r="A269" s="82">
        <v>1391</v>
      </c>
      <c r="B269" s="93">
        <v>45895</v>
      </c>
      <c r="C269" s="83" t="s">
        <v>2962</v>
      </c>
      <c r="D269" s="113" t="s">
        <v>3485</v>
      </c>
      <c r="F269" s="120">
        <v>650000</v>
      </c>
      <c r="G269" s="85">
        <v>1</v>
      </c>
      <c r="H269" s="126">
        <v>65000</v>
      </c>
      <c r="I269" s="80">
        <v>715000</v>
      </c>
    </row>
    <row r="270" spans="1:10" ht="18" customHeight="1" x14ac:dyDescent="0.3">
      <c r="A270" s="82">
        <v>1392</v>
      </c>
      <c r="B270" s="93">
        <v>45895</v>
      </c>
      <c r="C270" s="83" t="s">
        <v>2962</v>
      </c>
      <c r="D270" s="113" t="s">
        <v>1537</v>
      </c>
      <c r="F270" s="120">
        <v>25000</v>
      </c>
      <c r="G270" s="85">
        <v>1</v>
      </c>
      <c r="I270" s="80">
        <v>25000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B34" sqref="B3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2935</v>
      </c>
      <c r="D1" s="287" t="s">
        <v>2934</v>
      </c>
      <c r="E1" s="287"/>
      <c r="F1" s="286"/>
    </row>
    <row r="2" spans="1:6" x14ac:dyDescent="0.3">
      <c r="B2" t="s">
        <v>1319</v>
      </c>
      <c r="C2" s="52">
        <f>SUMIF(BTS_매출관리!C:C,B2,BTS_매출관리!I:I)</f>
        <v>15478000</v>
      </c>
      <c r="D2">
        <f>RANK(C2,C:C,0)</f>
        <v>1</v>
      </c>
    </row>
    <row r="3" spans="1:6" x14ac:dyDescent="0.3">
      <c r="B3" t="s">
        <v>1291</v>
      </c>
      <c r="C3" s="52">
        <f>SUMIF(BTS_매출관리!C:C,B3,BTS_매출관리!I:I)</f>
        <v>6661901</v>
      </c>
      <c r="D3">
        <f>RANK(C3,C:C,0)</f>
        <v>2</v>
      </c>
    </row>
    <row r="4" spans="1:6" x14ac:dyDescent="0.3">
      <c r="B4" t="s">
        <v>1358</v>
      </c>
      <c r="C4" s="52">
        <f>SUMIF(BTS_매출관리!C:C,B4,BTS_매출관리!I:I)</f>
        <v>6000000</v>
      </c>
      <c r="D4">
        <f>RANK(C4,C:C,0)</f>
        <v>3</v>
      </c>
    </row>
    <row r="5" spans="1:6" x14ac:dyDescent="0.3">
      <c r="B5" t="s">
        <v>2626</v>
      </c>
      <c r="C5" s="52">
        <f>SUMIF(BTS_매출관리!C:C,B5,BTS_매출관리!I:I)</f>
        <v>4150000</v>
      </c>
      <c r="D5">
        <f>RANK(C5,C:C,0)</f>
        <v>6</v>
      </c>
    </row>
    <row r="6" spans="1:6" x14ac:dyDescent="0.3">
      <c r="B6" t="s">
        <v>1353</v>
      </c>
      <c r="C6" s="52">
        <f>SUMIF(BTS_매출관리!C:C,B6,BTS_매출관리!I:I)</f>
        <v>4010000</v>
      </c>
      <c r="D6">
        <f>RANK(C6,C:C,0)</f>
        <v>7</v>
      </c>
    </row>
    <row r="7" spans="1:6" x14ac:dyDescent="0.3">
      <c r="B7" t="s">
        <v>1304</v>
      </c>
      <c r="C7" s="52">
        <f>SUMIF(BTS_매출관리!C:C,B7,BTS_매출관리!I:I)</f>
        <v>4469000</v>
      </c>
      <c r="D7">
        <f>RANK(C7,C:C,0)</f>
        <v>4</v>
      </c>
    </row>
    <row r="8" spans="1:6" x14ac:dyDescent="0.3">
      <c r="B8" t="s">
        <v>1306</v>
      </c>
      <c r="C8" s="52">
        <f>SUMIF(BTS_매출관리!C:C,B8,BTS_매출관리!I:I)</f>
        <v>4265000</v>
      </c>
      <c r="D8">
        <f>RANK(C8,C:C,0)</f>
        <v>5</v>
      </c>
    </row>
    <row r="9" spans="1:6" x14ac:dyDescent="0.3">
      <c r="B9" t="s">
        <v>1065</v>
      </c>
      <c r="C9" s="52">
        <f>SUMIF(BTS_매출관리!C:C,B9,BTS_매출관리!I:I)</f>
        <v>3140000</v>
      </c>
      <c r="D9">
        <f>RANK(C9,C:C,0)</f>
        <v>10</v>
      </c>
    </row>
    <row r="10" spans="1:6" x14ac:dyDescent="0.3">
      <c r="B10" t="s">
        <v>1307</v>
      </c>
      <c r="C10" s="52">
        <f>SUMIF(BTS_매출관리!C:C,B10,BTS_매출관리!I:I)</f>
        <v>3080000</v>
      </c>
      <c r="D10">
        <f>RANK(C10,C:C,0)</f>
        <v>11</v>
      </c>
    </row>
    <row r="11" spans="1:6" x14ac:dyDescent="0.3">
      <c r="B11" t="s">
        <v>1293</v>
      </c>
      <c r="C11" s="52">
        <f>SUMIF(BTS_매출관리!C:C,B11,BTS_매출관리!I:I)</f>
        <v>2995000</v>
      </c>
      <c r="D11">
        <f>RANK(C11,C:C,0)</f>
        <v>12</v>
      </c>
    </row>
    <row r="12" spans="1:6" x14ac:dyDescent="0.3">
      <c r="B12" t="s">
        <v>1334</v>
      </c>
      <c r="C12" s="52">
        <f>SUMIF(BTS_매출관리!C:C,B12,BTS_매출관리!I:I)</f>
        <v>2960000</v>
      </c>
      <c r="D12">
        <f>RANK(C12,C:C,0)</f>
        <v>13</v>
      </c>
      <c r="F12" t="str">
        <f>IF(D12 &lt; 10,,"")</f>
        <v/>
      </c>
    </row>
    <row r="13" spans="1:6" x14ac:dyDescent="0.3">
      <c r="B13" t="s">
        <v>2533</v>
      </c>
      <c r="C13" s="52">
        <f>SUMIF(BTS_매출관리!C:C,B13,BTS_매출관리!I:I)</f>
        <v>2820000</v>
      </c>
      <c r="D13">
        <f>RANK(C13,C:C,0)</f>
        <v>14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2750000</v>
      </c>
      <c r="D14">
        <f>RANK(C14,C:C,0)</f>
        <v>15</v>
      </c>
      <c r="F14" t="str">
        <f>IF(D14 &lt; 10,,"")</f>
        <v/>
      </c>
    </row>
    <row r="15" spans="1:6" x14ac:dyDescent="0.3">
      <c r="B15" t="s">
        <v>1330</v>
      </c>
      <c r="C15" s="52">
        <f>SUMIF(BTS_매출관리!C:C,B15,BTS_매출관리!I:I)</f>
        <v>2500000</v>
      </c>
      <c r="D15">
        <f>RANK(C15,C:C,0)</f>
        <v>16</v>
      </c>
    </row>
    <row r="16" spans="1:6" x14ac:dyDescent="0.3">
      <c r="B16" t="s">
        <v>1351</v>
      </c>
      <c r="C16" s="52">
        <f>SUMIF(BTS_매출관리!C:C,B16,BTS_매출관리!I:I)</f>
        <v>2420000</v>
      </c>
      <c r="D16">
        <f>RANK(C16,C:C,0)</f>
        <v>17</v>
      </c>
    </row>
    <row r="17" spans="2:4" x14ac:dyDescent="0.3">
      <c r="B17" t="s">
        <v>2403</v>
      </c>
      <c r="C17" s="52">
        <f>SUMIF(BTS_매출관리!C:C,B17,BTS_매출관리!I:I)</f>
        <v>2365000</v>
      </c>
      <c r="D17">
        <f>RANK(C17,C:C,0)</f>
        <v>18</v>
      </c>
    </row>
    <row r="18" spans="2:4" x14ac:dyDescent="0.3">
      <c r="B18" t="s">
        <v>1030</v>
      </c>
      <c r="C18" s="52">
        <f>SUMIF(BTS_매출관리!C:C,B18,BTS_매출관리!I:I)</f>
        <v>2070000</v>
      </c>
      <c r="D18">
        <f>RANK(C18,C:C,0)</f>
        <v>19</v>
      </c>
    </row>
    <row r="19" spans="2:4" x14ac:dyDescent="0.3">
      <c r="B19" t="s">
        <v>1370</v>
      </c>
      <c r="C19" s="52">
        <f>SUMIF(BTS_매출관리!C:C,B19,BTS_매출관리!I:I)</f>
        <v>2029500</v>
      </c>
      <c r="D19">
        <f>RANK(C19,C:C,0)</f>
        <v>20</v>
      </c>
    </row>
    <row r="20" spans="2:4" x14ac:dyDescent="0.3">
      <c r="B20" t="s">
        <v>2248</v>
      </c>
      <c r="C20" s="52">
        <f>SUMIF(BTS_매출관리!C:C,B20,BTS_매출관리!I:I)</f>
        <v>3406000</v>
      </c>
      <c r="D20">
        <f>RANK(C20,C:C,0)</f>
        <v>8</v>
      </c>
    </row>
    <row r="21" spans="2:4" x14ac:dyDescent="0.3">
      <c r="B21" t="s">
        <v>1359</v>
      </c>
      <c r="C21" s="52">
        <f>SUMIF(BTS_매출관리!C:C,B21,BTS_매출관리!I:I)</f>
        <v>1759000</v>
      </c>
      <c r="D21">
        <f>RANK(C21,C:C,0)</f>
        <v>21</v>
      </c>
    </row>
    <row r="22" spans="2:4" x14ac:dyDescent="0.3">
      <c r="B22" t="s">
        <v>1027</v>
      </c>
      <c r="C22" s="52">
        <f>SUMIF(BTS_매출관리!C:C,B22,BTS_매출관리!I:I)</f>
        <v>1650000</v>
      </c>
      <c r="D22">
        <f>RANK(C22,C:C,0)</f>
        <v>22</v>
      </c>
    </row>
    <row r="23" spans="2:4" x14ac:dyDescent="0.3">
      <c r="B23" t="s">
        <v>1589</v>
      </c>
      <c r="C23" s="52">
        <f>SUMIF(BTS_매출관리!C:C,B23,BTS_매출관리!I:I)</f>
        <v>1650000</v>
      </c>
      <c r="D23">
        <f>RANK(C23,C:C,0)</f>
        <v>22</v>
      </c>
    </row>
    <row r="24" spans="2:4" x14ac:dyDescent="0.3">
      <c r="B24" t="s">
        <v>2887</v>
      </c>
      <c r="C24" s="52">
        <f>SUMIF(BTS_매출관리!C:C,B24,BTS_매출관리!I:I)</f>
        <v>1550000</v>
      </c>
      <c r="D24">
        <f>RANK(C24,C:C,0)</f>
        <v>24</v>
      </c>
    </row>
    <row r="25" spans="2:4" x14ac:dyDescent="0.3">
      <c r="B25" t="s">
        <v>1376</v>
      </c>
      <c r="C25" s="52">
        <f>SUMIF(BTS_매출관리!C:C,B25,BTS_매출관리!I:I)</f>
        <v>1550000</v>
      </c>
      <c r="D25">
        <f>RANK(C25,C:C,0)</f>
        <v>24</v>
      </c>
    </row>
    <row r="26" spans="2:4" x14ac:dyDescent="0.3">
      <c r="B26" t="s">
        <v>1377</v>
      </c>
      <c r="C26" s="52">
        <f>SUMIF(BTS_매출관리!C:C,B26,BTS_매출관리!I:I)</f>
        <v>1550000</v>
      </c>
      <c r="D26">
        <f>RANK(C26,C:C,0)</f>
        <v>24</v>
      </c>
    </row>
    <row r="27" spans="2:4" x14ac:dyDescent="0.3">
      <c r="B27" t="s">
        <v>1506</v>
      </c>
      <c r="C27" s="52">
        <f>SUMIF(BTS_매출관리!C:C,B27,BTS_매출관리!I:I)</f>
        <v>1550000</v>
      </c>
      <c r="D27">
        <f>RANK(C27,C:C,0)</f>
        <v>24</v>
      </c>
    </row>
    <row r="28" spans="2:4" x14ac:dyDescent="0.3">
      <c r="B28" t="s">
        <v>1366</v>
      </c>
      <c r="C28" s="52">
        <f>SUMIF(BTS_매출관리!C:C,B28,BTS_매출관리!I:I)</f>
        <v>1525400</v>
      </c>
      <c r="D28">
        <f>RANK(C28,C:C,0)</f>
        <v>28</v>
      </c>
    </row>
    <row r="29" spans="2:4" x14ac:dyDescent="0.3">
      <c r="B29" t="s">
        <v>1316</v>
      </c>
      <c r="C29" s="52">
        <f>SUMIF(BTS_매출관리!C:C,B29,BTS_매출관리!I:I)</f>
        <v>1500000</v>
      </c>
      <c r="D29">
        <f>RANK(C29,C:C,0)</f>
        <v>29</v>
      </c>
    </row>
    <row r="30" spans="2:4" x14ac:dyDescent="0.3">
      <c r="B30" t="s">
        <v>1333</v>
      </c>
      <c r="C30" s="52">
        <f>SUMIF(BTS_매출관리!C:C,B30,BTS_매출관리!I:I)</f>
        <v>1430000</v>
      </c>
      <c r="D30">
        <f>RANK(C30,C:C,0)</f>
        <v>31</v>
      </c>
    </row>
    <row r="31" spans="2:4" x14ac:dyDescent="0.3">
      <c r="B31" t="s">
        <v>1039</v>
      </c>
      <c r="C31" s="52">
        <f>SUMIF(BTS_매출관리!C:C,B31,BTS_매출관리!I:I)</f>
        <v>1397000</v>
      </c>
      <c r="D31">
        <f>RANK(C31,C:C,0)</f>
        <v>32</v>
      </c>
    </row>
    <row r="32" spans="2:4" x14ac:dyDescent="0.3">
      <c r="B32" t="s">
        <v>1295</v>
      </c>
      <c r="C32" s="52">
        <f>SUMIF(BTS_매출관리!C:C,B32,BTS_매출관리!I:I)</f>
        <v>1375000</v>
      </c>
      <c r="D32">
        <f>RANK(C32,C:C,0)</f>
        <v>33</v>
      </c>
    </row>
    <row r="33" spans="2:4" x14ac:dyDescent="0.3">
      <c r="B33" t="s">
        <v>1300</v>
      </c>
      <c r="C33" s="52">
        <f>SUMIF(BTS_매출관리!C:C,B33,BTS_매출관리!I:I)</f>
        <v>1320000</v>
      </c>
      <c r="D33">
        <f>RANK(C33,C:C,0)</f>
        <v>34</v>
      </c>
    </row>
    <row r="34" spans="2:4" x14ac:dyDescent="0.3">
      <c r="B34" t="s">
        <v>1313</v>
      </c>
      <c r="C34" s="52">
        <f>SUMIF(BTS_매출관리!C:C,B34,BTS_매출관리!I:I)</f>
        <v>1300000</v>
      </c>
      <c r="D34">
        <f>RANK(C34,C:C,0)</f>
        <v>35</v>
      </c>
    </row>
    <row r="35" spans="2:4" x14ac:dyDescent="0.3">
      <c r="B35" t="s">
        <v>2853</v>
      </c>
      <c r="C35" s="52">
        <f>SUMIF(BTS_매출관리!C:C,B35,BTS_매출관리!I:I)</f>
        <v>1200000</v>
      </c>
      <c r="D35">
        <f>RANK(C35,C:C,0)</f>
        <v>36</v>
      </c>
    </row>
    <row r="36" spans="2:4" x14ac:dyDescent="0.3">
      <c r="B36" t="s">
        <v>1161</v>
      </c>
      <c r="C36" s="52">
        <f>SUMIF(BTS_매출관리!C:C,B36,BTS_매출관리!I:I)</f>
        <v>1100000</v>
      </c>
      <c r="D36">
        <f>RANK(C36,C:C,0)</f>
        <v>37</v>
      </c>
    </row>
    <row r="37" spans="2:4" x14ac:dyDescent="0.3">
      <c r="B37" t="s">
        <v>1245</v>
      </c>
      <c r="C37" s="52">
        <f>SUMIF(BTS_매출관리!C:C,B37,BTS_매출관리!I:I)</f>
        <v>1100000</v>
      </c>
      <c r="D37">
        <f>RANK(C37,C:C,0)</f>
        <v>37</v>
      </c>
    </row>
    <row r="38" spans="2:4" x14ac:dyDescent="0.3">
      <c r="B38" t="s">
        <v>1338</v>
      </c>
      <c r="C38" s="52">
        <f>SUMIF(BTS_매출관리!C:C,B38,BTS_매출관리!I:I)</f>
        <v>1000000</v>
      </c>
      <c r="D38">
        <f>RANK(C38,C:C,0)</f>
        <v>39</v>
      </c>
    </row>
    <row r="39" spans="2:4" x14ac:dyDescent="0.3">
      <c r="B39" t="s">
        <v>1374</v>
      </c>
      <c r="C39" s="52">
        <f>SUMIF(BTS_매출관리!C:C,B39,BTS_매출관리!I:I)</f>
        <v>990000</v>
      </c>
      <c r="D39">
        <f>RANK(C39,C:C,0)</f>
        <v>40</v>
      </c>
    </row>
    <row r="40" spans="2:4" x14ac:dyDescent="0.3">
      <c r="B40" t="s">
        <v>1022</v>
      </c>
      <c r="C40" s="52">
        <f>SUMIF(BTS_매출관리!C:C,B40,BTS_매출관리!I:I)</f>
        <v>925000</v>
      </c>
      <c r="D40">
        <f>RANK(C40,C:C,0)</f>
        <v>41</v>
      </c>
    </row>
    <row r="41" spans="2:4" x14ac:dyDescent="0.3">
      <c r="B41" t="s">
        <v>2342</v>
      </c>
      <c r="C41" s="52">
        <f>SUMIF(BTS_매출관리!C:C,B41,BTS_매출관리!I:I)</f>
        <v>715000</v>
      </c>
      <c r="D41">
        <f>RANK(C41,C:C,0)</f>
        <v>42</v>
      </c>
    </row>
    <row r="42" spans="2:4" x14ac:dyDescent="0.3">
      <c r="B42" t="s">
        <v>1350</v>
      </c>
      <c r="C42" s="52">
        <f>SUMIF(BTS_매출관리!C:C,B42,BTS_매출관리!I:I)</f>
        <v>3150000</v>
      </c>
      <c r="D42">
        <f>RANK(C42,C:C,0)</f>
        <v>9</v>
      </c>
    </row>
    <row r="43" spans="2:4" x14ac:dyDescent="0.3">
      <c r="B43" t="s">
        <v>1251</v>
      </c>
      <c r="C43" s="52">
        <f>SUMIF(BTS_매출관리!C:C,B43,BTS_매출관리!I:I)</f>
        <v>600000</v>
      </c>
      <c r="D43">
        <f>RANK(C43,C:C,0)</f>
        <v>43</v>
      </c>
    </row>
    <row r="44" spans="2:4" x14ac:dyDescent="0.3">
      <c r="B44" t="s">
        <v>1368</v>
      </c>
      <c r="C44" s="52">
        <f>SUMIF(BTS_매출관리!C:C,B44,BTS_매출관리!I:I)</f>
        <v>600000</v>
      </c>
      <c r="D44">
        <f>RANK(C44,C:C,0)</f>
        <v>43</v>
      </c>
    </row>
    <row r="45" spans="2:4" x14ac:dyDescent="0.3">
      <c r="B45" t="s">
        <v>1336</v>
      </c>
      <c r="C45" s="52">
        <f>SUMIF(BTS_매출관리!C:C,B45,BTS_매출관리!I:I)</f>
        <v>440000</v>
      </c>
      <c r="D45">
        <f>RANK(C45,C:C,0)</f>
        <v>45</v>
      </c>
    </row>
    <row r="46" spans="2:4" x14ac:dyDescent="0.3">
      <c r="B46" t="s">
        <v>1314</v>
      </c>
      <c r="C46" s="52">
        <f>SUMIF(BTS_매출관리!C:C,B46,BTS_매출관리!I:I)</f>
        <v>370000</v>
      </c>
      <c r="D46">
        <f>RANK(C46,C:C,0)</f>
        <v>46</v>
      </c>
    </row>
    <row r="47" spans="2:4" x14ac:dyDescent="0.3">
      <c r="B47" t="s">
        <v>1301</v>
      </c>
      <c r="C47" s="52">
        <f>SUMIF(BTS_매출관리!C:C,B47,BTS_매출관리!I:I)</f>
        <v>350000</v>
      </c>
      <c r="D47">
        <f>RANK(C47,C:C,0)</f>
        <v>47</v>
      </c>
    </row>
    <row r="48" spans="2:4" x14ac:dyDescent="0.3">
      <c r="B48" t="s">
        <v>1315</v>
      </c>
      <c r="C48" s="52">
        <f>SUMIF(BTS_매출관리!C:C,B48,BTS_매출관리!I:I)</f>
        <v>300000</v>
      </c>
      <c r="D48">
        <f>RANK(C48,C:C,0)</f>
        <v>48</v>
      </c>
    </row>
    <row r="49" spans="2:4" x14ac:dyDescent="0.3">
      <c r="B49" t="s">
        <v>2179</v>
      </c>
      <c r="C49" s="52">
        <f>SUMIF(BTS_매출관리!C:C,B49,BTS_매출관리!I:I)</f>
        <v>150000</v>
      </c>
      <c r="D49">
        <f>RANK(C49,C:C,0)</f>
        <v>49</v>
      </c>
    </row>
    <row r="50" spans="2:4" x14ac:dyDescent="0.3">
      <c r="B50" t="s">
        <v>1011</v>
      </c>
      <c r="C50" s="52">
        <f>SUMIF(BTS_매출관리!C:C,B50,BTS_매출관리!I:I)</f>
        <v>150000</v>
      </c>
      <c r="D50">
        <f>RANK(C50,C:C,0)</f>
        <v>49</v>
      </c>
    </row>
    <row r="51" spans="2:4" x14ac:dyDescent="0.3">
      <c r="B51" t="s">
        <v>1689</v>
      </c>
      <c r="C51" s="52">
        <f>SUMIF(BTS_매출관리!C:C,B51,BTS_매출관리!I:I)</f>
        <v>0</v>
      </c>
      <c r="D51">
        <f>RANK(C51,C:C,0)</f>
        <v>51</v>
      </c>
    </row>
    <row r="52" spans="2:4" x14ac:dyDescent="0.3">
      <c r="B52" t="s">
        <v>982</v>
      </c>
      <c r="C52" s="52">
        <f>SUMIF(BTS_매출관리!C:C,B52,BTS_매출관리!I:I)</f>
        <v>0</v>
      </c>
      <c r="D52">
        <f>RANK(C52,C:C,0)</f>
        <v>51</v>
      </c>
    </row>
    <row r="53" spans="2:4" x14ac:dyDescent="0.3">
      <c r="B53" t="s">
        <v>1296</v>
      </c>
      <c r="C53" s="52">
        <f>SUMIF(BTS_매출관리!C:C,B53,BTS_매출관리!I:I)</f>
        <v>0</v>
      </c>
      <c r="D53">
        <f>RANK(C53,C:C,0)</f>
        <v>51</v>
      </c>
    </row>
    <row r="54" spans="2:4" x14ac:dyDescent="0.3">
      <c r="B54" t="s">
        <v>1172</v>
      </c>
      <c r="C54" s="52">
        <f>SUMIF(BTS_매출관리!C:C,B54,BTS_매출관리!I:I)</f>
        <v>0</v>
      </c>
      <c r="D54">
        <f>RANK(C54,C:C,0)</f>
        <v>51</v>
      </c>
    </row>
    <row r="55" spans="2:4" x14ac:dyDescent="0.3">
      <c r="B55" t="s">
        <v>1804</v>
      </c>
      <c r="C55" s="52">
        <f>SUMIF(BTS_매출관리!C:C,B55,BTS_매출관리!I:I)</f>
        <v>0</v>
      </c>
      <c r="D55">
        <f>RANK(C55,C:C,0)</f>
        <v>51</v>
      </c>
    </row>
    <row r="56" spans="2:4" x14ac:dyDescent="0.3">
      <c r="B56" t="s">
        <v>1309</v>
      </c>
      <c r="C56" s="52">
        <f>SUMIF(BTS_매출관리!C:C,B56,BTS_매출관리!I:I)</f>
        <v>0</v>
      </c>
      <c r="D56">
        <f>RANK(C56,C:C,0)</f>
        <v>51</v>
      </c>
    </row>
    <row r="57" spans="2:4" x14ac:dyDescent="0.3">
      <c r="B57" t="s">
        <v>1635</v>
      </c>
      <c r="C57" s="52">
        <f>SUMIF(BTS_매출관리!C:C,B57,BTS_매출관리!I:I)</f>
        <v>0</v>
      </c>
      <c r="D57">
        <f>RANK(C57,C:C,0)</f>
        <v>51</v>
      </c>
    </row>
    <row r="58" spans="2:4" x14ac:dyDescent="0.3">
      <c r="B58" t="s">
        <v>2892</v>
      </c>
      <c r="C58" s="52">
        <f>SUMIF(BTS_매출관리!C:C,B58,BTS_매출관리!I:I)</f>
        <v>0</v>
      </c>
      <c r="D58">
        <f>RANK(C58,C:C,0)</f>
        <v>51</v>
      </c>
    </row>
    <row r="59" spans="2:4" x14ac:dyDescent="0.3">
      <c r="B59" t="s">
        <v>2421</v>
      </c>
      <c r="C59" s="52">
        <f>SUMIF(BTS_매출관리!C:C,B59,BTS_매출관리!I:I)</f>
        <v>0</v>
      </c>
      <c r="D59">
        <f>RANK(C59,C:C,0)</f>
        <v>51</v>
      </c>
    </row>
    <row r="60" spans="2:4" x14ac:dyDescent="0.3">
      <c r="B60" t="s">
        <v>1362</v>
      </c>
      <c r="C60" s="52">
        <f>SUMIF(BTS_매출관리!C:C,B60,BTS_매출관리!I:I)</f>
        <v>0</v>
      </c>
      <c r="D60">
        <f>RANK(C60,C:C,0)</f>
        <v>51</v>
      </c>
    </row>
    <row r="61" spans="2:4" x14ac:dyDescent="0.3">
      <c r="B61" t="s">
        <v>985</v>
      </c>
      <c r="C61" s="52">
        <f>SUMIF(BTS_매출관리!C:C,B61,BTS_매출관리!I:I)</f>
        <v>0</v>
      </c>
      <c r="D61">
        <f>RANK(C61,C:C,0)</f>
        <v>51</v>
      </c>
    </row>
    <row r="62" spans="2:4" x14ac:dyDescent="0.3">
      <c r="B62" t="s">
        <v>2868</v>
      </c>
      <c r="C62" s="52">
        <f>SUMIF(BTS_매출관리!C:C,B62,BTS_매출관리!I:I)</f>
        <v>0</v>
      </c>
      <c r="D62">
        <f>RANK(C62,C:C,0)</f>
        <v>51</v>
      </c>
    </row>
    <row r="63" spans="2:4" x14ac:dyDescent="0.3">
      <c r="B63" t="s">
        <v>1373</v>
      </c>
      <c r="C63" s="52">
        <f>SUMIF(BTS_매출관리!C:C,B63,BTS_매출관리!I:I)</f>
        <v>0</v>
      </c>
      <c r="D63">
        <f>RANK(C63,C:C,0)</f>
        <v>51</v>
      </c>
    </row>
    <row r="64" spans="2:4" x14ac:dyDescent="0.3">
      <c r="B64" t="s">
        <v>2858</v>
      </c>
      <c r="C64" s="52">
        <f>SUMIF(BTS_매출관리!C:C,B64,BTS_매출관리!I:I)</f>
        <v>0</v>
      </c>
      <c r="D64">
        <f>RANK(C64,C:C,0)</f>
        <v>51</v>
      </c>
    </row>
    <row r="65" spans="2:4" x14ac:dyDescent="0.3">
      <c r="B65" t="s">
        <v>1288</v>
      </c>
      <c r="C65" s="52">
        <f>SUMIF(BTS_매출관리!C:C,B65,BTS_매출관리!I:I)</f>
        <v>0</v>
      </c>
      <c r="D65">
        <f>RANK(C65,C:C,0)</f>
        <v>51</v>
      </c>
    </row>
    <row r="66" spans="2:4" x14ac:dyDescent="0.3">
      <c r="B66" t="s">
        <v>1347</v>
      </c>
      <c r="C66" s="52">
        <f>SUMIF(BTS_매출관리!C:C,B66,BTS_매출관리!I:I)</f>
        <v>1500000</v>
      </c>
      <c r="D66">
        <f>RANK(C66,C:C,0)</f>
        <v>29</v>
      </c>
    </row>
    <row r="67" spans="2:4" x14ac:dyDescent="0.3">
      <c r="B67" t="s">
        <v>1363</v>
      </c>
      <c r="C67" s="52">
        <f>SUMIF(BTS_매출관리!C:C,B67,BTS_매출관리!I:I)</f>
        <v>0</v>
      </c>
      <c r="D67">
        <f>RANK(C67,C:C,0)</f>
        <v>51</v>
      </c>
    </row>
    <row r="68" spans="2:4" x14ac:dyDescent="0.3">
      <c r="B68" t="s">
        <v>2318</v>
      </c>
      <c r="C68" s="52">
        <f>SUMIF(BTS_매출관리!C:C,B68,BTS_매출관리!I:I)</f>
        <v>0</v>
      </c>
      <c r="D68">
        <f>RANK(C68,C:C,0)</f>
        <v>51</v>
      </c>
    </row>
    <row r="69" spans="2:4" x14ac:dyDescent="0.3">
      <c r="B69" t="s">
        <v>1356</v>
      </c>
      <c r="C69" s="52">
        <f>SUMIF(BTS_매출관리!C:C,B69,BTS_매출관리!I:I)</f>
        <v>0</v>
      </c>
      <c r="D69">
        <f>RANK(C69,C:C,0)</f>
        <v>51</v>
      </c>
    </row>
    <row r="70" spans="2:4" x14ac:dyDescent="0.3">
      <c r="B70" t="s">
        <v>1629</v>
      </c>
      <c r="C70" s="52">
        <f>SUMIF(BTS_매출관리!C:C,B70,BTS_매출관리!I:I)</f>
        <v>0</v>
      </c>
      <c r="D70">
        <f>RANK(C70,C:C,0)</f>
        <v>51</v>
      </c>
    </row>
    <row r="71" spans="2:4" x14ac:dyDescent="0.3">
      <c r="B71" t="s">
        <v>1345</v>
      </c>
      <c r="C71" s="52">
        <f>SUMIF(BTS_매출관리!C:C,B71,BTS_매출관리!I:I)</f>
        <v>0</v>
      </c>
      <c r="D71">
        <f>RANK(C71,C:C,0)</f>
        <v>51</v>
      </c>
    </row>
    <row r="72" spans="2:4" x14ac:dyDescent="0.3">
      <c r="B72" t="s">
        <v>2838</v>
      </c>
      <c r="C72" s="52">
        <f>SUMIF(BTS_매출관리!C:C,B72,BTS_매출관리!I:I)</f>
        <v>0</v>
      </c>
      <c r="D72">
        <f>RANK(C72,C:C,0)</f>
        <v>51</v>
      </c>
    </row>
    <row r="73" spans="2:4" x14ac:dyDescent="0.3">
      <c r="B73" t="s">
        <v>1324</v>
      </c>
      <c r="C73" s="52">
        <f>SUMIF(BTS_매출관리!C:C,B73,BTS_매출관리!I:I)</f>
        <v>0</v>
      </c>
      <c r="D73">
        <f>RANK(C73,C:C,0)</f>
        <v>51</v>
      </c>
    </row>
    <row r="74" spans="2:4" x14ac:dyDescent="0.3">
      <c r="B74" t="s">
        <v>1312</v>
      </c>
      <c r="C74" s="52">
        <f>SUMIF(BTS_매출관리!C:C,B74,BTS_매출관리!I:I)</f>
        <v>0</v>
      </c>
      <c r="D74">
        <f>RANK(C74,C:C,0)</f>
        <v>51</v>
      </c>
    </row>
    <row r="75" spans="2:4" x14ac:dyDescent="0.3">
      <c r="B75" t="s">
        <v>1318</v>
      </c>
      <c r="C75" s="52">
        <f>SUMIF(BTS_매출관리!C:C,B75,BTS_매출관리!I:I)</f>
        <v>0</v>
      </c>
      <c r="D75">
        <f>RANK(C75,C:C,0)</f>
        <v>51</v>
      </c>
    </row>
    <row r="76" spans="2:4" x14ac:dyDescent="0.3">
      <c r="B76" t="s">
        <v>2293</v>
      </c>
      <c r="C76" s="52">
        <f>SUMIF(BTS_매출관리!C:C,B76,BTS_매출관리!I:I)</f>
        <v>0</v>
      </c>
      <c r="D76">
        <f>RANK(C76,C:C,0)</f>
        <v>51</v>
      </c>
    </row>
    <row r="77" spans="2:4" x14ac:dyDescent="0.3">
      <c r="B77" t="s">
        <v>2912</v>
      </c>
      <c r="C77" s="52">
        <f>SUMIF(BTS_매출관리!C:C,B77,BTS_매출관리!I:I)</f>
        <v>0</v>
      </c>
      <c r="D77">
        <f>RANK(C77,C:C,0)</f>
        <v>51</v>
      </c>
    </row>
    <row r="78" spans="2:4" x14ac:dyDescent="0.3">
      <c r="B78" t="s">
        <v>1365</v>
      </c>
      <c r="C78" s="52">
        <f>SUMIF(BTS_매출관리!C:C,B78,BTS_매출관리!I:I)</f>
        <v>0</v>
      </c>
      <c r="D78">
        <f>RANK(C78,C:C,0)</f>
        <v>51</v>
      </c>
    </row>
    <row r="79" spans="2:4" x14ac:dyDescent="0.3">
      <c r="B79" t="s">
        <v>2827</v>
      </c>
      <c r="C79" s="52">
        <f>SUMIF(BTS_매출관리!C:C,B79,BTS_매출관리!I:I)</f>
        <v>0</v>
      </c>
      <c r="D79">
        <f>RANK(C79,C:C,0)</f>
        <v>51</v>
      </c>
    </row>
    <row r="80" spans="2:4" x14ac:dyDescent="0.3">
      <c r="B80" t="s">
        <v>1305</v>
      </c>
      <c r="C80" s="52">
        <f>SUMIF(BTS_매출관리!C:C,B80,BTS_매출관리!I:I)</f>
        <v>0</v>
      </c>
      <c r="D80">
        <f>RANK(C80,C:C,0)</f>
        <v>51</v>
      </c>
    </row>
    <row r="81" spans="2:4" x14ac:dyDescent="0.3">
      <c r="B81" t="s">
        <v>1320</v>
      </c>
      <c r="C81" s="52">
        <f>SUMIF(BTS_매출관리!C:C,B81,BTS_매출관리!I:I)</f>
        <v>0</v>
      </c>
      <c r="D81">
        <f>RANK(C81,C:C,0)</f>
        <v>51</v>
      </c>
    </row>
    <row r="82" spans="2:4" x14ac:dyDescent="0.3">
      <c r="B82" t="s">
        <v>1927</v>
      </c>
      <c r="C82" s="52">
        <f>SUMIF(BTS_매출관리!C:C,B82,BTS_매출관리!I:I)</f>
        <v>0</v>
      </c>
      <c r="D82">
        <f>RANK(C82,C:C,0)</f>
        <v>51</v>
      </c>
    </row>
    <row r="83" spans="2:4" x14ac:dyDescent="0.3">
      <c r="B83" t="s">
        <v>2411</v>
      </c>
      <c r="C83" s="52">
        <f>SUMIF(BTS_매출관리!C:C,B83,BTS_매출관리!I:I)</f>
        <v>0</v>
      </c>
      <c r="D83">
        <f>RANK(C83,C:C,0)</f>
        <v>51</v>
      </c>
    </row>
    <row r="84" spans="2:4" x14ac:dyDescent="0.3">
      <c r="B84" t="s">
        <v>1322</v>
      </c>
      <c r="C84" s="52">
        <f>SUMIF(BTS_매출관리!C:C,B84,BTS_매출관리!I:I)</f>
        <v>0</v>
      </c>
      <c r="D84">
        <f>RANK(C84,C:C,0)</f>
        <v>51</v>
      </c>
    </row>
    <row r="85" spans="2:4" x14ac:dyDescent="0.3">
      <c r="B85" t="s">
        <v>1391</v>
      </c>
      <c r="C85" s="52">
        <f>SUMIF(BTS_매출관리!C:C,B85,BTS_매출관리!I:I)</f>
        <v>0</v>
      </c>
      <c r="D85">
        <f>RANK(C85,C:C,0)</f>
        <v>51</v>
      </c>
    </row>
    <row r="86" spans="2:4" x14ac:dyDescent="0.3">
      <c r="B86" t="s">
        <v>2041</v>
      </c>
      <c r="C86" s="52">
        <f>SUMIF(BTS_매출관리!C:C,B86,BTS_매출관리!I:I)</f>
        <v>0</v>
      </c>
      <c r="D86">
        <f>RANK(C86,C:C,0)</f>
        <v>51</v>
      </c>
    </row>
    <row r="87" spans="2:4" x14ac:dyDescent="0.3">
      <c r="B87" t="s">
        <v>1187</v>
      </c>
      <c r="C87" s="52">
        <f>SUMIF(BTS_매출관리!C:C,B87,BTS_매출관리!I:I)</f>
        <v>0</v>
      </c>
      <c r="D87">
        <f>RANK(C87,C:C,0)</f>
        <v>51</v>
      </c>
    </row>
    <row r="88" spans="2:4" x14ac:dyDescent="0.3">
      <c r="B88" t="s">
        <v>1285</v>
      </c>
      <c r="C88" s="52">
        <f>SUMIF(BTS_매출관리!C:C,B88,BTS_매출관리!I:I)</f>
        <v>0</v>
      </c>
      <c r="D88">
        <f>RANK(C88,C:C,0)</f>
        <v>51</v>
      </c>
    </row>
    <row r="89" spans="2:4" x14ac:dyDescent="0.3">
      <c r="B89" t="s">
        <v>1292</v>
      </c>
      <c r="C89" s="52">
        <f>SUMIF(BTS_매출관리!C:C,B89,BTS_매출관리!I:I)</f>
        <v>0</v>
      </c>
      <c r="D89">
        <f>RANK(C89,C:C,0)</f>
        <v>51</v>
      </c>
    </row>
    <row r="90" spans="2:4" x14ac:dyDescent="0.3">
      <c r="B90" t="s">
        <v>2124</v>
      </c>
      <c r="C90" s="52">
        <f>SUMIF(BTS_매출관리!C:C,B90,BTS_매출관리!I:I)</f>
        <v>0</v>
      </c>
      <c r="D90">
        <f>RANK(C90,C:C,0)</f>
        <v>51</v>
      </c>
    </row>
    <row r="91" spans="2:4" x14ac:dyDescent="0.3">
      <c r="B91" t="s">
        <v>1302</v>
      </c>
      <c r="C91" s="52">
        <f>SUMIF(BTS_매출관리!C:C,B91,BTS_매출관리!I:I)</f>
        <v>0</v>
      </c>
      <c r="D91">
        <f>RANK(C91,C:C,0)</f>
        <v>51</v>
      </c>
    </row>
    <row r="92" spans="2:4" x14ac:dyDescent="0.3">
      <c r="B92" t="s">
        <v>2163</v>
      </c>
      <c r="C92" s="52">
        <f>SUMIF(BTS_매출관리!C:C,B92,BTS_매출관리!I:I)</f>
        <v>0</v>
      </c>
      <c r="D92">
        <f>RANK(C92,C:C,0)</f>
        <v>51</v>
      </c>
    </row>
    <row r="93" spans="2:4" x14ac:dyDescent="0.3">
      <c r="B93" t="s">
        <v>2063</v>
      </c>
      <c r="C93" s="52">
        <f>SUMIF(BTS_매출관리!C:C,B93,BTS_매출관리!I:I)</f>
        <v>0</v>
      </c>
      <c r="D93">
        <f>RANK(C93,C:C,0)</f>
        <v>51</v>
      </c>
    </row>
    <row r="94" spans="2:4" x14ac:dyDescent="0.3">
      <c r="B94" t="s">
        <v>1255</v>
      </c>
      <c r="C94" s="52">
        <f>SUMIF(BTS_매출관리!C:C,B94,BTS_매출관리!I:I)</f>
        <v>0</v>
      </c>
      <c r="D94">
        <f>RANK(C94,C:C,0)</f>
        <v>51</v>
      </c>
    </row>
    <row r="95" spans="2:4" x14ac:dyDescent="0.3">
      <c r="B95" t="s">
        <v>1205</v>
      </c>
      <c r="C95" s="52">
        <f>SUMIF(BTS_매출관리!C:C,B95,BTS_매출관리!I:I)</f>
        <v>0</v>
      </c>
      <c r="D95">
        <f>RANK(C95,C:C,0)</f>
        <v>51</v>
      </c>
    </row>
    <row r="96" spans="2:4" x14ac:dyDescent="0.3">
      <c r="B96" t="s">
        <v>1346</v>
      </c>
      <c r="C96" s="52">
        <f>SUMIF(BTS_매출관리!C:C,B96,BTS_매출관리!I:I)</f>
        <v>0</v>
      </c>
      <c r="D96">
        <f>RANK(C96,C:C,0)</f>
        <v>51</v>
      </c>
    </row>
    <row r="97" spans="2:4" x14ac:dyDescent="0.3">
      <c r="B97" t="s">
        <v>1332</v>
      </c>
      <c r="C97" s="52">
        <f>SUMIF(BTS_매출관리!C:C,B97,BTS_매출관리!I:I)</f>
        <v>0</v>
      </c>
      <c r="D97">
        <f>RANK(C97,C:C,0)</f>
        <v>51</v>
      </c>
    </row>
    <row r="98" spans="2:4" x14ac:dyDescent="0.3">
      <c r="B98" t="s">
        <v>2659</v>
      </c>
      <c r="C98" s="52">
        <f>SUMIF(BTS_매출관리!C:C,B98,BTS_매출관리!I:I)</f>
        <v>0</v>
      </c>
      <c r="D98">
        <f>RANK(C98,C:C,0)</f>
        <v>51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>RANK(C99,C:C,0)</f>
        <v>51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>RANK(C100,C:C,0)</f>
        <v>51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>RANK(C101,C:C,0)</f>
        <v>51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>RANK(C102,C:C,0)</f>
        <v>51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>RANK(C103,C:C,0)</f>
        <v>51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>RANK(C104,C:C,0)</f>
        <v>51</v>
      </c>
    </row>
    <row r="105" spans="2:4" x14ac:dyDescent="0.3">
      <c r="B105" t="s">
        <v>2428</v>
      </c>
      <c r="C105" s="52">
        <f>SUMIF(BTS_매출관리!C:C,B105,BTS_매출관리!I:I)</f>
        <v>0</v>
      </c>
      <c r="D105">
        <f>RANK(C105,C:C,0)</f>
        <v>51</v>
      </c>
    </row>
    <row r="106" spans="2:4" x14ac:dyDescent="0.3">
      <c r="B106" t="s">
        <v>2553</v>
      </c>
      <c r="C106" s="52">
        <f>SUMIF(BTS_매출관리!C:C,B106,BTS_매출관리!I:I)</f>
        <v>0</v>
      </c>
      <c r="D106">
        <f>RANK(C106,C:C,0)</f>
        <v>51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>RANK(C107,C:C,0)</f>
        <v>51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>RANK(C108,C:C,0)</f>
        <v>51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>RANK(C109,C:C,0)</f>
        <v>51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>RANK(C110,C:C,0)</f>
        <v>51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>RANK(C111,C:C,0)</f>
        <v>51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>RANK(C112,C:C,0)</f>
        <v>51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>RANK(C113,C:C,0)</f>
        <v>51</v>
      </c>
    </row>
    <row r="114" spans="2:4" x14ac:dyDescent="0.3">
      <c r="B114" t="s">
        <v>2706</v>
      </c>
      <c r="C114" s="52">
        <f>SUMIF(BTS_매출관리!C:C,B114,BTS_매출관리!I:I)</f>
        <v>0</v>
      </c>
      <c r="D114">
        <f>RANK(C114,C:C,0)</f>
        <v>51</v>
      </c>
    </row>
    <row r="115" spans="2:4" x14ac:dyDescent="0.3">
      <c r="B115" t="s">
        <v>2791</v>
      </c>
      <c r="C115" s="52">
        <f>SUMIF(BTS_매출관리!C:C,B115,BTS_매출관리!I:I)</f>
        <v>0</v>
      </c>
      <c r="D115">
        <f>RANK(C115,C:C,0)</f>
        <v>51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>RANK(C116,C:C,0)</f>
        <v>51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>RANK(C117,C:C,0)</f>
        <v>51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>RANK(C118,C:C,0)</f>
        <v>51</v>
      </c>
    </row>
    <row r="119" spans="2:4" x14ac:dyDescent="0.3">
      <c r="B119" t="s">
        <v>2529</v>
      </c>
      <c r="C119" s="52">
        <f>SUMIF(BTS_매출관리!C:C,B119,BTS_매출관리!I:I)</f>
        <v>0</v>
      </c>
      <c r="D119">
        <f>RANK(C119,C:C,0)</f>
        <v>51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>RANK(C120,C:C,0)</f>
        <v>51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>RANK(C121,C:C,0)</f>
        <v>51</v>
      </c>
    </row>
    <row r="122" spans="2:4" x14ac:dyDescent="0.3">
      <c r="B122" t="s">
        <v>2549</v>
      </c>
      <c r="C122" s="52">
        <f>SUMIF(BTS_매출관리!C:C,B122,BTS_매출관리!I:I)</f>
        <v>0</v>
      </c>
      <c r="D122">
        <f>RANK(C122,C:C,0)</f>
        <v>51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>RANK(C123,C:C,0)</f>
        <v>51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>RANK(C124,C:C,0)</f>
        <v>51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>RANK(C125,C:C,0)</f>
        <v>51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>RANK(C126,C:C,0)</f>
        <v>51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>RANK(C127,C:C,0)</f>
        <v>51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>RANK(C128,C:C,0)</f>
        <v>51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>RANK(C129,C:C,0)</f>
        <v>51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>RANK(C130,C:C,0)</f>
        <v>51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>RANK(C131,C:C,0)</f>
        <v>51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>RANK(C132,C:C,0)</f>
        <v>51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>RANK(C133,C:C,0)</f>
        <v>51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>RANK(C134,C:C,0)</f>
        <v>51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>RANK(C135,C:C,0)</f>
        <v>51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>RANK(C136,C:C,0)</f>
        <v>51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>RANK(C137,C:C,0)</f>
        <v>51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>RANK(C138,C:C,0)</f>
        <v>51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>RANK(C139,C:C,0)</f>
        <v>51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>RANK(C140,C:C,0)</f>
        <v>51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>RANK(C141,C:C,0)</f>
        <v>51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>RANK(C142,C:C,0)</f>
        <v>51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>RANK(C143,C:C,0)</f>
        <v>51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>RANK(C144,C:C,0)</f>
        <v>51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>RANK(C145,C:C,0)</f>
        <v>51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>RANK(C146,C:C,0)</f>
        <v>51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>RANK(C147,C:C,0)</f>
        <v>51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>RANK(C148,C:C,0)</f>
        <v>51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>RANK(C149,C:C,0)</f>
        <v>51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>RANK(C150,C:C,0)</f>
        <v>51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>RANK(C151,C:C,0)</f>
        <v>51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>RANK(C152,C:C,0)</f>
        <v>51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>RANK(C153,C:C,0)</f>
        <v>51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>RANK(C154,C:C,0)</f>
        <v>51</v>
      </c>
    </row>
    <row r="155" spans="2:4" x14ac:dyDescent="0.3">
      <c r="B155" t="s">
        <v>2417</v>
      </c>
      <c r="C155" s="52">
        <f>SUMIF(BTS_매출관리!C:C,B155,BTS_매출관리!I:I)</f>
        <v>0</v>
      </c>
      <c r="D155">
        <f>RANK(C155,C:C,0)</f>
        <v>51</v>
      </c>
    </row>
    <row r="156" spans="2:4" x14ac:dyDescent="0.3">
      <c r="B156" t="s">
        <v>2763</v>
      </c>
      <c r="C156" s="52">
        <f>SUMIF(BTS_매출관리!C:C,B156,BTS_매출관리!I:I)</f>
        <v>0</v>
      </c>
      <c r="D156">
        <f>RANK(C156,C:C,0)</f>
        <v>51</v>
      </c>
    </row>
    <row r="157" spans="2:4" x14ac:dyDescent="0.3">
      <c r="C157" s="52">
        <f>SUMIF(BTS_매출관리!C:C,B157,BTS_매출관리!I:I)</f>
        <v>0</v>
      </c>
      <c r="D157">
        <f>RANK(C157,C:C,0)</f>
        <v>51</v>
      </c>
    </row>
    <row r="158" spans="2:4" x14ac:dyDescent="0.3">
      <c r="C158" s="52">
        <f>SUMIF(BTS_매출관리!C:C,B158,BTS_매출관리!I:I)</f>
        <v>0</v>
      </c>
      <c r="D158">
        <f>RANK(C158,C:C,0)</f>
        <v>51</v>
      </c>
    </row>
    <row r="159" spans="2:4" x14ac:dyDescent="0.3">
      <c r="C159" s="52">
        <f>SUMIF(BTS_매출관리!C:C,B159,BTS_매출관리!I:I)</f>
        <v>0</v>
      </c>
      <c r="D159">
        <f>RANK(C159,C:C,0)</f>
        <v>51</v>
      </c>
    </row>
    <row r="160" spans="2:4" x14ac:dyDescent="0.3">
      <c r="C160" s="52">
        <f>SUMIF(BTS_매출관리!C:C,B160,BTS_매출관리!I:I)</f>
        <v>0</v>
      </c>
      <c r="D160">
        <f>RANK(C160,C:C,0)</f>
        <v>51</v>
      </c>
    </row>
    <row r="161" spans="3:4" x14ac:dyDescent="0.3">
      <c r="C161" s="52">
        <f>SUMIF(BTS_매출관리!C:C,B161,BTS_매출관리!I:I)</f>
        <v>0</v>
      </c>
      <c r="D161">
        <f>RANK(C161,C:C,0)</f>
        <v>51</v>
      </c>
    </row>
    <row r="162" spans="3:4" x14ac:dyDescent="0.3">
      <c r="C162" s="52">
        <f>SUMIF(BTS_매출관리!C:C,B162,BTS_매출관리!I:I)</f>
        <v>0</v>
      </c>
      <c r="D162">
        <f>RANK(C162,C:C,0)</f>
        <v>51</v>
      </c>
    </row>
    <row r="163" spans="3:4" x14ac:dyDescent="0.3">
      <c r="C163" s="52">
        <f>SUMIF(BTS_매출관리!C:C,B163,BTS_매출관리!I:I)</f>
        <v>0</v>
      </c>
      <c r="D163">
        <f>RANK(C163,C:C,0)</f>
        <v>51</v>
      </c>
    </row>
    <row r="164" spans="3:4" x14ac:dyDescent="0.3">
      <c r="C164" s="52">
        <f>SUMIF(BTS_매출관리!C:C,B164,BTS_매출관리!I:I)</f>
        <v>0</v>
      </c>
      <c r="D164">
        <f>RANK(C164,C:C,0)</f>
        <v>51</v>
      </c>
    </row>
    <row r="165" spans="3:4" x14ac:dyDescent="0.3">
      <c r="C165" s="52">
        <f>SUMIF(BTS_매출관리!C:C,B165,BTS_매출관리!I:I)</f>
        <v>0</v>
      </c>
      <c r="D165">
        <f>RANK(C165,C:C,0)</f>
        <v>51</v>
      </c>
    </row>
    <row r="166" spans="3:4" x14ac:dyDescent="0.3">
      <c r="C166" s="52">
        <f>SUMIF(BTS_매출관리!C:C,B166,BTS_매출관리!I:I)</f>
        <v>0</v>
      </c>
      <c r="D166">
        <f>RANK(C166,C:C,0)</f>
        <v>51</v>
      </c>
    </row>
    <row r="167" spans="3:4" x14ac:dyDescent="0.3">
      <c r="C167" s="52">
        <f>SUMIF(BTS_매출관리!C:C,B167,BTS_매출관리!I:I)</f>
        <v>0</v>
      </c>
      <c r="D167">
        <f>RANK(C167,C:C,0)</f>
        <v>51</v>
      </c>
    </row>
    <row r="168" spans="3:4" x14ac:dyDescent="0.3">
      <c r="C168" s="52">
        <f>SUMIF(BTS_매출관리!C:C,B168,BTS_매출관리!I:I)</f>
        <v>0</v>
      </c>
      <c r="D168">
        <f>RANK(C168,C:C,0)</f>
        <v>51</v>
      </c>
    </row>
    <row r="169" spans="3:4" x14ac:dyDescent="0.3">
      <c r="C169" s="52">
        <f>SUMIF(BTS_매출관리!C:C,B169,BTS_매출관리!I:I)</f>
        <v>0</v>
      </c>
      <c r="D169">
        <f>RANK(C169,C:C,0)</f>
        <v>51</v>
      </c>
    </row>
    <row r="170" spans="3:4" x14ac:dyDescent="0.3">
      <c r="C170" s="52">
        <f>SUMIF(BTS_매출관리!C:C,B170,BTS_매출관리!I:I)</f>
        <v>0</v>
      </c>
      <c r="D170">
        <f>RANK(C170,C:C,0)</f>
        <v>51</v>
      </c>
    </row>
    <row r="171" spans="3:4" x14ac:dyDescent="0.3">
      <c r="C171" s="52">
        <f>SUMIF(BTS_매출관리!C:C,B171,BTS_매출관리!I:I)</f>
        <v>0</v>
      </c>
      <c r="D171">
        <f>RANK(C171,C:C,0)</f>
        <v>51</v>
      </c>
    </row>
    <row r="172" spans="3:4" x14ac:dyDescent="0.3">
      <c r="C172" s="52">
        <f>SUMIF(BTS_매출관리!C:C,B172,BTS_매출관리!I:I)</f>
        <v>0</v>
      </c>
      <c r="D172">
        <f>RANK(C172,C:C,0)</f>
        <v>51</v>
      </c>
    </row>
    <row r="173" spans="3:4" x14ac:dyDescent="0.3">
      <c r="C173" s="52">
        <f>SUMIF(BTS_매출관리!C:C,B173,BTS_매출관리!I:I)</f>
        <v>0</v>
      </c>
      <c r="D173">
        <f>RANK(C173,C:C,0)</f>
        <v>51</v>
      </c>
    </row>
    <row r="174" spans="3:4" x14ac:dyDescent="0.3">
      <c r="C174" s="52">
        <f>SUMIF(BTS_매출관리!C:C,B174,BTS_매출관리!I:I)</f>
        <v>0</v>
      </c>
      <c r="D174">
        <f>RANK(C174,C:C,0)</f>
        <v>51</v>
      </c>
    </row>
    <row r="175" spans="3:4" x14ac:dyDescent="0.3">
      <c r="C175" s="52">
        <f>SUMIF(BTS_매출관리!C:C,B175,BTS_매출관리!I:I)</f>
        <v>0</v>
      </c>
      <c r="D175">
        <f>RANK(C175,C:C,0)</f>
        <v>51</v>
      </c>
    </row>
    <row r="176" spans="3:4" x14ac:dyDescent="0.3">
      <c r="C176" s="52">
        <f>SUMIF(BTS_매출관리!C:C,B176,BTS_매출관리!I:I)</f>
        <v>0</v>
      </c>
      <c r="D176">
        <f>RANK(C176,C:C,0)</f>
        <v>51</v>
      </c>
    </row>
    <row r="177" spans="3:4" x14ac:dyDescent="0.3">
      <c r="C177" s="52">
        <f>SUMIF(BTS_매출관리!C:C,B177,BTS_매출관리!I:I)</f>
        <v>0</v>
      </c>
      <c r="D177">
        <f>RANK(C177,C:C,0)</f>
        <v>51</v>
      </c>
    </row>
    <row r="178" spans="3:4" x14ac:dyDescent="0.3">
      <c r="C178" s="52">
        <f>SUMIF(BTS_매출관리!C:C,B178,BTS_매출관리!I:I)</f>
        <v>0</v>
      </c>
      <c r="D178">
        <f>RANK(C178,C:C,0)</f>
        <v>51</v>
      </c>
    </row>
    <row r="179" spans="3:4" x14ac:dyDescent="0.3">
      <c r="C179" s="52">
        <f>SUMIF(BTS_매출관리!C:C,B179,BTS_매출관리!I:I)</f>
        <v>0</v>
      </c>
      <c r="D179">
        <f>RANK(C179,C:C,0)</f>
        <v>51</v>
      </c>
    </row>
    <row r="180" spans="3:4" x14ac:dyDescent="0.3">
      <c r="C180" s="52">
        <f>SUMIF(BTS_매출관리!C:C,B180,BTS_매출관리!I:I)</f>
        <v>0</v>
      </c>
      <c r="D180">
        <f>RANK(C180,C:C,0)</f>
        <v>51</v>
      </c>
    </row>
    <row r="181" spans="3:4" x14ac:dyDescent="0.3">
      <c r="C181" s="52">
        <f>SUMIF(BTS_매출관리!C:C,B181,BTS_매출관리!I:I)</f>
        <v>0</v>
      </c>
      <c r="D181">
        <f>RANK(C181,C:C,0)</f>
        <v>51</v>
      </c>
    </row>
    <row r="182" spans="3:4" x14ac:dyDescent="0.3">
      <c r="C182" s="52">
        <f>SUMIF(BTS_매출관리!C:C,B182,BTS_매출관리!I:I)</f>
        <v>0</v>
      </c>
      <c r="D182">
        <f>RANK(C182,C:C,0)</f>
        <v>51</v>
      </c>
    </row>
    <row r="183" spans="3:4" x14ac:dyDescent="0.3">
      <c r="C183" s="52">
        <f>SUMIF(BTS_매출관리!C:C,B183,BTS_매출관리!I:I)</f>
        <v>0</v>
      </c>
      <c r="D183">
        <f>RANK(C183,C:C,0)</f>
        <v>51</v>
      </c>
    </row>
    <row r="184" spans="3:4" x14ac:dyDescent="0.3">
      <c r="C184" s="52">
        <f>SUMIF(BTS_매출관리!C:C,B184,BTS_매출관리!I:I)</f>
        <v>0</v>
      </c>
      <c r="D184">
        <f>RANK(C184,C:C,0)</f>
        <v>51</v>
      </c>
    </row>
    <row r="185" spans="3:4" x14ac:dyDescent="0.3">
      <c r="C185" s="52">
        <f>SUMIF(BTS_매출관리!C:C,B185,BTS_매출관리!I:I)</f>
        <v>0</v>
      </c>
      <c r="D185">
        <f>RANK(C185,C:C,0)</f>
        <v>51</v>
      </c>
    </row>
    <row r="186" spans="3:4" x14ac:dyDescent="0.3">
      <c r="C186" s="52">
        <f>SUMIF(BTS_매출관리!C:C,B186,BTS_매출관리!I:I)</f>
        <v>0</v>
      </c>
      <c r="D186">
        <f>RANK(C186,C:C,0)</f>
        <v>51</v>
      </c>
    </row>
    <row r="187" spans="3:4" x14ac:dyDescent="0.3">
      <c r="C187" s="52">
        <f>SUMIF(BTS_매출관리!C:C,B187,BTS_매출관리!I:I)</f>
        <v>0</v>
      </c>
      <c r="D187">
        <f>RANK(C187,C:C,0)</f>
        <v>51</v>
      </c>
    </row>
    <row r="188" spans="3:4" x14ac:dyDescent="0.3">
      <c r="C188" s="52">
        <f>SUMIF(BTS_매출관리!C:C,B188,BTS_매출관리!I:I)</f>
        <v>0</v>
      </c>
      <c r="D188">
        <f>RANK(C188,C:C,0)</f>
        <v>51</v>
      </c>
    </row>
    <row r="189" spans="3:4" x14ac:dyDescent="0.3">
      <c r="C189" s="52">
        <f>SUMIF(BTS_매출관리!C:C,B189,BTS_매출관리!I:I)</f>
        <v>0</v>
      </c>
      <c r="D189">
        <f>RANK(C189,C:C,0)</f>
        <v>51</v>
      </c>
    </row>
    <row r="190" spans="3:4" x14ac:dyDescent="0.3">
      <c r="C190" s="52">
        <f>SUMIF(BTS_매출관리!C:C,B190,BTS_매출관리!I:I)</f>
        <v>0</v>
      </c>
      <c r="D190">
        <f>RANK(C190,C:C,0)</f>
        <v>51</v>
      </c>
    </row>
    <row r="191" spans="3:4" x14ac:dyDescent="0.3">
      <c r="C191" s="52">
        <f>SUMIF(BTS_매출관리!C:C,B191,BTS_매출관리!I:I)</f>
        <v>0</v>
      </c>
      <c r="D191">
        <f>RANK(C191,C:C,0)</f>
        <v>51</v>
      </c>
    </row>
    <row r="192" spans="3:4" x14ac:dyDescent="0.3">
      <c r="C192" s="52">
        <f>SUMIF(BTS_매출관리!C:C,B192,BTS_매출관리!I:I)</f>
        <v>0</v>
      </c>
      <c r="D192">
        <f>RANK(C192,C:C,0)</f>
        <v>51</v>
      </c>
    </row>
    <row r="193" spans="3:4" x14ac:dyDescent="0.3">
      <c r="C193" s="52">
        <f>SUMIF(BTS_매출관리!C:C,B193,BTS_매출관리!I:I)</f>
        <v>0</v>
      </c>
      <c r="D193">
        <f>RANK(C193,C:C,0)</f>
        <v>51</v>
      </c>
    </row>
    <row r="194" spans="3:4" x14ac:dyDescent="0.3">
      <c r="C194" s="52">
        <f>SUMIF(BTS_매출관리!C:C,B194,BTS_매출관리!I:I)</f>
        <v>0</v>
      </c>
      <c r="D194">
        <f>RANK(C194,C:C,0)</f>
        <v>51</v>
      </c>
    </row>
    <row r="195" spans="3:4" x14ac:dyDescent="0.3">
      <c r="C195" s="52">
        <f>SUMIF(BTS_매출관리!C:C,B195,BTS_매출관리!I:I)</f>
        <v>0</v>
      </c>
      <c r="D195">
        <f>RANK(C195,C:C,0)</f>
        <v>51</v>
      </c>
    </row>
    <row r="196" spans="3:4" x14ac:dyDescent="0.3">
      <c r="C196" s="52">
        <f>SUMIF(BTS_매출관리!C:C,B196,BTS_매출관리!I:I)</f>
        <v>0</v>
      </c>
      <c r="D196">
        <f>RANK(C196,C:C,0)</f>
        <v>51</v>
      </c>
    </row>
    <row r="197" spans="3:4" x14ac:dyDescent="0.3">
      <c r="C197" s="52">
        <f>SUMIF(BTS_매출관리!C:C,B197,BTS_매출관리!I:I)</f>
        <v>0</v>
      </c>
      <c r="D197">
        <f>RANK(C197,C:C,0)</f>
        <v>51</v>
      </c>
    </row>
    <row r="198" spans="3:4" x14ac:dyDescent="0.3">
      <c r="C198" s="52">
        <f>SUMIF(BTS_매출관리!C:C,B198,BTS_매출관리!I:I)</f>
        <v>0</v>
      </c>
      <c r="D198">
        <f>RANK(C198,C:C,0)</f>
        <v>51</v>
      </c>
    </row>
    <row r="199" spans="3:4" x14ac:dyDescent="0.3">
      <c r="C199" s="52">
        <f>SUMIF(BTS_매출관리!C:C,B199,BTS_매출관리!I:I)</f>
        <v>0</v>
      </c>
      <c r="D199">
        <f>RANK(C199,C:C,0)</f>
        <v>51</v>
      </c>
    </row>
    <row r="200" spans="3:4" x14ac:dyDescent="0.3">
      <c r="C200" s="52">
        <f>SUMIF(BTS_매출관리!C:C,B200,BTS_매출관리!I:I)</f>
        <v>0</v>
      </c>
      <c r="D200">
        <f>RANK(C200,C:C,0)</f>
        <v>51</v>
      </c>
    </row>
    <row r="201" spans="3:4" x14ac:dyDescent="0.3">
      <c r="C201" s="52">
        <f>SUMIF(BTS_매출관리!C:C,B201,BTS_매출관리!I:I)</f>
        <v>0</v>
      </c>
      <c r="D201">
        <f>RANK(C201,C:C,0)</f>
        <v>51</v>
      </c>
    </row>
    <row r="202" spans="3:4" x14ac:dyDescent="0.3">
      <c r="C202" s="52">
        <f>SUMIF(BTS_매출관리!C:C,B202,BTS_매출관리!I:I)</f>
        <v>0</v>
      </c>
      <c r="D202">
        <f>RANK(C202,C:C,0)</f>
        <v>51</v>
      </c>
    </row>
    <row r="203" spans="3:4" x14ac:dyDescent="0.3">
      <c r="C203" s="52">
        <f>SUMIF(BTS_매출관리!C:C,B203,BTS_매출관리!I:I)</f>
        <v>0</v>
      </c>
      <c r="D203">
        <f>RANK(C203,C:C,0)</f>
        <v>51</v>
      </c>
    </row>
    <row r="204" spans="3:4" x14ac:dyDescent="0.3">
      <c r="C204" s="52">
        <f>SUMIF(BTS_매출관리!C:C,B204,BTS_매출관리!I:I)</f>
        <v>0</v>
      </c>
      <c r="D204">
        <f>RANK(C204,C:C,0)</f>
        <v>51</v>
      </c>
    </row>
    <row r="205" spans="3:4" x14ac:dyDescent="0.3">
      <c r="C205" s="52">
        <f>SUMIF(BTS_매출관리!C:C,B205,BTS_매출관리!I:I)</f>
        <v>0</v>
      </c>
      <c r="D205">
        <f>RANK(C205,C:C,0)</f>
        <v>51</v>
      </c>
    </row>
    <row r="206" spans="3:4" x14ac:dyDescent="0.3">
      <c r="C206" s="52">
        <f>SUMIF(BTS_매출관리!C:C,B206,BTS_매출관리!I:I)</f>
        <v>0</v>
      </c>
      <c r="D206">
        <f>RANK(C206,C:C,0)</f>
        <v>51</v>
      </c>
    </row>
    <row r="207" spans="3:4" x14ac:dyDescent="0.3">
      <c r="C207" s="52">
        <f>SUMIF(BTS_매출관리!C:C,B207,BTS_매출관리!I:I)</f>
        <v>0</v>
      </c>
      <c r="D207">
        <f>RANK(C207,C:C,0)</f>
        <v>51</v>
      </c>
    </row>
    <row r="208" spans="3:4" x14ac:dyDescent="0.3">
      <c r="C208" s="52">
        <f>SUMIF(BTS_매출관리!C:C,B208,BTS_매출관리!I:I)</f>
        <v>0</v>
      </c>
      <c r="D208">
        <f>RANK(C208,C:C,0)</f>
        <v>51</v>
      </c>
    </row>
    <row r="209" spans="3:4" x14ac:dyDescent="0.3">
      <c r="C209" s="52">
        <f>SUMIF(BTS_매출관리!C:C,B209,BTS_매출관리!I:I)</f>
        <v>0</v>
      </c>
      <c r="D209">
        <f>RANK(C209,C:C,0)</f>
        <v>51</v>
      </c>
    </row>
    <row r="210" spans="3:4" x14ac:dyDescent="0.3">
      <c r="C210" s="52">
        <f>SUMIF(BTS_매출관리!C:C,B210,BTS_매출관리!I:I)</f>
        <v>0</v>
      </c>
      <c r="D210">
        <f>RANK(C210,C:C,0)</f>
        <v>51</v>
      </c>
    </row>
    <row r="211" spans="3:4" x14ac:dyDescent="0.3">
      <c r="C211" s="52">
        <f>SUMIF(BTS_매출관리!C:C,B211,BTS_매출관리!I:I)</f>
        <v>0</v>
      </c>
      <c r="D211">
        <f>RANK(C211,C:C,0)</f>
        <v>51</v>
      </c>
    </row>
    <row r="212" spans="3:4" x14ac:dyDescent="0.3">
      <c r="C212" s="52">
        <f>SUMIF(BTS_매출관리!C:C,B212,BTS_매출관리!I:I)</f>
        <v>0</v>
      </c>
      <c r="D212">
        <f>RANK(C212,C:C,0)</f>
        <v>51</v>
      </c>
    </row>
    <row r="213" spans="3:4" x14ac:dyDescent="0.3">
      <c r="C213" s="52">
        <f>SUMIF(BTS_매출관리!C:C,B213,BTS_매출관리!I:I)</f>
        <v>0</v>
      </c>
      <c r="D213">
        <f>RANK(C213,C:C,0)</f>
        <v>51</v>
      </c>
    </row>
    <row r="214" spans="3:4" x14ac:dyDescent="0.3">
      <c r="C214" s="52">
        <f>SUMIF(BTS_매출관리!C:C,B214,BTS_매출관리!I:I)</f>
        <v>0</v>
      </c>
      <c r="D214">
        <f>RANK(C214,C:C,0)</f>
        <v>51</v>
      </c>
    </row>
    <row r="215" spans="3:4" x14ac:dyDescent="0.3">
      <c r="C215" s="52">
        <f>SUMIF(BTS_매출관리!C:C,B215,BTS_매출관리!I:I)</f>
        <v>0</v>
      </c>
      <c r="D215">
        <f>RANK(C215,C:C,0)</f>
        <v>51</v>
      </c>
    </row>
    <row r="216" spans="3:4" x14ac:dyDescent="0.3">
      <c r="C216" s="52">
        <f>SUMIF(BTS_매출관리!C:C,B216,BTS_매출관리!I:I)</f>
        <v>0</v>
      </c>
      <c r="D216">
        <f>RANK(C216,C:C,0)</f>
        <v>51</v>
      </c>
    </row>
    <row r="217" spans="3:4" x14ac:dyDescent="0.3">
      <c r="C217" s="52">
        <f>SUMIF(BTS_매출관리!C:C,B217,BTS_매출관리!I:I)</f>
        <v>0</v>
      </c>
      <c r="D217">
        <f>RANK(C217,C:C,0)</f>
        <v>51</v>
      </c>
    </row>
    <row r="218" spans="3:4" x14ac:dyDescent="0.3">
      <c r="C218" s="52">
        <f>SUMIF(BTS_매출관리!C:C,B218,BTS_매출관리!I:I)</f>
        <v>0</v>
      </c>
      <c r="D218">
        <f>RANK(C218,C:C,0)</f>
        <v>51</v>
      </c>
    </row>
    <row r="219" spans="3:4" x14ac:dyDescent="0.3">
      <c r="C219" s="52">
        <f>SUMIF(BTS_매출관리!C:C,B219,BTS_매출관리!I:I)</f>
        <v>0</v>
      </c>
      <c r="D219">
        <f>RANK(C219,C:C,0)</f>
        <v>51</v>
      </c>
    </row>
    <row r="220" spans="3:4" x14ac:dyDescent="0.3">
      <c r="C220" s="52">
        <f>SUMIF(BTS_매출관리!C:C,B220,BTS_매출관리!I:I)</f>
        <v>0</v>
      </c>
      <c r="D220">
        <f>RANK(C220,C:C,0)</f>
        <v>51</v>
      </c>
    </row>
    <row r="221" spans="3:4" x14ac:dyDescent="0.3">
      <c r="C221" s="52">
        <f>SUMIF(BTS_매출관리!C:C,B221,BTS_매출관리!I:I)</f>
        <v>0</v>
      </c>
      <c r="D221">
        <f>RANK(C221,C:C,0)</f>
        <v>51</v>
      </c>
    </row>
    <row r="222" spans="3:4" x14ac:dyDescent="0.3">
      <c r="C222" s="52">
        <f>SUMIF(BTS_매출관리!C:C,B222,BTS_매출관리!I:I)</f>
        <v>0</v>
      </c>
      <c r="D222">
        <f>RANK(C222,C:C,0)</f>
        <v>51</v>
      </c>
    </row>
    <row r="223" spans="3:4" x14ac:dyDescent="0.3">
      <c r="C223" s="52">
        <f>SUMIF(BTS_매출관리!C:C,B223,BTS_매출관리!I:I)</f>
        <v>0</v>
      </c>
      <c r="D223">
        <f>RANK(C223,C:C,0)</f>
        <v>51</v>
      </c>
    </row>
    <row r="224" spans="3:4" x14ac:dyDescent="0.3">
      <c r="C224" s="52">
        <f>SUMIF(BTS_매출관리!C:C,B224,BTS_매출관리!I:I)</f>
        <v>0</v>
      </c>
      <c r="D224">
        <f>RANK(C224,C:C,0)</f>
        <v>51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2357</v>
      </c>
      <c r="C1" s="442" t="s">
        <v>2589</v>
      </c>
      <c r="D1" s="439" t="s">
        <v>2618</v>
      </c>
      <c r="E1" s="439" t="s">
        <v>36</v>
      </c>
      <c r="F1" s="439" t="s">
        <v>2795</v>
      </c>
      <c r="G1" s="439"/>
      <c r="H1" s="439" t="s">
        <v>2796</v>
      </c>
      <c r="I1" s="439"/>
      <c r="J1" s="439" t="s">
        <v>2797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2590</v>
      </c>
      <c r="G2" s="285" t="s">
        <v>2591</v>
      </c>
      <c r="H2" s="285" t="s">
        <v>2592</v>
      </c>
      <c r="I2" s="285" t="s">
        <v>2593</v>
      </c>
      <c r="J2" s="285" t="s">
        <v>2592</v>
      </c>
      <c r="K2" s="285" t="s">
        <v>2593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2594</v>
      </c>
      <c r="D3" s="281" t="s">
        <v>2595</v>
      </c>
      <c r="E3" s="281" t="s">
        <v>2596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2597</v>
      </c>
      <c r="D4" s="252" t="s">
        <v>2598</v>
      </c>
      <c r="E4" s="252" t="s">
        <v>2596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2594</v>
      </c>
      <c r="D5" s="252" t="s">
        <v>2595</v>
      </c>
      <c r="E5" s="252" t="s">
        <v>2596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2594</v>
      </c>
      <c r="D6" s="252" t="s">
        <v>2595</v>
      </c>
      <c r="E6" s="252" t="s">
        <v>2596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2594</v>
      </c>
      <c r="D7" s="252" t="s">
        <v>2595</v>
      </c>
      <c r="E7" s="252" t="s">
        <v>2599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2600</v>
      </c>
      <c r="D8" s="252" t="s">
        <v>2601</v>
      </c>
      <c r="E8" s="252" t="s">
        <v>2596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2602</v>
      </c>
      <c r="D9" s="252" t="s">
        <v>2603</v>
      </c>
      <c r="E9" s="252" t="s">
        <v>2596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2604</v>
      </c>
      <c r="D10" s="252" t="s">
        <v>2595</v>
      </c>
      <c r="E10" s="252" t="s">
        <v>2599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2605</v>
      </c>
      <c r="D11" s="252" t="s">
        <v>2595</v>
      </c>
      <c r="E11" s="252" t="s">
        <v>2599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2594</v>
      </c>
      <c r="D12" s="252" t="s">
        <v>2595</v>
      </c>
      <c r="E12" s="252" t="s">
        <v>2596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2594</v>
      </c>
      <c r="D13" s="252" t="s">
        <v>2595</v>
      </c>
      <c r="E13" s="252" t="s">
        <v>2596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2597</v>
      </c>
      <c r="D14" s="252" t="s">
        <v>2598</v>
      </c>
      <c r="E14" s="252" t="s">
        <v>2599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2594</v>
      </c>
      <c r="D15" s="252" t="s">
        <v>2595</v>
      </c>
      <c r="E15" s="252" t="s">
        <v>2599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2606</v>
      </c>
      <c r="D16" s="252" t="s">
        <v>2607</v>
      </c>
      <c r="E16" s="252" t="s">
        <v>2599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2594</v>
      </c>
      <c r="D17" s="252" t="s">
        <v>2595</v>
      </c>
      <c r="E17" s="252" t="s">
        <v>2599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2605</v>
      </c>
      <c r="D18" s="252" t="s">
        <v>2595</v>
      </c>
      <c r="E18" s="252" t="s">
        <v>2596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2608</v>
      </c>
      <c r="D19" s="252" t="s">
        <v>2609</v>
      </c>
      <c r="E19" s="252" t="s">
        <v>2599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2604</v>
      </c>
      <c r="D20" s="252" t="s">
        <v>2595</v>
      </c>
      <c r="E20" s="252" t="s">
        <v>2599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2610</v>
      </c>
      <c r="D21" s="252" t="s">
        <v>2607</v>
      </c>
      <c r="E21" s="252" t="s">
        <v>2599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2611</v>
      </c>
      <c r="D22" s="252" t="s">
        <v>2612</v>
      </c>
      <c r="E22" s="252" t="s">
        <v>2599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2613</v>
      </c>
      <c r="D23" s="252" t="s">
        <v>2614</v>
      </c>
      <c r="E23" s="252" t="s">
        <v>2599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2597</v>
      </c>
      <c r="D24" s="252" t="s">
        <v>2598</v>
      </c>
      <c r="E24" s="252" t="s">
        <v>2599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2594</v>
      </c>
      <c r="D25" s="252" t="s">
        <v>2595</v>
      </c>
      <c r="E25" s="252" t="s">
        <v>2599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2594</v>
      </c>
      <c r="D26" s="252" t="s">
        <v>2615</v>
      </c>
      <c r="E26" s="252" t="s">
        <v>2599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2616</v>
      </c>
      <c r="D27" s="252" t="s">
        <v>2595</v>
      </c>
      <c r="E27" s="252" t="s">
        <v>2599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2594</v>
      </c>
      <c r="D28" s="252" t="s">
        <v>2595</v>
      </c>
      <c r="E28" s="252" t="s">
        <v>2599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2594</v>
      </c>
      <c r="D29" s="252" t="s">
        <v>2595</v>
      </c>
      <c r="E29" s="252" t="s">
        <v>2599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2604</v>
      </c>
      <c r="D30" s="252" t="s">
        <v>2595</v>
      </c>
      <c r="E30" s="252" t="s">
        <v>2599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2608</v>
      </c>
      <c r="D31" s="252" t="s">
        <v>2609</v>
      </c>
      <c r="E31" s="252" t="s">
        <v>2599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2606</v>
      </c>
      <c r="D32" s="252" t="s">
        <v>2607</v>
      </c>
      <c r="E32" s="252" t="s">
        <v>2599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2605</v>
      </c>
      <c r="D33" s="252" t="s">
        <v>2595</v>
      </c>
      <c r="E33" s="252" t="s">
        <v>2599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2610</v>
      </c>
      <c r="D34" s="252" t="s">
        <v>2607</v>
      </c>
      <c r="E34" s="252" t="s">
        <v>2599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2597</v>
      </c>
      <c r="D35" s="252" t="s">
        <v>2598</v>
      </c>
      <c r="E35" s="252" t="s">
        <v>2599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2594</v>
      </c>
      <c r="D36" s="252" t="s">
        <v>2595</v>
      </c>
      <c r="E36" s="252" t="s">
        <v>2599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2597</v>
      </c>
      <c r="D37" s="252" t="s">
        <v>2598</v>
      </c>
      <c r="E37" s="252" t="s">
        <v>2599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2613</v>
      </c>
      <c r="D38" s="252" t="s">
        <v>2614</v>
      </c>
      <c r="E38" s="252" t="s">
        <v>2599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2594</v>
      </c>
      <c r="D39" s="252" t="s">
        <v>2595</v>
      </c>
      <c r="E39" s="252" t="s">
        <v>2599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2597</v>
      </c>
      <c r="D40" s="252" t="s">
        <v>2598</v>
      </c>
      <c r="E40" s="252" t="s">
        <v>2599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2611</v>
      </c>
      <c r="D41" s="252" t="s">
        <v>2612</v>
      </c>
      <c r="E41" s="252" t="s">
        <v>2599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2613</v>
      </c>
      <c r="D42" s="252" t="s">
        <v>2614</v>
      </c>
      <c r="E42" s="252" t="s">
        <v>2599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2594</v>
      </c>
      <c r="D43" s="252" t="s">
        <v>2595</v>
      </c>
      <c r="E43" s="252" t="s">
        <v>2599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2604</v>
      </c>
      <c r="D44" s="252" t="s">
        <v>2595</v>
      </c>
      <c r="E44" s="252" t="s">
        <v>2599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2610</v>
      </c>
      <c r="D45" s="252" t="s">
        <v>2607</v>
      </c>
      <c r="E45" s="252" t="s">
        <v>2599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2605</v>
      </c>
      <c r="D46" s="252" t="s">
        <v>2595</v>
      </c>
      <c r="E46" s="252" t="s">
        <v>2599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2606</v>
      </c>
      <c r="D47" s="252" t="s">
        <v>2607</v>
      </c>
      <c r="E47" s="252" t="s">
        <v>2599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3098</v>
      </c>
      <c r="D48" s="252" t="s">
        <v>3099</v>
      </c>
      <c r="E48" s="252" t="s">
        <v>2599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3189</v>
      </c>
      <c r="D49" s="252" t="s">
        <v>3190</v>
      </c>
      <c r="E49" s="252" t="s">
        <v>2599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2594</v>
      </c>
      <c r="D50" s="252" t="s">
        <v>3099</v>
      </c>
      <c r="E50" s="252" t="s">
        <v>2599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2613</v>
      </c>
      <c r="D51" s="252" t="s">
        <v>3193</v>
      </c>
      <c r="E51" s="252" t="s">
        <v>2599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3191</v>
      </c>
      <c r="D52" s="252" t="s">
        <v>3192</v>
      </c>
      <c r="E52" s="252" t="s">
        <v>2599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2613</v>
      </c>
      <c r="D53" s="252" t="s">
        <v>3193</v>
      </c>
      <c r="E53" s="252" t="s">
        <v>2599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3194</v>
      </c>
      <c r="D54" s="252" t="s">
        <v>3195</v>
      </c>
      <c r="E54" s="252" t="s">
        <v>2599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2604</v>
      </c>
      <c r="D55" s="252" t="s">
        <v>2595</v>
      </c>
      <c r="E55" s="252" t="s">
        <v>2599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2610</v>
      </c>
      <c r="D56" s="252" t="s">
        <v>2607</v>
      </c>
      <c r="E56" s="252" t="s">
        <v>2599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2606</v>
      </c>
      <c r="D57" s="252" t="s">
        <v>2607</v>
      </c>
      <c r="E57" s="252" t="s">
        <v>2599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2605</v>
      </c>
      <c r="D58" s="252" t="s">
        <v>2595</v>
      </c>
      <c r="E58" s="252" t="s">
        <v>2599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2600</v>
      </c>
      <c r="D59" s="252" t="s">
        <v>2601</v>
      </c>
      <c r="E59" s="252" t="s">
        <v>2599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2594</v>
      </c>
      <c r="D60" s="252" t="s">
        <v>2595</v>
      </c>
      <c r="E60" s="252" t="s">
        <v>2599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2599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2599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2599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2599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2599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2599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2599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2599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2599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2599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2599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2599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2599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2599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2599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2599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2599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2599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2599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2599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2599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2599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2599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2599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2599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2599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2599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2599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2596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2599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2599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2599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2599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2599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2599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2599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2599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2599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2599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2599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2599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2599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2599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2599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2599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2599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2599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2599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2599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2599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2599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2599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2599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2599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2599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2599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2599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2599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2599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2599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2599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2599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2599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2599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2599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2599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2599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2599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2599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2599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2599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2599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2599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2599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2617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1139</v>
      </c>
      <c r="C3" s="236">
        <f>SUMIF($B:$B,A3,I:I)</f>
        <v>0</v>
      </c>
      <c r="D3" s="237" t="s">
        <v>1137</v>
      </c>
      <c r="E3" s="236">
        <f ca="1">SUMIF($B:$B,TODAY(),E:E)</f>
        <v>0</v>
      </c>
      <c r="F3" s="247" t="s">
        <v>2584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1140</v>
      </c>
      <c r="C4" s="236">
        <f>SUMIFS($I:$I,$B:$B,"&gt;="&amp;DATE(A5,A4,1),$B:$B,"&lt;="&amp;EOMONTH(DATE(A5,A4,1),0))</f>
        <v>0</v>
      </c>
      <c r="D4" s="238"/>
      <c r="E4" s="242"/>
      <c r="F4" s="247" t="s">
        <v>2585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1141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2618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1643</v>
      </c>
      <c r="J8" s="119" t="s">
        <v>2619</v>
      </c>
      <c r="K8" s="77" t="s">
        <v>1643</v>
      </c>
      <c r="L8" s="77" t="s">
        <v>2619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1212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2256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1180</v>
      </c>
      <c r="B3" s="37" t="s">
        <v>59</v>
      </c>
      <c r="C3" s="495" t="s">
        <v>1559</v>
      </c>
      <c r="D3" s="496"/>
      <c r="E3" s="496"/>
      <c r="F3" s="496"/>
      <c r="G3" s="496"/>
      <c r="H3" s="496"/>
      <c r="I3" s="496"/>
      <c r="J3" s="497"/>
      <c r="K3" s="379" t="s">
        <v>1181</v>
      </c>
      <c r="L3" s="37" t="s">
        <v>59</v>
      </c>
      <c r="M3" s="481" t="s">
        <v>965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1106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1105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1144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81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960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91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1180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1181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81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960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91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966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4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770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2408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2410</v>
      </c>
    </row>
    <row r="340" spans="1:4" x14ac:dyDescent="0.3">
      <c r="A340">
        <v>364</v>
      </c>
      <c r="B340" s="13">
        <v>45811</v>
      </c>
      <c r="C340" t="s">
        <v>2411</v>
      </c>
      <c r="D340" t="s">
        <v>2414</v>
      </c>
    </row>
    <row r="341" spans="1:4" x14ac:dyDescent="0.3">
      <c r="A341">
        <v>365</v>
      </c>
      <c r="B341" s="13">
        <v>45811</v>
      </c>
      <c r="C341" t="s">
        <v>2411</v>
      </c>
      <c r="D341" t="s">
        <v>2415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2425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2426</v>
      </c>
    </row>
    <row r="344" spans="1:4" x14ac:dyDescent="0.3">
      <c r="A344">
        <v>368</v>
      </c>
      <c r="B344" s="13">
        <v>45812</v>
      </c>
      <c r="C344" t="s">
        <v>2427</v>
      </c>
      <c r="D344" t="s">
        <v>2432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2438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2443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2444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2445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2448</v>
      </c>
    </row>
    <row r="350" spans="1:4" x14ac:dyDescent="0.3">
      <c r="A350">
        <v>374</v>
      </c>
      <c r="B350" s="13">
        <v>45813</v>
      </c>
      <c r="C350" t="s">
        <v>2455</v>
      </c>
      <c r="D350" t="s">
        <v>2456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2457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2458</v>
      </c>
    </row>
    <row r="353" spans="1:4" x14ac:dyDescent="0.3">
      <c r="A353">
        <v>377</v>
      </c>
      <c r="B353" s="13">
        <v>45817</v>
      </c>
      <c r="C353" t="s">
        <v>2460</v>
      </c>
      <c r="D353" t="s">
        <v>2461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2462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2465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2466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2469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2470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2471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2472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2478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2493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2495</v>
      </c>
    </row>
    <row r="364" spans="1:4" x14ac:dyDescent="0.3">
      <c r="A364">
        <v>388</v>
      </c>
      <c r="B364" s="13">
        <v>45818</v>
      </c>
      <c r="C364" t="s">
        <v>2411</v>
      </c>
      <c r="D364" t="s">
        <v>2511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2512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2513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2515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2516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2518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2520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2521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2524</v>
      </c>
    </row>
    <row r="373" spans="1:4" x14ac:dyDescent="0.3">
      <c r="A373">
        <v>397</v>
      </c>
      <c r="B373" s="13">
        <v>45819</v>
      </c>
      <c r="C373" t="s">
        <v>2417</v>
      </c>
      <c r="D373" t="s">
        <v>2536</v>
      </c>
    </row>
    <row r="374" spans="1:4" x14ac:dyDescent="0.3">
      <c r="A374">
        <v>398</v>
      </c>
      <c r="B374" s="13">
        <v>45819</v>
      </c>
      <c r="C374" t="s">
        <v>2537</v>
      </c>
      <c r="D374" t="s">
        <v>2538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2540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2541</v>
      </c>
    </row>
    <row r="377" spans="1:4" x14ac:dyDescent="0.3">
      <c r="A377">
        <v>401</v>
      </c>
      <c r="B377" s="13">
        <v>45819</v>
      </c>
      <c r="C377" t="s">
        <v>2528</v>
      </c>
      <c r="D377" t="s">
        <v>2542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2543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2544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2546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2547</v>
      </c>
    </row>
    <row r="382" spans="1:4" x14ac:dyDescent="0.3">
      <c r="A382">
        <v>406</v>
      </c>
      <c r="B382" s="13">
        <v>45821</v>
      </c>
      <c r="C382" t="s">
        <v>2548</v>
      </c>
      <c r="D382" t="s">
        <v>2554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2555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2556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2557</v>
      </c>
    </row>
    <row r="386" spans="1:4" x14ac:dyDescent="0.3">
      <c r="A386">
        <v>410</v>
      </c>
      <c r="B386" s="13">
        <v>45821</v>
      </c>
      <c r="C386" t="s">
        <v>2558</v>
      </c>
      <c r="D386" t="s">
        <v>2559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2563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2570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2571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2572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2573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2578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2579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2580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2621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2624</v>
      </c>
    </row>
    <row r="397" spans="1:4" x14ac:dyDescent="0.3">
      <c r="A397">
        <v>421</v>
      </c>
      <c r="B397" s="13">
        <v>45825</v>
      </c>
      <c r="C397" t="s">
        <v>2623</v>
      </c>
      <c r="D397" t="s">
        <v>2625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2631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2634</v>
      </c>
    </row>
    <row r="400" spans="1:4" x14ac:dyDescent="0.3">
      <c r="A400">
        <v>424</v>
      </c>
      <c r="B400" s="13">
        <v>45826</v>
      </c>
      <c r="C400" t="s">
        <v>2537</v>
      </c>
      <c r="D400" t="s">
        <v>2635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2636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2637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2638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2639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2641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2642</v>
      </c>
    </row>
    <row r="407" spans="1:4" x14ac:dyDescent="0.3">
      <c r="A407">
        <v>431</v>
      </c>
      <c r="B407" s="13">
        <v>45827</v>
      </c>
      <c r="C407" t="s">
        <v>2623</v>
      </c>
      <c r="D407" t="s">
        <v>2647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2650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2651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2652</v>
      </c>
    </row>
    <row r="411" spans="1:4" x14ac:dyDescent="0.3">
      <c r="A411">
        <v>435</v>
      </c>
      <c r="B411" s="13">
        <v>45827</v>
      </c>
      <c r="C411" t="s">
        <v>2460</v>
      </c>
      <c r="D411" t="s">
        <v>2653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2655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2657</v>
      </c>
    </row>
    <row r="414" spans="1:4" x14ac:dyDescent="0.3">
      <c r="A414">
        <v>438</v>
      </c>
      <c r="B414" s="13">
        <v>45828</v>
      </c>
      <c r="C414" t="s">
        <v>2664</v>
      </c>
      <c r="D414" t="s">
        <v>2665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2666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2667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2668</v>
      </c>
    </row>
    <row r="418" spans="1:4" x14ac:dyDescent="0.3">
      <c r="A418">
        <v>442</v>
      </c>
      <c r="B418" s="13">
        <v>45828</v>
      </c>
      <c r="C418" t="s">
        <v>2669</v>
      </c>
      <c r="D418" t="s">
        <v>2670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2671</v>
      </c>
    </row>
    <row r="420" spans="1:4" x14ac:dyDescent="0.3">
      <c r="A420">
        <v>444</v>
      </c>
      <c r="B420" s="13">
        <v>45828</v>
      </c>
      <c r="C420" t="s">
        <v>2677</v>
      </c>
      <c r="D420" t="s">
        <v>2678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2684</v>
      </c>
    </row>
    <row r="422" spans="1:4" x14ac:dyDescent="0.3">
      <c r="A422">
        <v>446</v>
      </c>
      <c r="B422" s="13">
        <v>45829</v>
      </c>
      <c r="C422" t="s">
        <v>2564</v>
      </c>
      <c r="D422" t="s">
        <v>2685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2688</v>
      </c>
    </row>
    <row r="424" spans="1:4" x14ac:dyDescent="0.3">
      <c r="A424">
        <v>448</v>
      </c>
      <c r="B424" s="13">
        <v>45831</v>
      </c>
      <c r="C424" t="s">
        <v>2689</v>
      </c>
      <c r="D424" t="s">
        <v>2690</v>
      </c>
    </row>
    <row r="425" spans="1:4" x14ac:dyDescent="0.3">
      <c r="A425">
        <v>449</v>
      </c>
      <c r="B425" s="13">
        <v>45831</v>
      </c>
      <c r="C425" t="s">
        <v>2696</v>
      </c>
      <c r="D425" t="s">
        <v>2697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2703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2704</v>
      </c>
    </row>
    <row r="428" spans="1:4" x14ac:dyDescent="0.3">
      <c r="A428">
        <v>452</v>
      </c>
      <c r="B428" s="13">
        <v>45832</v>
      </c>
      <c r="C428" t="s">
        <v>2537</v>
      </c>
      <c r="D428" t="s">
        <v>2711</v>
      </c>
    </row>
    <row r="429" spans="1:4" x14ac:dyDescent="0.3">
      <c r="A429">
        <v>453</v>
      </c>
      <c r="B429" s="13">
        <v>45832</v>
      </c>
      <c r="C429" t="s">
        <v>2705</v>
      </c>
      <c r="D429" t="s">
        <v>2712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2713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2714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2721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2722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2723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2725</v>
      </c>
    </row>
    <row r="436" spans="1:4" x14ac:dyDescent="0.3">
      <c r="A436">
        <v>460</v>
      </c>
      <c r="B436" s="13">
        <v>45833</v>
      </c>
      <c r="C436" t="s">
        <v>2716</v>
      </c>
      <c r="D436" t="s">
        <v>2726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2731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2732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2738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2739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2744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2745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2748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2764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2767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2778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2779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2781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2782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2784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2785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2790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2798</v>
      </c>
    </row>
    <row r="454" spans="1:4" x14ac:dyDescent="0.3">
      <c r="A454">
        <v>478</v>
      </c>
      <c r="B454" s="13">
        <v>45838</v>
      </c>
      <c r="C454" t="s">
        <v>1095</v>
      </c>
      <c r="D454" t="s">
        <v>2801</v>
      </c>
    </row>
    <row r="455" spans="1:4" x14ac:dyDescent="0.3">
      <c r="A455">
        <v>479</v>
      </c>
      <c r="B455" s="13">
        <v>45838</v>
      </c>
      <c r="C455" t="s">
        <v>2791</v>
      </c>
      <c r="D455" t="s">
        <v>2802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2803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2804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2805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2809</v>
      </c>
    </row>
    <row r="460" spans="1:4" x14ac:dyDescent="0.3">
      <c r="A460">
        <v>484</v>
      </c>
      <c r="B460" s="13">
        <v>45839</v>
      </c>
      <c r="C460" t="s">
        <v>2819</v>
      </c>
      <c r="D460" t="s">
        <v>2820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2821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2823</v>
      </c>
    </row>
    <row r="463" spans="1:4" x14ac:dyDescent="0.3">
      <c r="A463">
        <v>487</v>
      </c>
      <c r="B463" s="13">
        <v>45839</v>
      </c>
      <c r="C463" t="s">
        <v>2827</v>
      </c>
      <c r="D463" t="s">
        <v>2830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2831</v>
      </c>
    </row>
    <row r="465" spans="1:4" x14ac:dyDescent="0.3">
      <c r="A465">
        <v>489</v>
      </c>
      <c r="B465" s="13">
        <v>45840</v>
      </c>
      <c r="C465" t="s">
        <v>2836</v>
      </c>
      <c r="D465" t="s">
        <v>2837</v>
      </c>
    </row>
    <row r="466" spans="1:4" x14ac:dyDescent="0.3">
      <c r="A466">
        <v>490</v>
      </c>
      <c r="B466" s="13">
        <v>45840</v>
      </c>
      <c r="C466" t="s">
        <v>2838</v>
      </c>
      <c r="D466" t="s">
        <v>2842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2849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2850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2851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2852</v>
      </c>
    </row>
    <row r="471" spans="1:4" x14ac:dyDescent="0.3">
      <c r="A471">
        <v>495</v>
      </c>
      <c r="B471" s="13">
        <v>45841</v>
      </c>
      <c r="C471" t="s">
        <v>2858</v>
      </c>
      <c r="D471" t="s">
        <v>2861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2862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2863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2864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2876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2877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2879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2880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2882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2883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2884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2885</v>
      </c>
    </row>
    <row r="483" spans="1:4" x14ac:dyDescent="0.3">
      <c r="A483">
        <v>507</v>
      </c>
      <c r="B483" s="13">
        <v>45845</v>
      </c>
      <c r="C483" t="s">
        <v>2892</v>
      </c>
      <c r="D483" t="s">
        <v>2896</v>
      </c>
    </row>
    <row r="484" spans="1:4" x14ac:dyDescent="0.3">
      <c r="A484">
        <v>508</v>
      </c>
      <c r="B484" s="13">
        <v>45845</v>
      </c>
      <c r="C484" t="s">
        <v>2664</v>
      </c>
      <c r="D484" t="s">
        <v>2897</v>
      </c>
    </row>
    <row r="485" spans="1:4" x14ac:dyDescent="0.3">
      <c r="A485">
        <v>509</v>
      </c>
      <c r="B485" s="13">
        <v>45845</v>
      </c>
      <c r="C485" t="s">
        <v>2886</v>
      </c>
      <c r="D485" t="s">
        <v>2898</v>
      </c>
    </row>
    <row r="486" spans="1:4" x14ac:dyDescent="0.3">
      <c r="A486">
        <v>510</v>
      </c>
      <c r="B486" s="13">
        <v>45845</v>
      </c>
      <c r="C486" t="s">
        <v>1160</v>
      </c>
      <c r="D486" t="s">
        <v>2899</v>
      </c>
    </row>
    <row r="487" spans="1:4" x14ac:dyDescent="0.3">
      <c r="A487">
        <v>511</v>
      </c>
      <c r="B487" s="13">
        <v>45845</v>
      </c>
      <c r="C487" t="s">
        <v>1893</v>
      </c>
      <c r="D487" t="s">
        <v>2900</v>
      </c>
    </row>
    <row r="488" spans="1:4" x14ac:dyDescent="0.3">
      <c r="A488">
        <v>512</v>
      </c>
      <c r="B488" s="13">
        <v>45845</v>
      </c>
      <c r="C488" t="s">
        <v>1462</v>
      </c>
      <c r="D488" t="s">
        <v>2901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2903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2906</v>
      </c>
    </row>
    <row r="491" spans="1:4" x14ac:dyDescent="0.3">
      <c r="A491">
        <v>515</v>
      </c>
      <c r="B491" s="13">
        <v>45846</v>
      </c>
      <c r="C491" t="s">
        <v>2892</v>
      </c>
      <c r="D491" t="s">
        <v>2909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2910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2911</v>
      </c>
    </row>
    <row r="494" spans="1:4" x14ac:dyDescent="0.3">
      <c r="A494">
        <v>518</v>
      </c>
      <c r="B494" s="13">
        <v>45846</v>
      </c>
      <c r="C494" t="s">
        <v>2912</v>
      </c>
      <c r="D494" t="s">
        <v>2916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2918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2919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2920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2921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2922</v>
      </c>
    </row>
    <row r="500" spans="1:4" x14ac:dyDescent="0.3">
      <c r="A500">
        <v>524</v>
      </c>
      <c r="B500" s="13">
        <v>45847</v>
      </c>
      <c r="C500" t="s">
        <v>2460</v>
      </c>
      <c r="D500" t="s">
        <v>2924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2928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2929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2930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2931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2932</v>
      </c>
    </row>
    <row r="506" spans="1:4" x14ac:dyDescent="0.3">
      <c r="A506">
        <v>530</v>
      </c>
      <c r="B506" s="13">
        <v>45847</v>
      </c>
      <c r="C506" t="s">
        <v>2460</v>
      </c>
      <c r="D506" t="s">
        <v>2933</v>
      </c>
    </row>
    <row r="507" spans="1:4" x14ac:dyDescent="0.3">
      <c r="A507">
        <v>531</v>
      </c>
      <c r="B507" s="13">
        <v>45848</v>
      </c>
      <c r="C507" t="s">
        <v>2819</v>
      </c>
      <c r="D507" t="s">
        <v>2938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2940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2941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2942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2944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2955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2956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2957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2958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2959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2960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2961</v>
      </c>
    </row>
    <row r="519" spans="1:4" x14ac:dyDescent="0.3">
      <c r="A519">
        <v>543</v>
      </c>
      <c r="B519" s="13">
        <v>45849</v>
      </c>
      <c r="C519" t="s">
        <v>2962</v>
      </c>
      <c r="D519" t="s">
        <v>2963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2970</v>
      </c>
    </row>
    <row r="521" spans="1:4" x14ac:dyDescent="0.3">
      <c r="A521">
        <v>545</v>
      </c>
      <c r="B521" s="13">
        <v>45850</v>
      </c>
      <c r="C521" t="s">
        <v>2819</v>
      </c>
      <c r="D521" t="s">
        <v>2974</v>
      </c>
    </row>
    <row r="522" spans="1:4" x14ac:dyDescent="0.3">
      <c r="A522">
        <v>546</v>
      </c>
      <c r="B522" s="13">
        <v>45852</v>
      </c>
      <c r="C522" t="s">
        <v>2980</v>
      </c>
      <c r="D522" t="s">
        <v>2983</v>
      </c>
    </row>
    <row r="523" spans="1:4" x14ac:dyDescent="0.3">
      <c r="A523">
        <v>547</v>
      </c>
      <c r="B523" s="13">
        <v>45852</v>
      </c>
      <c r="C523" t="s">
        <v>2984</v>
      </c>
      <c r="D523" t="s">
        <v>2988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2989</v>
      </c>
    </row>
    <row r="525" spans="1:4" x14ac:dyDescent="0.3">
      <c r="A525">
        <v>549</v>
      </c>
      <c r="B525" s="13">
        <v>45852</v>
      </c>
      <c r="C525" t="s">
        <v>2460</v>
      </c>
      <c r="D525" t="s">
        <v>2990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2992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2993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2994</v>
      </c>
    </row>
    <row r="529" spans="1:4" x14ac:dyDescent="0.3">
      <c r="A529">
        <v>553</v>
      </c>
      <c r="B529" s="13">
        <v>45853</v>
      </c>
      <c r="C529" t="s">
        <v>2460</v>
      </c>
      <c r="D529" t="s">
        <v>3005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3006</v>
      </c>
    </row>
    <row r="531" spans="1:4" x14ac:dyDescent="0.3">
      <c r="A531">
        <v>555</v>
      </c>
      <c r="B531" s="13">
        <v>45853</v>
      </c>
      <c r="C531" t="s">
        <v>3007</v>
      </c>
      <c r="D531" t="s">
        <v>3010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3011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3012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3013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3014</v>
      </c>
    </row>
    <row r="536" spans="1:4" x14ac:dyDescent="0.3">
      <c r="A536">
        <v>560</v>
      </c>
      <c r="B536" s="13">
        <v>45853</v>
      </c>
      <c r="C536" t="s">
        <v>3001</v>
      </c>
      <c r="D536" t="s">
        <v>3016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3017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3028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3030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3031</v>
      </c>
    </row>
    <row r="541" spans="1:4" x14ac:dyDescent="0.3">
      <c r="A541">
        <v>565</v>
      </c>
      <c r="B541" s="13">
        <v>45854</v>
      </c>
      <c r="C541" t="s">
        <v>3032</v>
      </c>
      <c r="D541" t="s">
        <v>3034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3044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3046</v>
      </c>
    </row>
    <row r="544" spans="1:4" x14ac:dyDescent="0.3">
      <c r="A544">
        <v>568</v>
      </c>
      <c r="B544" s="13">
        <v>45855</v>
      </c>
      <c r="C544" t="s">
        <v>2696</v>
      </c>
      <c r="D544" t="s">
        <v>3047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3048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3053</v>
      </c>
    </row>
    <row r="547" spans="1:4" x14ac:dyDescent="0.3">
      <c r="A547">
        <v>571</v>
      </c>
      <c r="B547" s="13">
        <v>45856</v>
      </c>
      <c r="C547" t="s">
        <v>3054</v>
      </c>
      <c r="D547" t="s">
        <v>3058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3060</v>
      </c>
    </row>
    <row r="549" spans="1:4" x14ac:dyDescent="0.3">
      <c r="A549">
        <v>573</v>
      </c>
      <c r="B549" s="13">
        <v>45856</v>
      </c>
      <c r="C549" t="s">
        <v>3061</v>
      </c>
      <c r="D549" t="s">
        <v>3063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3064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3065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3074</v>
      </c>
    </row>
    <row r="553" spans="1:4" x14ac:dyDescent="0.3">
      <c r="A553">
        <v>577</v>
      </c>
      <c r="B553" s="13">
        <v>45859</v>
      </c>
      <c r="C553" t="s">
        <v>2677</v>
      </c>
      <c r="D553" t="s">
        <v>3076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3079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3080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3082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3083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3084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3085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3086</v>
      </c>
    </row>
    <row r="561" spans="1:4" x14ac:dyDescent="0.3">
      <c r="A561">
        <v>585</v>
      </c>
      <c r="B561" s="13">
        <v>45860</v>
      </c>
      <c r="C561" t="s">
        <v>3087</v>
      </c>
      <c r="D561" t="s">
        <v>3091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3092</v>
      </c>
    </row>
    <row r="563" spans="1:4" x14ac:dyDescent="0.3">
      <c r="A563">
        <v>587</v>
      </c>
      <c r="B563" s="13">
        <v>45860</v>
      </c>
      <c r="C563" t="s">
        <v>3001</v>
      </c>
      <c r="D563" t="s">
        <v>3093</v>
      </c>
    </row>
    <row r="564" spans="1:4" x14ac:dyDescent="0.3">
      <c r="A564">
        <v>588</v>
      </c>
      <c r="B564" s="13">
        <v>45861</v>
      </c>
      <c r="C564" t="s">
        <v>1417</v>
      </c>
      <c r="D564" t="s">
        <v>3101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3102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3103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3104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3105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3106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3107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3117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3118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3119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3120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3121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3124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3125</v>
      </c>
    </row>
    <row r="578" spans="1:4" x14ac:dyDescent="0.3">
      <c r="A578">
        <v>602</v>
      </c>
      <c r="B578" s="13">
        <v>45862</v>
      </c>
      <c r="C578" t="s">
        <v>3126</v>
      </c>
      <c r="D578" t="s">
        <v>3127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3132</v>
      </c>
    </row>
    <row r="580" spans="1:4" x14ac:dyDescent="0.3">
      <c r="A580">
        <v>604</v>
      </c>
      <c r="B580" s="13">
        <v>45863</v>
      </c>
      <c r="C580" t="s">
        <v>2435</v>
      </c>
      <c r="D580" t="s">
        <v>3136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3137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3138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3139</v>
      </c>
    </row>
    <row r="584" spans="1:4" x14ac:dyDescent="0.3">
      <c r="A584">
        <v>608</v>
      </c>
      <c r="B584" s="13">
        <v>45863</v>
      </c>
      <c r="C584" t="s">
        <v>981</v>
      </c>
      <c r="D584" t="s">
        <v>3141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3142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3148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3149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3150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3151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3152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3153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3154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3155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3156</v>
      </c>
    </row>
    <row r="595" spans="1:4" x14ac:dyDescent="0.3">
      <c r="A595">
        <v>619</v>
      </c>
      <c r="B595" s="13">
        <v>45866</v>
      </c>
      <c r="C595" t="s">
        <v>3157</v>
      </c>
      <c r="D595" t="s">
        <v>3160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3161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3162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3163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3164</v>
      </c>
    </row>
    <row r="600" spans="1:4" x14ac:dyDescent="0.3">
      <c r="A600">
        <v>624</v>
      </c>
      <c r="B600" s="13">
        <v>45866</v>
      </c>
      <c r="C600" t="s">
        <v>3165</v>
      </c>
      <c r="D600" t="s">
        <v>3170</v>
      </c>
    </row>
    <row r="601" spans="1:4" x14ac:dyDescent="0.3">
      <c r="A601">
        <v>625</v>
      </c>
      <c r="B601" s="13">
        <v>45867</v>
      </c>
      <c r="C601" t="s">
        <v>1462</v>
      </c>
      <c r="D601" t="s">
        <v>3198</v>
      </c>
    </row>
    <row r="602" spans="1:4" x14ac:dyDescent="0.3">
      <c r="A602">
        <v>626</v>
      </c>
      <c r="B602" s="13">
        <v>45867</v>
      </c>
      <c r="C602" t="s">
        <v>1810</v>
      </c>
      <c r="D602" t="s">
        <v>3199</v>
      </c>
    </row>
    <row r="603" spans="1:4" x14ac:dyDescent="0.3">
      <c r="A603">
        <v>627</v>
      </c>
      <c r="B603" s="13">
        <v>45867</v>
      </c>
      <c r="C603" t="s">
        <v>1095</v>
      </c>
      <c r="D603" t="s">
        <v>3200</v>
      </c>
    </row>
    <row r="604" spans="1:4" x14ac:dyDescent="0.3">
      <c r="A604">
        <v>628</v>
      </c>
      <c r="B604" s="13">
        <v>45867</v>
      </c>
      <c r="C604" t="s">
        <v>1323</v>
      </c>
      <c r="D604" t="s">
        <v>3201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3202</v>
      </c>
    </row>
    <row r="606" spans="1:4" x14ac:dyDescent="0.3">
      <c r="A606">
        <v>630</v>
      </c>
      <c r="B606" s="13">
        <v>45867</v>
      </c>
      <c r="C606" t="s">
        <v>3032</v>
      </c>
      <c r="D606" t="s">
        <v>3203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3204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3205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3210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3211</v>
      </c>
    </row>
    <row r="611" spans="1:4" x14ac:dyDescent="0.3">
      <c r="A611">
        <v>635</v>
      </c>
      <c r="B611" s="13">
        <v>45868</v>
      </c>
      <c r="C611" t="s">
        <v>2892</v>
      </c>
      <c r="D611" t="s">
        <v>3212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3214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3215</v>
      </c>
    </row>
    <row r="614" spans="1:4" x14ac:dyDescent="0.3">
      <c r="A614">
        <v>638</v>
      </c>
      <c r="B614" s="13">
        <v>45868</v>
      </c>
      <c r="C614" t="s">
        <v>3216</v>
      </c>
      <c r="D614" t="s">
        <v>3220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3221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3224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3225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3226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3227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3228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3231</v>
      </c>
    </row>
    <row r="622" spans="1:4" x14ac:dyDescent="0.3">
      <c r="A622">
        <v>646</v>
      </c>
      <c r="B622" s="13">
        <v>45870</v>
      </c>
      <c r="C622" t="s">
        <v>3232</v>
      </c>
      <c r="D622" t="s">
        <v>3233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3234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3235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3239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3240</v>
      </c>
    </row>
    <row r="627" spans="1:4" x14ac:dyDescent="0.3">
      <c r="A627">
        <v>651</v>
      </c>
      <c r="B627" s="13">
        <v>45873</v>
      </c>
      <c r="C627" t="s">
        <v>2984</v>
      </c>
      <c r="D627" t="s">
        <v>3241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3242</v>
      </c>
    </row>
    <row r="629" spans="1:4" x14ac:dyDescent="0.3">
      <c r="A629">
        <v>653</v>
      </c>
      <c r="B629" s="13">
        <v>45873</v>
      </c>
      <c r="C629" t="s">
        <v>2984</v>
      </c>
      <c r="D629" t="s">
        <v>3243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3244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3246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3247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3248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3249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3251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3252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3253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3254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3267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3268</v>
      </c>
    </row>
    <row r="641" spans="1:4" x14ac:dyDescent="0.3">
      <c r="A641">
        <v>665</v>
      </c>
      <c r="B641" s="13">
        <v>45875</v>
      </c>
      <c r="C641" t="s">
        <v>3261</v>
      </c>
      <c r="D641" t="s">
        <v>3273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3275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3276</v>
      </c>
    </row>
    <row r="644" spans="1:4" x14ac:dyDescent="0.3">
      <c r="A644">
        <v>668</v>
      </c>
      <c r="B644" s="13">
        <v>45875</v>
      </c>
      <c r="C644" t="s">
        <v>3277</v>
      </c>
      <c r="D644" t="s">
        <v>3278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3279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3281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3282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3288</v>
      </c>
    </row>
    <row r="649" spans="1:4" x14ac:dyDescent="0.3">
      <c r="A649">
        <v>673</v>
      </c>
      <c r="B649" s="13">
        <v>45876</v>
      </c>
      <c r="C649" t="s">
        <v>2886</v>
      </c>
      <c r="D649" t="s">
        <v>3289</v>
      </c>
    </row>
    <row r="650" spans="1:4" x14ac:dyDescent="0.3">
      <c r="A650">
        <v>674</v>
      </c>
      <c r="B650" s="13">
        <v>45876</v>
      </c>
      <c r="C650" t="s">
        <v>2460</v>
      </c>
      <c r="D650" t="s">
        <v>3290</v>
      </c>
    </row>
    <row r="651" spans="1:4" x14ac:dyDescent="0.3">
      <c r="A651">
        <v>675</v>
      </c>
      <c r="B651" s="13">
        <v>45877</v>
      </c>
      <c r="C651" t="s">
        <v>3293</v>
      </c>
      <c r="D651" t="s">
        <v>3294</v>
      </c>
    </row>
    <row r="652" spans="1:4" x14ac:dyDescent="0.3">
      <c r="A652">
        <v>676</v>
      </c>
      <c r="B652" s="13">
        <v>45877</v>
      </c>
      <c r="C652" t="s">
        <v>3296</v>
      </c>
      <c r="D652" t="s">
        <v>3300</v>
      </c>
    </row>
    <row r="653" spans="1:4" x14ac:dyDescent="0.3">
      <c r="A653">
        <v>677</v>
      </c>
      <c r="B653" s="13">
        <v>45877</v>
      </c>
      <c r="C653" t="s">
        <v>3293</v>
      </c>
      <c r="D653" t="s">
        <v>3301</v>
      </c>
    </row>
    <row r="654" spans="1:4" x14ac:dyDescent="0.3">
      <c r="A654">
        <v>678</v>
      </c>
      <c r="B654" s="13">
        <v>45877</v>
      </c>
      <c r="C654" t="s">
        <v>3296</v>
      </c>
      <c r="D654" t="s">
        <v>3302</v>
      </c>
    </row>
    <row r="655" spans="1:4" x14ac:dyDescent="0.3">
      <c r="A655">
        <v>679</v>
      </c>
      <c r="B655" s="13">
        <v>45877</v>
      </c>
      <c r="C655" t="s">
        <v>3293</v>
      </c>
      <c r="D655" t="s">
        <v>3303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3305</v>
      </c>
    </row>
    <row r="657" spans="1:4" x14ac:dyDescent="0.3">
      <c r="A657">
        <v>681</v>
      </c>
      <c r="B657" s="13">
        <v>45878</v>
      </c>
      <c r="C657" t="s">
        <v>3306</v>
      </c>
      <c r="D657" t="s">
        <v>3307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3308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3309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3310</v>
      </c>
    </row>
    <row r="661" spans="1:4" x14ac:dyDescent="0.3">
      <c r="A661">
        <v>685</v>
      </c>
      <c r="B661" t="s">
        <v>3312</v>
      </c>
      <c r="C661" t="s">
        <v>1512</v>
      </c>
      <c r="D661" t="s">
        <v>3313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3314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3315</v>
      </c>
    </row>
    <row r="664" spans="1:4" x14ac:dyDescent="0.3">
      <c r="A664">
        <v>688</v>
      </c>
      <c r="B664" s="13">
        <v>45880</v>
      </c>
      <c r="C664" t="s">
        <v>3032</v>
      </c>
      <c r="D664" t="s">
        <v>3316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3317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3318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3319</v>
      </c>
    </row>
    <row r="668" spans="1:4" x14ac:dyDescent="0.3">
      <c r="A668">
        <v>692</v>
      </c>
      <c r="B668" s="13">
        <v>45881</v>
      </c>
      <c r="C668" t="s">
        <v>3126</v>
      </c>
      <c r="D668" t="s">
        <v>3321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3326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3327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3328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3329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3330</v>
      </c>
    </row>
    <row r="674" spans="1:4" x14ac:dyDescent="0.3">
      <c r="A674">
        <v>698</v>
      </c>
      <c r="B674" s="13">
        <v>45882</v>
      </c>
      <c r="C674" t="s">
        <v>3334</v>
      </c>
      <c r="D674" t="s">
        <v>3338</v>
      </c>
    </row>
    <row r="675" spans="1:4" x14ac:dyDescent="0.3">
      <c r="A675">
        <v>699</v>
      </c>
      <c r="B675" s="13">
        <v>45882</v>
      </c>
      <c r="C675" t="s">
        <v>3331</v>
      </c>
      <c r="D675" t="s">
        <v>3340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3341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3343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3345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3346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3348</v>
      </c>
    </row>
    <row r="681" spans="1:4" x14ac:dyDescent="0.3">
      <c r="A681">
        <v>705</v>
      </c>
      <c r="B681" s="13">
        <v>45883</v>
      </c>
      <c r="C681" t="s">
        <v>3349</v>
      </c>
      <c r="D681" t="s">
        <v>3351</v>
      </c>
    </row>
    <row r="682" spans="1:4" x14ac:dyDescent="0.3">
      <c r="A682">
        <v>706</v>
      </c>
      <c r="B682" s="13">
        <v>45883</v>
      </c>
      <c r="C682" t="s">
        <v>2664</v>
      </c>
      <c r="D682" t="s">
        <v>3352</v>
      </c>
    </row>
    <row r="683" spans="1:4" x14ac:dyDescent="0.3">
      <c r="A683">
        <v>707</v>
      </c>
      <c r="B683" s="13">
        <v>45883</v>
      </c>
      <c r="C683" t="s">
        <v>2460</v>
      </c>
      <c r="D683" t="s">
        <v>3353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3359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3360</v>
      </c>
    </row>
    <row r="686" spans="1:4" x14ac:dyDescent="0.3">
      <c r="A686">
        <v>710</v>
      </c>
      <c r="B686" s="13">
        <v>45884</v>
      </c>
      <c r="C686" t="s">
        <v>3361</v>
      </c>
      <c r="D686" t="s">
        <v>3364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3365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3366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3373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3374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3375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3378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3379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3380</v>
      </c>
    </row>
    <row r="695" spans="1:4" x14ac:dyDescent="0.3">
      <c r="A695">
        <v>719</v>
      </c>
      <c r="B695" s="13">
        <v>45887</v>
      </c>
      <c r="C695" t="s">
        <v>2677</v>
      </c>
      <c r="D695" t="s">
        <v>3382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3384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3386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3392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3393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3394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3395</v>
      </c>
    </row>
    <row r="702" spans="1:4" x14ac:dyDescent="0.3">
      <c r="A702">
        <v>726</v>
      </c>
      <c r="B702" s="13">
        <v>45888</v>
      </c>
      <c r="C702" t="s">
        <v>1417</v>
      </c>
      <c r="D702" t="s">
        <v>3397</v>
      </c>
    </row>
    <row r="703" spans="1:4" x14ac:dyDescent="0.3">
      <c r="A703">
        <v>727</v>
      </c>
      <c r="B703" s="13">
        <v>45889</v>
      </c>
      <c r="C703" t="s">
        <v>1030</v>
      </c>
      <c r="D703" t="s">
        <v>3401</v>
      </c>
    </row>
    <row r="704" spans="1:4" x14ac:dyDescent="0.3">
      <c r="A704">
        <v>728</v>
      </c>
      <c r="B704" s="13">
        <v>45889</v>
      </c>
      <c r="C704" t="s">
        <v>1559</v>
      </c>
      <c r="D704" t="s">
        <v>3402</v>
      </c>
    </row>
    <row r="705" spans="1:4" x14ac:dyDescent="0.3">
      <c r="A705">
        <v>729</v>
      </c>
      <c r="B705" s="13">
        <v>45889</v>
      </c>
      <c r="C705" t="s">
        <v>1050</v>
      </c>
      <c r="D705" t="s">
        <v>3403</v>
      </c>
    </row>
    <row r="706" spans="1:4" x14ac:dyDescent="0.3">
      <c r="A706">
        <v>730</v>
      </c>
      <c r="B706" s="13">
        <v>45889</v>
      </c>
      <c r="C706" t="s">
        <v>2623</v>
      </c>
      <c r="D706" t="s">
        <v>3405</v>
      </c>
    </row>
    <row r="707" spans="1:4" x14ac:dyDescent="0.3">
      <c r="A707">
        <v>731</v>
      </c>
      <c r="B707" s="13">
        <v>45889</v>
      </c>
      <c r="C707" t="s">
        <v>2296</v>
      </c>
      <c r="D707" t="s">
        <v>3406</v>
      </c>
    </row>
    <row r="708" spans="1:4" x14ac:dyDescent="0.3">
      <c r="A708">
        <v>732</v>
      </c>
      <c r="B708" s="13">
        <v>45889</v>
      </c>
      <c r="C708" t="s">
        <v>2413</v>
      </c>
      <c r="D708" t="s">
        <v>3408</v>
      </c>
    </row>
    <row r="709" spans="1:4" x14ac:dyDescent="0.3">
      <c r="A709">
        <v>733</v>
      </c>
      <c r="B709" s="13">
        <v>45890</v>
      </c>
      <c r="C709" t="s">
        <v>1396</v>
      </c>
      <c r="D709" t="s">
        <v>3409</v>
      </c>
    </row>
    <row r="710" spans="1:4" x14ac:dyDescent="0.3">
      <c r="A710">
        <v>734</v>
      </c>
      <c r="B710" s="13">
        <v>45890</v>
      </c>
      <c r="C710" t="s">
        <v>3032</v>
      </c>
      <c r="D710" t="s">
        <v>3410</v>
      </c>
    </row>
    <row r="711" spans="1:4" x14ac:dyDescent="0.3">
      <c r="A711">
        <v>735</v>
      </c>
      <c r="B711" s="13">
        <v>45890</v>
      </c>
      <c r="C711" t="s">
        <v>1598</v>
      </c>
      <c r="D711" t="s">
        <v>3411</v>
      </c>
    </row>
    <row r="712" spans="1:4" x14ac:dyDescent="0.3">
      <c r="A712">
        <v>736</v>
      </c>
      <c r="B712" s="13">
        <v>45890</v>
      </c>
      <c r="C712" t="s">
        <v>2623</v>
      </c>
      <c r="D712" t="s">
        <v>3412</v>
      </c>
    </row>
    <row r="713" spans="1:4" x14ac:dyDescent="0.3">
      <c r="A713">
        <v>737</v>
      </c>
      <c r="B713" s="13">
        <v>45890</v>
      </c>
      <c r="C713" t="s">
        <v>1740</v>
      </c>
      <c r="D713" t="s">
        <v>3414</v>
      </c>
    </row>
    <row r="714" spans="1:4" x14ac:dyDescent="0.3">
      <c r="A714">
        <v>738</v>
      </c>
      <c r="B714" s="13">
        <v>45890</v>
      </c>
      <c r="C714" t="s">
        <v>1417</v>
      </c>
      <c r="D714" t="s">
        <v>3417</v>
      </c>
    </row>
    <row r="715" spans="1:4" x14ac:dyDescent="0.3">
      <c r="A715">
        <v>739</v>
      </c>
      <c r="B715" s="13">
        <v>45890</v>
      </c>
      <c r="C715" t="s">
        <v>3261</v>
      </c>
      <c r="D715" t="s">
        <v>3418</v>
      </c>
    </row>
    <row r="716" spans="1:4" x14ac:dyDescent="0.3">
      <c r="A716">
        <v>740</v>
      </c>
      <c r="B716" s="13">
        <v>45891</v>
      </c>
      <c r="C716" t="s">
        <v>2962</v>
      </c>
      <c r="D716" t="s">
        <v>3421</v>
      </c>
    </row>
    <row r="717" spans="1:4" x14ac:dyDescent="0.3">
      <c r="A717">
        <v>741</v>
      </c>
      <c r="B717" s="13">
        <v>45891</v>
      </c>
      <c r="C717" t="s">
        <v>1832</v>
      </c>
      <c r="D717" t="s">
        <v>3423</v>
      </c>
    </row>
    <row r="718" spans="1:4" x14ac:dyDescent="0.3">
      <c r="A718">
        <v>742</v>
      </c>
      <c r="B718" s="13">
        <v>45891</v>
      </c>
      <c r="C718" t="s">
        <v>3424</v>
      </c>
      <c r="D718" t="s">
        <v>3428</v>
      </c>
    </row>
    <row r="719" spans="1:4" x14ac:dyDescent="0.3">
      <c r="A719">
        <v>743</v>
      </c>
      <c r="B719" s="13">
        <v>45891</v>
      </c>
      <c r="C719" t="s">
        <v>2677</v>
      </c>
      <c r="D719" t="s">
        <v>3429</v>
      </c>
    </row>
    <row r="720" spans="1:4" x14ac:dyDescent="0.3">
      <c r="A720">
        <v>744</v>
      </c>
      <c r="B720" s="13">
        <v>45891</v>
      </c>
      <c r="C720" t="s">
        <v>3430</v>
      </c>
      <c r="D720" t="s">
        <v>3436</v>
      </c>
    </row>
    <row r="721" spans="1:4" x14ac:dyDescent="0.3">
      <c r="A721">
        <v>745</v>
      </c>
      <c r="B721" s="13">
        <v>45892</v>
      </c>
      <c r="C721" t="s">
        <v>1011</v>
      </c>
      <c r="D721" t="s">
        <v>3440</v>
      </c>
    </row>
    <row r="722" spans="1:4" x14ac:dyDescent="0.3">
      <c r="A722">
        <v>746</v>
      </c>
      <c r="B722" s="13">
        <v>45894</v>
      </c>
      <c r="C722" t="s">
        <v>1417</v>
      </c>
      <c r="D722" t="s">
        <v>3445</v>
      </c>
    </row>
    <row r="723" spans="1:4" x14ac:dyDescent="0.3">
      <c r="A723">
        <v>747</v>
      </c>
      <c r="B723" s="13">
        <v>45894</v>
      </c>
      <c r="C723" t="s">
        <v>1417</v>
      </c>
      <c r="D723" t="s">
        <v>3446</v>
      </c>
    </row>
    <row r="724" spans="1:4" x14ac:dyDescent="0.3">
      <c r="A724">
        <v>748</v>
      </c>
      <c r="B724" s="13">
        <v>45894</v>
      </c>
      <c r="C724" t="s">
        <v>1417</v>
      </c>
      <c r="D724" t="s">
        <v>3447</v>
      </c>
    </row>
    <row r="725" spans="1:4" x14ac:dyDescent="0.3">
      <c r="A725">
        <v>749</v>
      </c>
      <c r="B725" s="13">
        <v>45894</v>
      </c>
      <c r="C725" t="s">
        <v>1825</v>
      </c>
      <c r="D725" t="s">
        <v>3448</v>
      </c>
    </row>
    <row r="726" spans="1:4" x14ac:dyDescent="0.3">
      <c r="A726">
        <v>750</v>
      </c>
      <c r="B726" s="13">
        <v>45894</v>
      </c>
      <c r="C726" t="s">
        <v>3261</v>
      </c>
      <c r="D726" t="s">
        <v>3452</v>
      </c>
    </row>
    <row r="727" spans="1:4" x14ac:dyDescent="0.3">
      <c r="A727">
        <v>751</v>
      </c>
      <c r="B727" s="13">
        <v>45894</v>
      </c>
      <c r="C727" t="s">
        <v>3032</v>
      </c>
      <c r="D727" t="s">
        <v>3453</v>
      </c>
    </row>
    <row r="728" spans="1:4" x14ac:dyDescent="0.3">
      <c r="A728">
        <v>752</v>
      </c>
      <c r="B728" s="13">
        <v>45894</v>
      </c>
      <c r="C728" t="s">
        <v>1595</v>
      </c>
      <c r="D728" t="s">
        <v>3454</v>
      </c>
    </row>
    <row r="729" spans="1:4" x14ac:dyDescent="0.3">
      <c r="A729">
        <v>753</v>
      </c>
      <c r="B729" s="13">
        <v>45894</v>
      </c>
      <c r="C729" t="s">
        <v>2327</v>
      </c>
      <c r="D729" t="s">
        <v>3455</v>
      </c>
    </row>
    <row r="730" spans="1:4" x14ac:dyDescent="0.3">
      <c r="A730">
        <v>754</v>
      </c>
      <c r="B730" s="13">
        <v>45894</v>
      </c>
      <c r="C730" t="s">
        <v>2623</v>
      </c>
      <c r="D730" t="s">
        <v>3456</v>
      </c>
    </row>
    <row r="731" spans="1:4" x14ac:dyDescent="0.3">
      <c r="A731">
        <v>755</v>
      </c>
      <c r="B731" s="13">
        <v>45894</v>
      </c>
      <c r="C731" t="s">
        <v>3457</v>
      </c>
      <c r="D731" t="s">
        <v>3461</v>
      </c>
    </row>
    <row r="732" spans="1:4" x14ac:dyDescent="0.3">
      <c r="A732">
        <v>756</v>
      </c>
      <c r="B732" s="13">
        <v>45894</v>
      </c>
      <c r="C732" t="s">
        <v>3457</v>
      </c>
      <c r="D732" t="s">
        <v>3462</v>
      </c>
    </row>
    <row r="733" spans="1:4" x14ac:dyDescent="0.3">
      <c r="A733">
        <v>757</v>
      </c>
      <c r="B733" s="13">
        <v>45894</v>
      </c>
      <c r="C733" t="s">
        <v>989</v>
      </c>
      <c r="D733" t="s">
        <v>3463</v>
      </c>
    </row>
    <row r="734" spans="1:4" x14ac:dyDescent="0.3">
      <c r="A734">
        <v>758</v>
      </c>
      <c r="B734" s="13">
        <v>45894</v>
      </c>
      <c r="C734" t="s">
        <v>2460</v>
      </c>
      <c r="D734" t="s">
        <v>3465</v>
      </c>
    </row>
    <row r="735" spans="1:4" x14ac:dyDescent="0.3">
      <c r="A735">
        <v>759</v>
      </c>
      <c r="B735" s="13">
        <v>45894</v>
      </c>
      <c r="C735" t="s">
        <v>2341</v>
      </c>
      <c r="D735" t="s">
        <v>3466</v>
      </c>
    </row>
    <row r="736" spans="1:4" x14ac:dyDescent="0.3">
      <c r="A736">
        <v>760</v>
      </c>
      <c r="B736" s="13">
        <v>45894</v>
      </c>
      <c r="C736" t="s">
        <v>1595</v>
      </c>
      <c r="D736" t="s">
        <v>3467</v>
      </c>
    </row>
    <row r="737" spans="1:4" x14ac:dyDescent="0.3">
      <c r="A737">
        <v>761</v>
      </c>
      <c r="B737" s="13">
        <v>45894</v>
      </c>
      <c r="C737" t="s">
        <v>1595</v>
      </c>
      <c r="D737" t="s">
        <v>3468</v>
      </c>
    </row>
    <row r="738" spans="1:4" x14ac:dyDescent="0.3">
      <c r="A738">
        <v>762</v>
      </c>
      <c r="B738" s="13">
        <v>45894</v>
      </c>
      <c r="C738" t="s">
        <v>1019</v>
      </c>
      <c r="D738" t="s">
        <v>3469</v>
      </c>
    </row>
    <row r="739" spans="1:4" x14ac:dyDescent="0.3">
      <c r="A739">
        <v>763</v>
      </c>
      <c r="B739" s="13">
        <v>45895</v>
      </c>
      <c r="C739" t="s">
        <v>1559</v>
      </c>
      <c r="D739" t="s">
        <v>3477</v>
      </c>
    </row>
    <row r="740" spans="1:4" x14ac:dyDescent="0.3">
      <c r="A740">
        <v>764</v>
      </c>
      <c r="B740" s="13">
        <v>45895</v>
      </c>
      <c r="C740" t="s">
        <v>1487</v>
      </c>
      <c r="D740" t="s">
        <v>3478</v>
      </c>
    </row>
    <row r="741" spans="1:4" x14ac:dyDescent="0.3">
      <c r="A741">
        <v>765</v>
      </c>
      <c r="B741" s="13">
        <v>45895</v>
      </c>
      <c r="C741" t="s">
        <v>1019</v>
      </c>
      <c r="D741" t="s">
        <v>3480</v>
      </c>
    </row>
    <row r="742" spans="1:4" x14ac:dyDescent="0.3">
      <c r="A742">
        <v>766</v>
      </c>
      <c r="B742" s="13">
        <v>45895</v>
      </c>
      <c r="C742" t="s">
        <v>1598</v>
      </c>
      <c r="D742" t="s">
        <v>3482</v>
      </c>
    </row>
    <row r="743" spans="1:4" x14ac:dyDescent="0.3">
      <c r="A743">
        <v>767</v>
      </c>
      <c r="B743" s="13">
        <v>45895</v>
      </c>
      <c r="C743" t="s">
        <v>1462</v>
      </c>
      <c r="D743" t="s">
        <v>3483</v>
      </c>
    </row>
    <row r="744" spans="1:4" x14ac:dyDescent="0.3">
      <c r="A744">
        <v>768</v>
      </c>
      <c r="B744" s="13">
        <v>45895</v>
      </c>
      <c r="C744" t="s">
        <v>2962</v>
      </c>
      <c r="D744" t="s">
        <v>3488</v>
      </c>
    </row>
    <row r="745" spans="1:4" x14ac:dyDescent="0.3">
      <c r="A745">
        <v>769</v>
      </c>
      <c r="B745" s="13">
        <v>45895</v>
      </c>
      <c r="C745" t="s">
        <v>2962</v>
      </c>
      <c r="D745" t="s">
        <v>3489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177</v>
      </c>
      <c r="J1" s="287"/>
      <c r="K1" s="286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4">
        <f>SUMIF(주문_리스트!C:C,거래처!$B2,주문_리스트!K:K)+SUMIF(주문_리스트!C:C,거래처!B2,주문_리스트!L:L)-1543201</f>
        <v>6661900.6000000015</v>
      </c>
      <c r="I2" s="194" t="s">
        <v>3475</v>
      </c>
    </row>
    <row r="3" spans="1:11" x14ac:dyDescent="0.3">
      <c r="A3">
        <v>2</v>
      </c>
      <c r="B3" t="s">
        <v>2659</v>
      </c>
      <c r="C3" t="s">
        <v>2660</v>
      </c>
      <c r="E3" t="s">
        <v>2661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1292</v>
      </c>
      <c r="C4" t="s">
        <v>1088</v>
      </c>
      <c r="E4" t="s">
        <v>1089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1293</v>
      </c>
      <c r="C6" t="s">
        <v>2662</v>
      </c>
      <c r="E6" t="s">
        <v>2663</v>
      </c>
      <c r="F6" t="s">
        <v>1195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1308</v>
      </c>
      <c r="C8" t="s">
        <v>1100</v>
      </c>
      <c r="E8" t="s">
        <v>1101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1295</v>
      </c>
      <c r="C9" t="s">
        <v>1118</v>
      </c>
      <c r="E9" t="s">
        <v>1119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4">
        <f>SUMIF(주문_리스트!C:C,거래처!B10,주문_리스트!K:K)+SUMIF(주문_리스트!C:C,거래처!B10,주문_리스트!L:L)</f>
        <v>3100000</v>
      </c>
      <c r="I10" s="52" t="s">
        <v>3475</v>
      </c>
    </row>
    <row r="11" spans="1:1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3133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1299</v>
      </c>
      <c r="C12" t="s">
        <v>2161</v>
      </c>
      <c r="E12" t="s">
        <v>2162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1300</v>
      </c>
      <c r="C13" t="s">
        <v>1226</v>
      </c>
      <c r="E13" t="s">
        <v>1227</v>
      </c>
      <c r="F13" t="s">
        <v>2406</v>
      </c>
      <c r="G13" t="s">
        <v>2407</v>
      </c>
      <c r="H13" s="194">
        <f>SUMIF(주문_리스트!C:C,거래처!B13,주문_리스트!K:K)+SUMIF(주문_리스트!C:C,거래처!B13,주문_리스트!L:L)-1320000</f>
        <v>1320000</v>
      </c>
      <c r="I13" s="52" t="s">
        <v>3475</v>
      </c>
    </row>
    <row r="14" spans="1:11" x14ac:dyDescent="0.3">
      <c r="A14">
        <v>13</v>
      </c>
      <c r="B14" t="s">
        <v>1301</v>
      </c>
      <c r="C14" t="s">
        <v>2565</v>
      </c>
      <c r="E14" t="s">
        <v>2566</v>
      </c>
      <c r="F14" t="s">
        <v>964</v>
      </c>
      <c r="G14" t="s">
        <v>2567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4">
        <f>SUMIF(주문_리스트!C:C,거래처!B17,주문_리스트!K:K)+SUMIF(주문_리스트!C:C,거래처!B17,주문_리스트!L:L)+13873000</f>
        <v>15635000.199999999</v>
      </c>
      <c r="I17" s="52" t="s">
        <v>3475</v>
      </c>
    </row>
    <row r="18" spans="1:13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4">
        <f>SUMIF(주문_리스트!C:C,거래처!B18,주문_리스트!K:K)+SUMIF(주문_리스트!C:C,거래처!B18,주문_리스트!L:L)-2524500</f>
        <v>0</v>
      </c>
      <c r="I18" s="52" t="s">
        <v>3222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4">
        <f>SUMIF(주문_리스트!C:C,거래처!B19,주문_리스트!K:K)+SUMIF(주문_리스트!C:C,거래처!B19,주문_리스트!L:L)+9970000</f>
        <v>1815000</v>
      </c>
      <c r="I19" s="52" t="s">
        <v>3475</v>
      </c>
      <c r="M19" s="286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4">
        <f>SUMIF(주문_리스트!C:C,거래처!B20,주문_리스트!K:K)+SUMIF(주문_리스트!C:C,거래처!B20,주문_리스트!L:L)-10000</f>
        <v>3079999.6999999993</v>
      </c>
      <c r="I20" s="52" t="s">
        <v>3475</v>
      </c>
    </row>
    <row r="21" spans="1:13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4">
        <f>SUMIF(주문_리스트!C:C,거래처!B21,주문_리스트!K:K)+SUMIF(주문_리스트!C:C,거래처!B21,주문_리스트!L:L)</f>
        <v>0</v>
      </c>
      <c r="I21" s="52" t="s">
        <v>3354</v>
      </c>
    </row>
    <row r="22" spans="1:13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1310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1311</v>
      </c>
      <c r="C24" t="s">
        <v>1084</v>
      </c>
      <c r="E24" t="s">
        <v>1085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1313</v>
      </c>
      <c r="C26" t="s">
        <v>1048</v>
      </c>
      <c r="E26" t="s">
        <v>1049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4">
        <f>SUMIF(주문_리스트!C:C,거래처!B31,주문_리스트!K:K)+SUMIF(주문_리스트!C:C,거래처!B31,주문_리스트!L:L)-1200000</f>
        <v>0</v>
      </c>
      <c r="I31" s="52" t="s">
        <v>3439</v>
      </c>
    </row>
    <row r="32" spans="1:13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3067</v>
      </c>
    </row>
    <row r="33" spans="1:9" x14ac:dyDescent="0.3">
      <c r="A33">
        <v>32</v>
      </c>
      <c r="B33" t="s">
        <v>1316</v>
      </c>
      <c r="C33" t="s">
        <v>1063</v>
      </c>
      <c r="E33" t="s">
        <v>1064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3230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14878000</v>
      </c>
      <c r="I37" s="52" t="s">
        <v>3475</v>
      </c>
    </row>
    <row r="38" spans="1:9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4">
        <f>SUMIF(주문_리스트!C:C,거래처!B38,주문_리스트!K:K)+SUMIF(주문_리스트!C:C,거래처!B38,주문_리스트!L:L)</f>
        <v>1396999.9000000004</v>
      </c>
      <c r="I38" s="52" t="s">
        <v>3475</v>
      </c>
    </row>
    <row r="39" spans="1:9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1321</v>
      </c>
      <c r="C40" t="s">
        <v>999</v>
      </c>
      <c r="E40" t="s">
        <v>1000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1325</v>
      </c>
      <c r="C44" t="s">
        <v>2717</v>
      </c>
      <c r="E44" t="s">
        <v>2718</v>
      </c>
      <c r="F44" t="s">
        <v>964</v>
      </c>
      <c r="G44" t="s">
        <v>2719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1327</v>
      </c>
      <c r="C46" t="s">
        <v>2501</v>
      </c>
      <c r="E46" t="s">
        <v>2503</v>
      </c>
      <c r="F46" t="s">
        <v>1195</v>
      </c>
      <c r="G46" t="s">
        <v>2502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1285</v>
      </c>
      <c r="C50" t="s">
        <v>1286</v>
      </c>
      <c r="E50" t="s">
        <v>1287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1161</v>
      </c>
      <c r="C54" t="s">
        <v>1809</v>
      </c>
      <c r="E54" t="s">
        <v>2699</v>
      </c>
      <c r="F54" t="s">
        <v>32</v>
      </c>
      <c r="G54" t="s">
        <v>2700</v>
      </c>
      <c r="H54" s="194">
        <f>SUMIF(주문_리스트!C:C,거래처!B54,주문_리스트!K:K)+SUMIF(주문_리스트!C:C,거래처!B54,주문_리스트!L:L)-4015000</f>
        <v>1100000</v>
      </c>
      <c r="I54" s="52" t="s">
        <v>3475</v>
      </c>
    </row>
    <row r="55" spans="1:9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1334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2960000</v>
      </c>
      <c r="I57" s="52" t="s">
        <v>3475</v>
      </c>
    </row>
    <row r="58" spans="1:9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3439</v>
      </c>
    </row>
    <row r="60" spans="1:9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1338</v>
      </c>
      <c r="C62" t="s">
        <v>2672</v>
      </c>
      <c r="E62" t="s">
        <v>2673</v>
      </c>
      <c r="F62" t="s">
        <v>2674</v>
      </c>
      <c r="G62" t="s">
        <v>2675</v>
      </c>
      <c r="H62" s="194">
        <f>SUMIF(주문_리스트!C:C,거래처!B62,주문_리스트!K:K)+SUMIF(주문_리스트!C:C,거래처!B62,주문_리스트!L:L)</f>
        <v>1000000</v>
      </c>
      <c r="I62" s="52" t="s">
        <v>3475</v>
      </c>
    </row>
    <row r="63" spans="1:9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1341</v>
      </c>
      <c r="C65" t="s">
        <v>2691</v>
      </c>
      <c r="E65" t="s">
        <v>2692</v>
      </c>
      <c r="F65" t="s">
        <v>2693</v>
      </c>
      <c r="G65" t="s">
        <v>2694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4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1344</v>
      </c>
      <c r="C69" t="s">
        <v>1080</v>
      </c>
      <c r="E69" t="s">
        <v>1081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2504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1346</v>
      </c>
      <c r="C71" t="s">
        <v>2568</v>
      </c>
      <c r="E71" t="s">
        <v>2569</v>
      </c>
      <c r="F71" t="s">
        <v>1195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4">
        <f>SUMIF(주문_리스트!C:C,거래처!B72,주문_리스트!K:K)+SUMIF(주문_리스트!C:C,거래처!B72,주문_리스트!L:L)-1890000</f>
        <v>1650000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4">
        <f>SUMIF(주문_리스트!C:C,거래처!B73,주문_리스트!K:K)+SUMIF(주문_리스트!C:C,거래처!B73,주문_리스트!L:L)-3100000+1500000</f>
        <v>1550000</v>
      </c>
      <c r="I73" s="52" t="s">
        <v>3475</v>
      </c>
    </row>
    <row r="74" spans="1:9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1348</v>
      </c>
      <c r="C75" t="s">
        <v>996</v>
      </c>
      <c r="E75" t="s">
        <v>1349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4">
        <f>SUMIF(주문_리스트!C:C,거래처!B76,주문_리스트!K:K)+SUMIF(주문_리스트!C:C,거래처!B76,주문_리스트!L:L)-8677000</f>
        <v>3150000</v>
      </c>
      <c r="I76" s="52" t="s">
        <v>3475</v>
      </c>
    </row>
    <row r="77" spans="1:9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4">
        <f>SUMIF(주문_리스트!C:C,거래처!B77,주문_리스트!K:K)+SUMIF(주문_리스트!C:C,거래처!B77,주문_리스트!L:L)-5800000</f>
        <v>0</v>
      </c>
      <c r="I77" s="52" t="s">
        <v>3387</v>
      </c>
    </row>
    <row r="78" spans="1:9" x14ac:dyDescent="0.3">
      <c r="A78">
        <v>77</v>
      </c>
      <c r="B78" t="s">
        <v>1352</v>
      </c>
      <c r="C78" t="s">
        <v>1057</v>
      </c>
      <c r="E78" t="s">
        <v>1058</v>
      </c>
      <c r="H78" s="194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4010000</v>
      </c>
      <c r="I79" s="52" t="s">
        <v>3475</v>
      </c>
    </row>
    <row r="80" spans="1:9" x14ac:dyDescent="0.3">
      <c r="A80">
        <v>79</v>
      </c>
      <c r="B80" t="s">
        <v>1354</v>
      </c>
      <c r="C80" t="s">
        <v>1110</v>
      </c>
      <c r="E80" t="s">
        <v>1111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1355</v>
      </c>
      <c r="C81" t="s">
        <v>1078</v>
      </c>
      <c r="E81" t="s">
        <v>1079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1356</v>
      </c>
      <c r="C82" t="s">
        <v>997</v>
      </c>
      <c r="E82" t="s">
        <v>998</v>
      </c>
      <c r="H82" s="194">
        <f>SUMIF(주문_리스트!C:C,거래처!B82,주문_리스트!K:K)+SUMIF(주문_리스트!C:C,거래처!B82,주문_리스트!L:L)-1200000</f>
        <v>0</v>
      </c>
      <c r="I82" s="52" t="s">
        <v>3229</v>
      </c>
    </row>
    <row r="83" spans="1:9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2500000</v>
      </c>
      <c r="I84" s="52" t="s">
        <v>3475</v>
      </c>
    </row>
    <row r="85" spans="1:9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3260</v>
      </c>
    </row>
    <row r="86" spans="1:9" x14ac:dyDescent="0.3">
      <c r="A86">
        <v>85</v>
      </c>
      <c r="B86" t="s">
        <v>1360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4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1364</v>
      </c>
      <c r="C90" t="s">
        <v>1112</v>
      </c>
      <c r="E90" t="s">
        <v>1113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1365</v>
      </c>
      <c r="C91" t="s">
        <v>2440</v>
      </c>
      <c r="E91" t="s">
        <v>2441</v>
      </c>
      <c r="F91" t="s">
        <v>2442</v>
      </c>
      <c r="H91" s="194">
        <f>SUMIF(주문_리스트!C:C,거래처!B91,주문_리스트!K:K)+SUMIF(주문_리스트!C:C,거래처!B91,주문_리스트!L:L)-700000</f>
        <v>0</v>
      </c>
      <c r="I91" s="52" t="s">
        <v>3067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4">
        <f>SUMIF(주문_리스트!C:C,거래처!B92,주문_리스트!K:K)+SUMIF(주문_리스트!C:C,거래처!B92,주문_리스트!L:L)-2089000</f>
        <v>1525400.0999999996</v>
      </c>
      <c r="I92" s="52" t="s">
        <v>3475</v>
      </c>
    </row>
    <row r="93" spans="1:9" x14ac:dyDescent="0.3">
      <c r="A93">
        <v>92</v>
      </c>
      <c r="B93" t="s">
        <v>1367</v>
      </c>
      <c r="C93" t="s">
        <v>1055</v>
      </c>
      <c r="E93" t="s">
        <v>1056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4">
        <f>SUMIF(주문_리스트!C:C,거래처!B94,주문_리스트!K:K)+SUMIF(주문_리스트!C:C,거래처!B94,주문_리스트!L:L)-1320000</f>
        <v>3406000</v>
      </c>
      <c r="I94" s="52" t="s">
        <v>3475</v>
      </c>
    </row>
    <row r="95" spans="1:9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4">
        <f>SUMIF(주문_리스트!C:C,거래처!B95,주문_리스트!K:K)+SUMIF(주문_리스트!C:C,거래처!B95,주문_리스트!L:L)-715000</f>
        <v>600000</v>
      </c>
      <c r="I95" s="52" t="s">
        <v>3475</v>
      </c>
    </row>
    <row r="96" spans="1:9" x14ac:dyDescent="0.3">
      <c r="A96">
        <v>95</v>
      </c>
      <c r="B96" t="s">
        <v>1369</v>
      </c>
      <c r="C96" t="s">
        <v>1072</v>
      </c>
      <c r="E96" t="s">
        <v>1073</v>
      </c>
      <c r="H96" s="194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2029500</v>
      </c>
      <c r="I97" s="52" t="s">
        <v>3475</v>
      </c>
    </row>
    <row r="98" spans="1:14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4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2500</v>
      </c>
      <c r="H99" s="194">
        <f>SUMIF(주문_리스트!C:C,거래처!B99,주문_리스트!K:K)+SUMIF(주문_리스트!C:C,거래처!B99,주문_리스트!L:L)</f>
        <v>0</v>
      </c>
    </row>
    <row r="100" spans="1:14" x14ac:dyDescent="0.3">
      <c r="A100">
        <v>99</v>
      </c>
      <c r="B100" t="s">
        <v>2496</v>
      </c>
      <c r="C100" t="s">
        <v>2497</v>
      </c>
      <c r="E100" t="s">
        <v>2498</v>
      </c>
      <c r="F100" t="s">
        <v>2499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2973</v>
      </c>
    </row>
    <row r="102" spans="1:14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4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1107</v>
      </c>
      <c r="C106" t="s">
        <v>1108</v>
      </c>
      <c r="E106" t="s">
        <v>1109</v>
      </c>
      <c r="H106" s="194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3269</v>
      </c>
      <c r="C107" t="s">
        <v>3270</v>
      </c>
      <c r="E107" t="s">
        <v>3271</v>
      </c>
      <c r="F107" t="s">
        <v>964</v>
      </c>
      <c r="G107" t="s">
        <v>3272</v>
      </c>
      <c r="H107" s="194">
        <f>SUMIF(주문_리스트!C:C,거래처!B107,주문_리스트!K:K)+SUMIF(주문_리스트!C:C,거래처!B107,주문_리스트!L:L)-450000</f>
        <v>0</v>
      </c>
      <c r="I107" s="52" t="s">
        <v>3439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4">
        <f>SUMIF(주문_리스트!C:C,거래처!B108,주문_리스트!K:K)+SUMIF(주문_리스트!C:C,거래처!B108,주문_리스트!L:L)</f>
        <v>1650000</v>
      </c>
      <c r="I108" s="52" t="s">
        <v>3475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4">
        <f>SUMIF(주문_리스트!C:C,거래처!B109,주문_리스트!K:K)+SUMIF(주문_리스트!C:C,거래처!B109,주문_리스트!L:L)-3550000</f>
        <v>925000</v>
      </c>
      <c r="I109" s="52" t="s">
        <v>3475</v>
      </c>
    </row>
    <row r="110" spans="1:14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4">
        <f>SUMIF(주문_리스트!C:C,거래처!B110,주문_리스트!K:K)+SUMIF(주문_리스트!C:C,거래처!B110,주문_리스트!L:L)-1200000</f>
        <v>0</v>
      </c>
      <c r="N110" t="s">
        <v>2136</v>
      </c>
    </row>
    <row r="111" spans="1:14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4">
        <f>SUMIF(주문_리스트!C:C,거래처!B112,주문_리스트!K:K)+SUMIF(주문_리스트!C:C,거래처!B112,주문_리스트!L:L)</f>
        <v>0</v>
      </c>
      <c r="I112" s="52" t="s">
        <v>3222</v>
      </c>
    </row>
    <row r="113" spans="1:9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4">
        <f>SUMIF(주문_리스트!C:C,거래처!B113,주문_리스트!K:K)+SUMIF(주문_리스트!C:C,거래처!B113,주문_리스트!L:L)-5100000</f>
        <v>0</v>
      </c>
      <c r="I113" s="52" t="s">
        <v>3171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4">
        <f>SUMIF(주문_리스트!C:C,거래처!B114,주문_리스트!K:K)+SUMIF(주문_리스트!C:C,거래처!B114,주문_리스트!L:L)-650000</f>
        <v>0</v>
      </c>
      <c r="I114" s="52" t="s">
        <v>3419</v>
      </c>
    </row>
    <row r="115" spans="1:9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4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4">
        <f>SUMIF(주문_리스트!C:C,거래처!B117,주문_리스트!K:K)+SUMIF(주문_리스트!C:C,거래처!B117,주문_리스트!L:L)</f>
        <v>0</v>
      </c>
      <c r="I117" s="52" t="s">
        <v>3325</v>
      </c>
    </row>
    <row r="118" spans="1:9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2553</v>
      </c>
      <c r="C121" t="s">
        <v>1540</v>
      </c>
      <c r="E121" t="s">
        <v>1541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1689</v>
      </c>
      <c r="C125" t="s">
        <v>1690</v>
      </c>
      <c r="E125" t="s">
        <v>1691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1861</v>
      </c>
      <c r="C126" t="s">
        <v>3236</v>
      </c>
      <c r="E126" t="s">
        <v>3237</v>
      </c>
      <c r="F126" t="s">
        <v>964</v>
      </c>
      <c r="G126" t="s">
        <v>3238</v>
      </c>
      <c r="H126" s="194">
        <v>0</v>
      </c>
    </row>
    <row r="127" spans="1:9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2058</v>
      </c>
      <c r="C130" t="s">
        <v>2059</v>
      </c>
      <c r="E130" t="s">
        <v>2060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2063</v>
      </c>
      <c r="C131" t="s">
        <v>2064</v>
      </c>
      <c r="E131" t="s">
        <v>2065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2887</v>
      </c>
      <c r="C132" t="s">
        <v>2888</v>
      </c>
      <c r="E132" t="s">
        <v>2889</v>
      </c>
      <c r="F132" t="s">
        <v>2890</v>
      </c>
      <c r="G132" t="s">
        <v>2891</v>
      </c>
      <c r="H132" s="194">
        <f>SUMIF(주문_리스트!C:C,거래처!B132,주문_리스트!K:K)+SUMIF(주문_리스트!C:C,거래처!B132,주문_리스트!L:L)</f>
        <v>0</v>
      </c>
      <c r="I132" s="52" t="s">
        <v>3292</v>
      </c>
    </row>
    <row r="133" spans="1:9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4">
        <f>SUMIF(주문_리스트!C:C,거래처!B134,주문_리스트!K:K)+SUMIF(주문_리스트!C:C,거래처!B134,주문_리스트!L:L)</f>
        <v>715000</v>
      </c>
      <c r="I134" s="52" t="s">
        <v>3475</v>
      </c>
    </row>
    <row r="135" spans="1:9" x14ac:dyDescent="0.3">
      <c r="A135">
        <v>134</v>
      </c>
      <c r="B135" t="s">
        <v>2163</v>
      </c>
      <c r="C135" t="s">
        <v>2164</v>
      </c>
      <c r="E135" t="s">
        <v>2165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2179</v>
      </c>
      <c r="C136" t="s">
        <v>2181</v>
      </c>
      <c r="E136" t="s">
        <v>2182</v>
      </c>
      <c r="H136" s="194">
        <f>SUMIF(주문_리스트!C:C,거래처!B136,주문_리스트!K:K)+SUMIF(주문_리스트!C:C,거래처!B136,주문_리스트!L:L)</f>
        <v>0</v>
      </c>
      <c r="I136" s="52" t="s">
        <v>3260</v>
      </c>
    </row>
    <row r="137" spans="1:9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2853</v>
      </c>
      <c r="C138" t="s">
        <v>2854</v>
      </c>
      <c r="E138" t="s">
        <v>2855</v>
      </c>
      <c r="F138" t="s">
        <v>2856</v>
      </c>
      <c r="G138" t="s">
        <v>2857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2421</v>
      </c>
      <c r="C139" t="s">
        <v>2422</v>
      </c>
      <c r="E139" t="s">
        <v>2423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2411</v>
      </c>
      <c r="C141" t="s">
        <v>2412</v>
      </c>
      <c r="E141" t="s">
        <v>2413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2417</v>
      </c>
      <c r="C142" t="s">
        <v>2418</v>
      </c>
      <c r="E142" t="s">
        <v>2419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2428</v>
      </c>
      <c r="C143" t="s">
        <v>2429</v>
      </c>
      <c r="E143" t="s">
        <v>2430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2529</v>
      </c>
      <c r="C144" t="s">
        <v>2530</v>
      </c>
      <c r="E144" t="s">
        <v>2532</v>
      </c>
      <c r="F144" t="s">
        <v>2531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2533</v>
      </c>
      <c r="C145" t="s">
        <v>3071</v>
      </c>
      <c r="E145" t="s">
        <v>3072</v>
      </c>
      <c r="F145" t="s">
        <v>964</v>
      </c>
      <c r="G145" t="s">
        <v>3073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2549</v>
      </c>
      <c r="C146" t="s">
        <v>2550</v>
      </c>
      <c r="E146" t="s">
        <v>2551</v>
      </c>
      <c r="F146" t="s">
        <v>964</v>
      </c>
      <c r="G146" t="s">
        <v>2552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2763</v>
      </c>
      <c r="C147" t="s">
        <v>2761</v>
      </c>
      <c r="E147" t="s">
        <v>2762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2626</v>
      </c>
      <c r="C148" t="s">
        <v>2627</v>
      </c>
      <c r="E148" t="s">
        <v>2628</v>
      </c>
      <c r="F148" t="s">
        <v>978</v>
      </c>
      <c r="G148" t="s">
        <v>2629</v>
      </c>
      <c r="H148" s="194">
        <f>SUMIF(주문_리스트!C:C,거래처!B148,주문_리스트!K:K)+SUMIF(주문_리스트!C:C,거래처!B148,주문_리스트!L:L)</f>
        <v>1550000</v>
      </c>
      <c r="I148" s="52" t="s">
        <v>3475</v>
      </c>
    </row>
    <row r="149" spans="1:9" x14ac:dyDescent="0.3">
      <c r="A149">
        <v>148</v>
      </c>
      <c r="B149" t="s">
        <v>2706</v>
      </c>
      <c r="C149" t="s">
        <v>2707</v>
      </c>
      <c r="D149" t="s">
        <v>2708</v>
      </c>
      <c r="E149" t="s">
        <v>2709</v>
      </c>
      <c r="F149" t="s">
        <v>32</v>
      </c>
      <c r="G149" t="s">
        <v>2710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2791</v>
      </c>
      <c r="C150" t="s">
        <v>2792</v>
      </c>
      <c r="E150" t="s">
        <v>2793</v>
      </c>
      <c r="F150" t="s">
        <v>964</v>
      </c>
      <c r="G150" t="s">
        <v>2794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2827</v>
      </c>
      <c r="C151" t="s">
        <v>2828</v>
      </c>
      <c r="E151" t="s">
        <v>2829</v>
      </c>
      <c r="F151" t="s">
        <v>1195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2838</v>
      </c>
      <c r="C152" t="s">
        <v>2839</v>
      </c>
      <c r="E152" t="s">
        <v>2840</v>
      </c>
      <c r="F152" t="s">
        <v>964</v>
      </c>
      <c r="G152" t="s">
        <v>2841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2858</v>
      </c>
      <c r="C153" t="s">
        <v>2859</v>
      </c>
      <c r="E153" t="s">
        <v>2860</v>
      </c>
      <c r="F153" t="s">
        <v>1195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2868</v>
      </c>
      <c r="C154" t="s">
        <v>2873</v>
      </c>
      <c r="E154" t="s">
        <v>2874</v>
      </c>
      <c r="F154" t="s">
        <v>1195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2892</v>
      </c>
      <c r="C155" t="s">
        <v>2893</v>
      </c>
      <c r="E155" t="s">
        <v>2894</v>
      </c>
      <c r="F155" t="s">
        <v>1195</v>
      </c>
      <c r="G155" t="s">
        <v>2895</v>
      </c>
      <c r="H155" s="194">
        <f>SUMIF(주문_리스트!C:C,거래처!B155,주문_리스트!K:K)+SUMIF(주문_리스트!C:C,거래처!B155,주문_리스트!L:L)</f>
        <v>0</v>
      </c>
      <c r="I155" s="52" t="s">
        <v>3222</v>
      </c>
    </row>
    <row r="156" spans="1:9" x14ac:dyDescent="0.3">
      <c r="A156">
        <v>155</v>
      </c>
      <c r="B156" t="s">
        <v>2912</v>
      </c>
      <c r="C156" t="s">
        <v>2913</v>
      </c>
      <c r="E156" t="s">
        <v>2914</v>
      </c>
      <c r="F156" t="s">
        <v>978</v>
      </c>
      <c r="G156" t="s">
        <v>2915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2964</v>
      </c>
      <c r="C157" t="s">
        <v>2977</v>
      </c>
      <c r="E157" t="s">
        <v>2978</v>
      </c>
      <c r="F157" t="s">
        <v>978</v>
      </c>
      <c r="G157" t="s">
        <v>3420</v>
      </c>
      <c r="H157" s="194">
        <f>SUMIF(주문_리스트!C:C,거래처!B157,주문_리스트!K:K)+SUMIF(주문_리스트!C:C,거래처!B157,주문_리스트!L:L)</f>
        <v>740000</v>
      </c>
    </row>
    <row r="158" spans="1:9" x14ac:dyDescent="0.3">
      <c r="A158">
        <v>157</v>
      </c>
      <c r="B158" t="s">
        <v>2980</v>
      </c>
      <c r="C158" t="s">
        <v>2981</v>
      </c>
      <c r="E158" t="s">
        <v>2982</v>
      </c>
      <c r="F158" t="s">
        <v>1195</v>
      </c>
      <c r="G158" t="s">
        <v>2991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2984</v>
      </c>
      <c r="C159" t="s">
        <v>2985</v>
      </c>
      <c r="E159" t="s">
        <v>2986</v>
      </c>
      <c r="F159" t="s">
        <v>975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3001</v>
      </c>
      <c r="C160" t="s">
        <v>3002</v>
      </c>
      <c r="E160" t="s">
        <v>3003</v>
      </c>
      <c r="F160" t="s">
        <v>964</v>
      </c>
      <c r="G160" t="s">
        <v>3004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3007</v>
      </c>
      <c r="C161" t="s">
        <v>3008</v>
      </c>
      <c r="E161" t="s">
        <v>3009</v>
      </c>
      <c r="F161" t="s">
        <v>1195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3032</v>
      </c>
      <c r="C162" t="s">
        <v>3033</v>
      </c>
      <c r="E162" t="s">
        <v>656</v>
      </c>
      <c r="F162" t="s">
        <v>1195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3049</v>
      </c>
      <c r="C163" t="s">
        <v>3050</v>
      </c>
      <c r="E163" t="s">
        <v>3051</v>
      </c>
      <c r="F163" t="s">
        <v>978</v>
      </c>
      <c r="G163" t="s">
        <v>3052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3054</v>
      </c>
      <c r="C164" t="s">
        <v>3055</v>
      </c>
      <c r="E164" t="s">
        <v>3056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3067</v>
      </c>
    </row>
    <row r="165" spans="1:9" x14ac:dyDescent="0.3">
      <c r="A165">
        <v>164</v>
      </c>
      <c r="B165" t="s">
        <v>3061</v>
      </c>
      <c r="C165" t="s">
        <v>3050</v>
      </c>
      <c r="E165" t="s">
        <v>3051</v>
      </c>
      <c r="F165" t="s">
        <v>978</v>
      </c>
      <c r="G165" t="s">
        <v>3052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3087</v>
      </c>
      <c r="C166" t="s">
        <v>3088</v>
      </c>
      <c r="E166" t="s">
        <v>3089</v>
      </c>
      <c r="F166" t="s">
        <v>964</v>
      </c>
      <c r="G166" t="s">
        <v>3090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3157</v>
      </c>
      <c r="C167" t="s">
        <v>3158</v>
      </c>
      <c r="E167" t="s">
        <v>3159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3165</v>
      </c>
      <c r="C168" t="s">
        <v>3166</v>
      </c>
      <c r="D168" t="s">
        <v>3167</v>
      </c>
      <c r="E168" t="s">
        <v>3168</v>
      </c>
      <c r="F168" t="s">
        <v>978</v>
      </c>
      <c r="G168" t="s">
        <v>3169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3216</v>
      </c>
      <c r="C169" t="s">
        <v>3217</v>
      </c>
      <c r="E169" t="s">
        <v>3218</v>
      </c>
      <c r="F169" t="s">
        <v>978</v>
      </c>
      <c r="G169" t="s">
        <v>3219</v>
      </c>
      <c r="H169" s="194">
        <f>SUMIF(주문_리스트!C:C,거래처!B169,주문_리스트!K:K)+SUMIF(주문_리스트!C:C,거래처!B169,주문_리스트!L:L)</f>
        <v>0</v>
      </c>
      <c r="I169" s="52" t="s">
        <v>3222</v>
      </c>
    </row>
    <row r="170" spans="1:9" x14ac:dyDescent="0.3">
      <c r="A170">
        <v>169</v>
      </c>
      <c r="B170" t="s">
        <v>3261</v>
      </c>
      <c r="C170" t="s">
        <v>3262</v>
      </c>
      <c r="E170" t="s">
        <v>3263</v>
      </c>
      <c r="F170" t="s">
        <v>964</v>
      </c>
      <c r="G170" t="s">
        <v>3264</v>
      </c>
      <c r="H170" s="194">
        <f>SUMIF(주문_리스트!C:C,거래처!B170,주문_리스트!K:K)+SUMIF(주문_리스트!C:C,거래처!B170,주문_리스트!L:L)</f>
        <v>330000</v>
      </c>
      <c r="I170" s="52" t="s">
        <v>3475</v>
      </c>
    </row>
    <row r="171" spans="1:9" x14ac:dyDescent="0.3">
      <c r="A171">
        <v>170</v>
      </c>
      <c r="B171" t="s">
        <v>3296</v>
      </c>
      <c r="C171" t="s">
        <v>3297</v>
      </c>
      <c r="E171" t="s">
        <v>3298</v>
      </c>
      <c r="F171" t="s">
        <v>978</v>
      </c>
      <c r="G171" t="s">
        <v>3299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3331</v>
      </c>
      <c r="C172" t="s">
        <v>3332</v>
      </c>
      <c r="E172" t="s">
        <v>3333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3335</v>
      </c>
      <c r="C173" t="s">
        <v>3336</v>
      </c>
      <c r="E173" t="s">
        <v>3337</v>
      </c>
      <c r="F173" t="s">
        <v>32</v>
      </c>
      <c r="G173" t="s">
        <v>3342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3361</v>
      </c>
      <c r="C174" t="s">
        <v>3362</v>
      </c>
      <c r="E174" t="s">
        <v>3363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>
        <v>174</v>
      </c>
      <c r="B175" t="s">
        <v>3424</v>
      </c>
      <c r="C175" t="s">
        <v>3425</v>
      </c>
      <c r="E175" t="s">
        <v>3426</v>
      </c>
      <c r="F175" t="s">
        <v>1195</v>
      </c>
      <c r="G175" t="s">
        <v>2895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>
        <v>175</v>
      </c>
      <c r="B176" t="s">
        <v>3430</v>
      </c>
      <c r="C176" t="s">
        <v>3431</v>
      </c>
      <c r="E176" t="s">
        <v>3432</v>
      </c>
      <c r="F176" t="s">
        <v>1195</v>
      </c>
      <c r="G176" t="s">
        <v>3433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>
        <v>176</v>
      </c>
      <c r="B177" t="s">
        <v>3457</v>
      </c>
      <c r="C177" t="s">
        <v>3458</v>
      </c>
      <c r="E177" t="s">
        <v>3459</v>
      </c>
      <c r="F177" t="s">
        <v>978</v>
      </c>
      <c r="G177" t="s">
        <v>3460</v>
      </c>
      <c r="H177" s="194">
        <f>SUMIF(주문_리스트!C:C,거래처!B177,주문_리스트!K:K)+SUMIF(주문_리스트!C:C,거래처!B177,주문_리스트!L:L)</f>
        <v>0</v>
      </c>
    </row>
    <row r="178" spans="1:8" x14ac:dyDescent="0.3"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4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223" sqref="C223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224</v>
      </c>
    </row>
    <row r="2" spans="1:11" x14ac:dyDescent="0.3">
      <c r="A2">
        <v>1</v>
      </c>
      <c r="B2">
        <v>2</v>
      </c>
      <c r="C2" s="292">
        <v>28120504</v>
      </c>
      <c r="D2" s="190" t="s">
        <v>2583</v>
      </c>
      <c r="E2" s="190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D3" s="190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1975</v>
      </c>
      <c r="D5" s="190" t="s">
        <v>1974</v>
      </c>
      <c r="E5" s="190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1762</v>
      </c>
      <c r="F8" s="52">
        <v>650000</v>
      </c>
      <c r="H8">
        <f>SUMIF(재고!D:D,제품!D8,재고!G:G)-SUMIF(주문_리스트!E:E,제품!D8,주문_리스트!H:H)</f>
        <v>-27</v>
      </c>
      <c r="I8"/>
    </row>
    <row r="9" spans="1:11" x14ac:dyDescent="0.3">
      <c r="A9">
        <v>8</v>
      </c>
      <c r="B9">
        <v>2</v>
      </c>
      <c r="D9" s="190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3040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2586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1672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2768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2772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0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0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1213</v>
      </c>
      <c r="D23" s="190" t="s">
        <v>2229</v>
      </c>
      <c r="E23" s="190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292" t="s">
        <v>1214</v>
      </c>
      <c r="D24" s="190" t="s">
        <v>2229</v>
      </c>
      <c r="E24" s="190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292" t="s">
        <v>1215</v>
      </c>
      <c r="D25" s="190" t="s">
        <v>2218</v>
      </c>
      <c r="E25" s="190" t="s">
        <v>1215</v>
      </c>
      <c r="F25" s="52">
        <v>1400000</v>
      </c>
      <c r="H25">
        <f>SUMIF(재고!D:D,제품!D25,재고!G:G)-SUMIF(주문_리스트!E:E,제품!D25,주문_리스트!H:H)</f>
        <v>-12</v>
      </c>
    </row>
    <row r="26" spans="1:9" x14ac:dyDescent="0.3">
      <c r="A26">
        <v>25</v>
      </c>
      <c r="B26">
        <v>3</v>
      </c>
      <c r="C26" s="292" t="s">
        <v>1216</v>
      </c>
      <c r="D26" s="190" t="s">
        <v>2212</v>
      </c>
      <c r="E26" s="190" t="s">
        <v>1216</v>
      </c>
      <c r="F26" s="52">
        <v>1500000</v>
      </c>
      <c r="H26">
        <f>SUMIF(재고!D:D,제품!D26,재고!G:G)-SUMIF(주문_리스트!E:E,제품!D26,주문_리스트!H:H)</f>
        <v>-67</v>
      </c>
    </row>
    <row r="27" spans="1:9" x14ac:dyDescent="0.3">
      <c r="A27">
        <v>26</v>
      </c>
      <c r="B27">
        <v>3</v>
      </c>
      <c r="C27" s="292" t="s">
        <v>2018</v>
      </c>
      <c r="D27" s="190" t="s">
        <v>1663</v>
      </c>
      <c r="E27" s="190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1238</v>
      </c>
      <c r="D28" s="190" t="s">
        <v>1236</v>
      </c>
      <c r="E28" s="190" t="s">
        <v>1238</v>
      </c>
      <c r="F28" s="52">
        <v>1400000</v>
      </c>
      <c r="H28">
        <f>SUMIF(재고!D:D,제품!D28,재고!G:G)-SUMIF(주문_리스트!E:E,제품!D28,주문_리스트!H:H)</f>
        <v>-80</v>
      </c>
      <c r="I28" s="52">
        <v>5000</v>
      </c>
    </row>
    <row r="29" spans="1:9" x14ac:dyDescent="0.3">
      <c r="A29">
        <v>28</v>
      </c>
      <c r="B29">
        <v>1</v>
      </c>
      <c r="C29" s="292" t="s">
        <v>1219</v>
      </c>
      <c r="D29" s="190" t="s">
        <v>1220</v>
      </c>
      <c r="E29" s="190" t="s">
        <v>1219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292" t="s">
        <v>1221</v>
      </c>
      <c r="D30" s="190" t="s">
        <v>1220</v>
      </c>
      <c r="E30" s="190" t="s">
        <v>1221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292" t="s">
        <v>1780</v>
      </c>
      <c r="D31" s="190" t="s">
        <v>2249</v>
      </c>
      <c r="E31" s="190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-45</v>
      </c>
    </row>
    <row r="32" spans="1:9" x14ac:dyDescent="0.3">
      <c r="A32">
        <v>31</v>
      </c>
      <c r="B32">
        <v>1</v>
      </c>
      <c r="C32" s="292" t="s">
        <v>1225</v>
      </c>
      <c r="D32" s="190" t="s">
        <v>1224</v>
      </c>
      <c r="E32" s="190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1229</v>
      </c>
      <c r="D33" s="190" t="s">
        <v>2526</v>
      </c>
      <c r="E33" s="190" t="s">
        <v>1229</v>
      </c>
      <c r="F33" s="52">
        <v>1500000</v>
      </c>
      <c r="H33">
        <f>SUMIF(재고!D:D,제품!D33,재고!G:G)-SUMIF(주문_리스트!E:E,제품!D33,주문_리스트!H:H)</f>
        <v>-12</v>
      </c>
    </row>
    <row r="34" spans="1:8" x14ac:dyDescent="0.3">
      <c r="A34">
        <v>33</v>
      </c>
      <c r="B34">
        <v>4</v>
      </c>
      <c r="C34" s="292" t="s">
        <v>2643</v>
      </c>
      <c r="D34" s="190" t="s">
        <v>2644</v>
      </c>
      <c r="E34" s="190" t="s">
        <v>2643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1232</v>
      </c>
      <c r="D35" s="190" t="s">
        <v>2211</v>
      </c>
      <c r="E35" s="190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1233</v>
      </c>
      <c r="D36" s="190" t="s">
        <v>1664</v>
      </c>
      <c r="E36" s="190" t="s">
        <v>1233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1240</v>
      </c>
      <c r="D37" s="190" t="s">
        <v>1383</v>
      </c>
      <c r="E37" s="190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292" t="s">
        <v>1274</v>
      </c>
      <c r="D38" s="190" t="s">
        <v>1275</v>
      </c>
      <c r="E38" s="190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1696</v>
      </c>
      <c r="D39" s="190" t="s">
        <v>2220</v>
      </c>
      <c r="E39" s="190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1745</v>
      </c>
      <c r="D40" s="190" t="s">
        <v>1746</v>
      </c>
      <c r="E40" s="190" t="s">
        <v>1745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0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2808</v>
      </c>
      <c r="D47" s="190" t="s">
        <v>2373</v>
      </c>
      <c r="E47" s="190" t="s">
        <v>2808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0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1537</v>
      </c>
      <c r="F50" s="52">
        <v>20000</v>
      </c>
      <c r="H50">
        <f>SUMIF(재고!D:D,제품!D50,재고!G:G)-SUMIF(주문_리스트!E:E,제품!D50,주문_리스트!H:H)</f>
        <v>-17</v>
      </c>
    </row>
    <row r="51" spans="1:9" x14ac:dyDescent="0.3">
      <c r="A51">
        <v>50</v>
      </c>
      <c r="D51" s="190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1839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0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1665</v>
      </c>
      <c r="D57" s="190" t="s">
        <v>1993</v>
      </c>
      <c r="E57" s="190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292" t="s">
        <v>1225</v>
      </c>
      <c r="D58" s="190" t="s">
        <v>1444</v>
      </c>
      <c r="E58" s="190" t="s">
        <v>1225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292" t="s">
        <v>2844</v>
      </c>
      <c r="D59" s="190" t="s">
        <v>2238</v>
      </c>
      <c r="E59" s="190" t="s">
        <v>2844</v>
      </c>
      <c r="F59" s="52">
        <v>1100000</v>
      </c>
      <c r="H59">
        <f>SUMIF(재고!D:D,제품!D59,재고!G:G)-SUMIF(주문_리스트!E:E,제품!D59,주문_리스트!H:H)</f>
        <v>-7</v>
      </c>
    </row>
    <row r="60" spans="1:9" x14ac:dyDescent="0.3">
      <c r="A60">
        <v>59</v>
      </c>
      <c r="B60">
        <v>1</v>
      </c>
      <c r="C60" s="292" t="s">
        <v>1667</v>
      </c>
      <c r="D60" s="190" t="s">
        <v>1666</v>
      </c>
      <c r="E60" s="190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292" t="s">
        <v>1668</v>
      </c>
      <c r="D61" s="190" t="s">
        <v>1669</v>
      </c>
      <c r="E61" s="190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2770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2586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-18</v>
      </c>
      <c r="I63" s="52" t="s">
        <v>2587</v>
      </c>
    </row>
    <row r="64" spans="1:9" x14ac:dyDescent="0.3">
      <c r="A64">
        <v>63</v>
      </c>
      <c r="C64" s="292" t="s">
        <v>1644</v>
      </c>
      <c r="D64" s="190" t="s">
        <v>1645</v>
      </c>
      <c r="E64" s="190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2222</v>
      </c>
      <c r="E67" s="190">
        <v>50228</v>
      </c>
      <c r="F67" s="52">
        <v>110000</v>
      </c>
      <c r="H67">
        <f>SUMIF(재고!D:D,제품!D67,재고!G:G)-SUMIF(주문_리스트!E:E,제품!D67,주문_리스트!H:H)</f>
        <v>-26</v>
      </c>
    </row>
    <row r="68" spans="1:9" x14ac:dyDescent="0.3">
      <c r="A68">
        <v>67</v>
      </c>
      <c r="B68">
        <v>4</v>
      </c>
      <c r="C68" s="292">
        <v>50229</v>
      </c>
      <c r="D68" s="190" t="s">
        <v>2222</v>
      </c>
      <c r="E68" s="190">
        <v>50229</v>
      </c>
      <c r="F68" s="52">
        <v>75000</v>
      </c>
      <c r="H68">
        <f>SUMIF(재고!D:D,제품!D68,재고!G:G)-SUMIF(주문_리스트!E:E,제품!D68,주문_리스트!H:H)</f>
        <v>-26</v>
      </c>
    </row>
    <row r="69" spans="1:9" x14ac:dyDescent="0.3">
      <c r="A69">
        <v>68</v>
      </c>
      <c r="D69" s="190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2645</v>
      </c>
      <c r="D73" s="190" t="s">
        <v>2646</v>
      </c>
      <c r="E73" s="190" t="s">
        <v>2645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1697</v>
      </c>
      <c r="D74" s="190" t="s">
        <v>2230</v>
      </c>
      <c r="E74" s="190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1789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0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0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1711</v>
      </c>
      <c r="D78" s="190" t="s">
        <v>1726</v>
      </c>
      <c r="E78" s="190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0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1705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0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0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1719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1724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292" t="s">
        <v>2846</v>
      </c>
      <c r="D86" s="190" t="s">
        <v>2832</v>
      </c>
      <c r="E86" s="190" t="s">
        <v>2846</v>
      </c>
      <c r="F86" s="52">
        <v>129000</v>
      </c>
      <c r="G86" s="52">
        <v>70000</v>
      </c>
      <c r="H86">
        <f>SUMIF(재고!D:D,제품!D86,재고!G:G)-SUMIF(주문_리스트!E:E,제품!D86,주문_리스트!H:H)</f>
        <v>-5</v>
      </c>
    </row>
    <row r="87" spans="1:9" x14ac:dyDescent="0.3">
      <c r="A87">
        <v>86</v>
      </c>
      <c r="B87">
        <v>1</v>
      </c>
      <c r="C87" s="292" t="s">
        <v>1722</v>
      </c>
      <c r="D87" s="190" t="s">
        <v>1723</v>
      </c>
      <c r="E87" s="190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292" t="s">
        <v>1733</v>
      </c>
      <c r="D88" s="190" t="s">
        <v>1734</v>
      </c>
      <c r="E88" s="190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1741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-32</v>
      </c>
    </row>
    <row r="90" spans="1:9" x14ac:dyDescent="0.3">
      <c r="A90">
        <v>89</v>
      </c>
      <c r="B90">
        <v>2</v>
      </c>
      <c r="C90" s="292">
        <v>2800801</v>
      </c>
      <c r="D90" s="190" t="s">
        <v>1742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1736</v>
      </c>
      <c r="D91" s="190" t="s">
        <v>2257</v>
      </c>
      <c r="E91" s="190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292" t="s">
        <v>1738</v>
      </c>
      <c r="D92" s="190" t="s">
        <v>2215</v>
      </c>
      <c r="E92" s="190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0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1750</v>
      </c>
      <c r="D94" s="190" t="s">
        <v>2223</v>
      </c>
      <c r="E94" s="190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-21</v>
      </c>
    </row>
    <row r="95" spans="1:9" x14ac:dyDescent="0.3">
      <c r="A95">
        <v>94</v>
      </c>
      <c r="B95">
        <v>3</v>
      </c>
      <c r="C95" s="292" t="s">
        <v>1751</v>
      </c>
      <c r="D95" s="190" t="s">
        <v>2224</v>
      </c>
      <c r="E95" s="190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-22</v>
      </c>
      <c r="I95" s="52" t="s">
        <v>1801</v>
      </c>
    </row>
    <row r="96" spans="1:9" x14ac:dyDescent="0.3">
      <c r="A96">
        <v>95</v>
      </c>
      <c r="B96">
        <v>3</v>
      </c>
      <c r="C96" s="292" t="s">
        <v>1802</v>
      </c>
      <c r="D96" s="190" t="s">
        <v>2225</v>
      </c>
      <c r="E96" s="190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292" t="s">
        <v>1752</v>
      </c>
      <c r="D97" s="190" t="s">
        <v>1753</v>
      </c>
      <c r="E97" s="190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1754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2937</v>
      </c>
      <c r="D99" s="190" t="s">
        <v>2560</v>
      </c>
      <c r="E99" s="190" t="s">
        <v>2937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1756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1756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1759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-2</v>
      </c>
      <c r="I102" s="52" t="s">
        <v>1760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1759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-2</v>
      </c>
      <c r="I103" s="52" t="s">
        <v>1761</v>
      </c>
    </row>
    <row r="104" spans="1:9" x14ac:dyDescent="0.3">
      <c r="A104">
        <v>103</v>
      </c>
      <c r="B104">
        <v>3</v>
      </c>
      <c r="C104" s="292" t="s">
        <v>1774</v>
      </c>
      <c r="D104" s="190" t="s">
        <v>2213</v>
      </c>
      <c r="E104" s="190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-52</v>
      </c>
      <c r="I104" s="52" t="s">
        <v>1775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1849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1771</v>
      </c>
      <c r="D106" s="190" t="s">
        <v>1218</v>
      </c>
      <c r="E106" s="190" t="s">
        <v>1771</v>
      </c>
      <c r="F106" s="52">
        <v>1200000</v>
      </c>
      <c r="H106">
        <f>SUMIF(재고!D:D,제품!D106,재고!G:G)-SUMIF(주문_리스트!E:E,제품!D106,주문_리스트!H:H)</f>
        <v>-80</v>
      </c>
      <c r="I106" s="52" t="s">
        <v>1772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1778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2117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1783</v>
      </c>
      <c r="D109" s="190" t="s">
        <v>1784</v>
      </c>
      <c r="E109" s="190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292" t="s">
        <v>1786</v>
      </c>
      <c r="D110" s="190" t="s">
        <v>1784</v>
      </c>
      <c r="E110" s="190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292" t="s">
        <v>1788</v>
      </c>
      <c r="D111" s="190" t="s">
        <v>1579</v>
      </c>
      <c r="E111" s="190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1837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2271</v>
      </c>
      <c r="E113" s="190">
        <v>1087298388</v>
      </c>
      <c r="F113" s="52">
        <v>550000</v>
      </c>
      <c r="G113" s="52">
        <v>340000</v>
      </c>
      <c r="H113" t="s">
        <v>2945</v>
      </c>
      <c r="I113" s="52" t="s">
        <v>2269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1837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1567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1852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1874</v>
      </c>
      <c r="D117" s="190" t="s">
        <v>1875</v>
      </c>
      <c r="E117" s="190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2586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2927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1896</v>
      </c>
      <c r="D120" s="190" t="s">
        <v>1897</v>
      </c>
      <c r="E120" s="190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0" t="s">
        <v>1916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1936</v>
      </c>
      <c r="E122" s="190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1936</v>
      </c>
      <c r="E123" s="190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292" t="s">
        <v>2080</v>
      </c>
      <c r="D124" s="190" t="s">
        <v>2081</v>
      </c>
      <c r="E124" s="190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1946</v>
      </c>
      <c r="D126" s="190" t="s">
        <v>1599</v>
      </c>
      <c r="E126" s="190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1962</v>
      </c>
      <c r="D128" s="190" t="s">
        <v>1963</v>
      </c>
      <c r="E128" s="190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292" t="s">
        <v>1960</v>
      </c>
      <c r="D129" s="190" t="s">
        <v>1961</v>
      </c>
      <c r="E129" s="190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2586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1973</v>
      </c>
      <c r="D131" s="190" t="s">
        <v>1972</v>
      </c>
      <c r="E131" s="190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0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2226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2007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2009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2016</v>
      </c>
      <c r="D137" s="190" t="s">
        <v>1220</v>
      </c>
      <c r="E137" s="190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2046</v>
      </c>
      <c r="D139" s="190" t="s">
        <v>2047</v>
      </c>
      <c r="E139" s="190" t="s">
        <v>2046</v>
      </c>
      <c r="F139" s="52">
        <v>550000</v>
      </c>
    </row>
    <row r="140" spans="1:7" x14ac:dyDescent="0.3">
      <c r="A140">
        <v>139</v>
      </c>
      <c r="D140" s="190" t="s">
        <v>2053</v>
      </c>
      <c r="F140" s="52">
        <v>84000</v>
      </c>
    </row>
    <row r="141" spans="1:7" x14ac:dyDescent="0.3">
      <c r="A141">
        <v>140</v>
      </c>
      <c r="D141" s="190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2771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2769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2073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1934</v>
      </c>
      <c r="D145" s="190" t="s">
        <v>2171</v>
      </c>
      <c r="E145" s="190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2088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2116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2244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2138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2649</v>
      </c>
      <c r="D150" s="190" t="s">
        <v>2377</v>
      </c>
      <c r="E150" s="190" t="s">
        <v>2649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2067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2157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2773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2582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2187</v>
      </c>
      <c r="F156" s="52">
        <v>990000</v>
      </c>
      <c r="G156" s="52">
        <v>940000</v>
      </c>
      <c r="I156" s="52" t="s">
        <v>2780</v>
      </c>
    </row>
    <row r="157" spans="1:9" x14ac:dyDescent="0.3">
      <c r="A157">
        <v>156</v>
      </c>
      <c r="B157">
        <v>3</v>
      </c>
      <c r="D157" s="190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2191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2586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2648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2274</v>
      </c>
      <c r="F162" s="52">
        <v>800000</v>
      </c>
    </row>
    <row r="163" spans="1:9" x14ac:dyDescent="0.3">
      <c r="A163">
        <v>162</v>
      </c>
      <c r="D163" s="190" t="s">
        <v>2280</v>
      </c>
      <c r="F163" s="52">
        <v>900000</v>
      </c>
    </row>
    <row r="164" spans="1:9" x14ac:dyDescent="0.3">
      <c r="A164">
        <v>163</v>
      </c>
      <c r="D164" s="190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2307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2305</v>
      </c>
      <c r="E166" s="190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292" t="s">
        <v>2308</v>
      </c>
      <c r="D167" s="190" t="s">
        <v>2309</v>
      </c>
      <c r="E167" s="190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2534</v>
      </c>
      <c r="D168" s="190" t="s">
        <v>2535</v>
      </c>
      <c r="E168" s="190" t="s">
        <v>2534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2586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2325</v>
      </c>
      <c r="F170" s="52">
        <v>1600000</v>
      </c>
    </row>
    <row r="171" spans="1:9" x14ac:dyDescent="0.3">
      <c r="A171">
        <v>170</v>
      </c>
      <c r="D171" s="190" t="s">
        <v>2353</v>
      </c>
      <c r="F171" s="52">
        <v>1200000</v>
      </c>
    </row>
    <row r="172" spans="1:9" x14ac:dyDescent="0.3">
      <c r="A172">
        <v>171</v>
      </c>
      <c r="D172" s="190" t="s">
        <v>2334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2586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2362</v>
      </c>
      <c r="D174" s="190" t="s">
        <v>2363</v>
      </c>
      <c r="E174" s="190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2365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2747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2384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2998</v>
      </c>
      <c r="D179" s="190" t="s">
        <v>2999</v>
      </c>
      <c r="E179" s="190" t="s">
        <v>2998</v>
      </c>
      <c r="F179" s="52">
        <v>450000</v>
      </c>
      <c r="I179" s="52" t="s">
        <v>3000</v>
      </c>
    </row>
    <row r="180" spans="1:9" x14ac:dyDescent="0.3">
      <c r="A180">
        <v>179</v>
      </c>
      <c r="D180" s="190" t="s">
        <v>2447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2449</v>
      </c>
      <c r="D181" s="190" t="s">
        <v>2450</v>
      </c>
      <c r="E181" s="190" t="s">
        <v>2449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2454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2467</v>
      </c>
      <c r="D183" s="190" t="s">
        <v>2431</v>
      </c>
      <c r="E183" s="190" t="s">
        <v>2467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2474</v>
      </c>
      <c r="D184" s="190" t="s">
        <v>2475</v>
      </c>
      <c r="E184" s="190" t="s">
        <v>2474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2476</v>
      </c>
      <c r="D185" s="190" t="s">
        <v>2477</v>
      </c>
      <c r="E185" s="190" t="s">
        <v>2476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2514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2561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2577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2576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2632</v>
      </c>
      <c r="D190" s="190" t="s">
        <v>2633</v>
      </c>
      <c r="E190" s="190" t="s">
        <v>2632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2925</v>
      </c>
      <c r="D191" s="190" t="s">
        <v>2926</v>
      </c>
      <c r="E191" s="190" t="s">
        <v>2925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2686</v>
      </c>
      <c r="D192" s="190" t="s">
        <v>2687</v>
      </c>
      <c r="E192" s="190" t="s">
        <v>2686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2695</v>
      </c>
      <c r="F193" s="52">
        <v>1100000</v>
      </c>
    </row>
    <row r="194" spans="1:9" x14ac:dyDescent="0.3">
      <c r="A194">
        <v>193</v>
      </c>
      <c r="D194" s="190" t="s">
        <v>2724</v>
      </c>
      <c r="F194" s="52">
        <v>1700000</v>
      </c>
    </row>
    <row r="195" spans="1:9" x14ac:dyDescent="0.3">
      <c r="A195">
        <v>194</v>
      </c>
      <c r="C195" s="292" t="s">
        <v>2775</v>
      </c>
      <c r="D195" s="190" t="s">
        <v>2776</v>
      </c>
      <c r="E195" s="190" t="s">
        <v>2775</v>
      </c>
      <c r="F195" s="52">
        <v>400000</v>
      </c>
    </row>
    <row r="196" spans="1:9" x14ac:dyDescent="0.3">
      <c r="A196">
        <v>195</v>
      </c>
      <c r="C196" s="292" t="s">
        <v>2799</v>
      </c>
      <c r="D196" s="190" t="s">
        <v>2800</v>
      </c>
      <c r="E196" s="190" t="s">
        <v>2799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2818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2845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2847</v>
      </c>
      <c r="E199" s="190">
        <v>1094302044</v>
      </c>
      <c r="F199" s="52">
        <v>300000</v>
      </c>
      <c r="G199" s="52">
        <v>150000</v>
      </c>
      <c r="I199" s="52" t="s">
        <v>2848</v>
      </c>
    </row>
    <row r="200" spans="1:9" x14ac:dyDescent="0.3">
      <c r="A200">
        <v>199</v>
      </c>
      <c r="B200">
        <v>14</v>
      </c>
      <c r="C200" s="292" t="s">
        <v>2946</v>
      </c>
      <c r="D200" s="190" t="s">
        <v>2947</v>
      </c>
      <c r="E200" s="190" t="s">
        <v>2946</v>
      </c>
      <c r="F200" s="52">
        <v>300000</v>
      </c>
      <c r="G200" s="52">
        <v>150000</v>
      </c>
      <c r="I200" s="52" t="s">
        <v>2948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1779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2952</v>
      </c>
      <c r="D202" s="190" t="s">
        <v>2954</v>
      </c>
      <c r="E202" s="190" t="s">
        <v>2952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3041</v>
      </c>
      <c r="D203" s="190" t="s">
        <v>3042</v>
      </c>
      <c r="E203" s="190" t="s">
        <v>3041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2995</v>
      </c>
      <c r="D204" s="190" t="s">
        <v>2996</v>
      </c>
      <c r="E204" s="190" t="s">
        <v>2995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2997</v>
      </c>
      <c r="E205" s="190">
        <v>709013001</v>
      </c>
    </row>
    <row r="206" spans="1:9" x14ac:dyDescent="0.3">
      <c r="A206">
        <v>205</v>
      </c>
      <c r="D206" s="190" t="s">
        <v>3015</v>
      </c>
      <c r="F206" s="52">
        <v>50000</v>
      </c>
    </row>
    <row r="207" spans="1:9" x14ac:dyDescent="0.3">
      <c r="A207">
        <v>206</v>
      </c>
      <c r="D207" s="190" t="s">
        <v>3043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3266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3059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3077</v>
      </c>
      <c r="D210" s="190" t="s">
        <v>3078</v>
      </c>
      <c r="E210" s="190" t="s">
        <v>3077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3081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3115</v>
      </c>
      <c r="D212" s="190" t="s">
        <v>3116</v>
      </c>
      <c r="E212" s="190" t="s">
        <v>3115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3213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3038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3265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3265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3274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3311</v>
      </c>
      <c r="D218" s="190" t="s">
        <v>2431</v>
      </c>
      <c r="E218" s="190" t="s">
        <v>3311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3367</v>
      </c>
      <c r="D219" s="190" t="s">
        <v>3368</v>
      </c>
      <c r="E219" s="190" t="s">
        <v>3367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3369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3443</v>
      </c>
      <c r="D221" s="190" t="s">
        <v>3370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3444</v>
      </c>
      <c r="D222" s="190" t="s">
        <v>3441</v>
      </c>
      <c r="E222" s="190">
        <v>501327105</v>
      </c>
      <c r="I222" s="52" t="s">
        <v>3442</v>
      </c>
    </row>
    <row r="223" spans="1:9" x14ac:dyDescent="0.3">
      <c r="A223">
        <v>222</v>
      </c>
      <c r="B223">
        <v>4</v>
      </c>
      <c r="C223" s="292" t="s">
        <v>3450</v>
      </c>
      <c r="D223" s="190" t="s">
        <v>3451</v>
      </c>
      <c r="E223" s="190" t="s">
        <v>3450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3484</v>
      </c>
      <c r="D224" s="190" t="s">
        <v>3485</v>
      </c>
      <c r="E224" s="190">
        <v>6058008114</v>
      </c>
      <c r="F224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2583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2227</v>
      </c>
      <c r="F3" s="52">
        <v>300000</v>
      </c>
    </row>
    <row r="4" spans="1:9" x14ac:dyDescent="0.3">
      <c r="A4">
        <v>3</v>
      </c>
      <c r="B4" s="13"/>
      <c r="C4" s="190"/>
      <c r="D4" s="190" t="s">
        <v>1154</v>
      </c>
      <c r="F4" s="52">
        <v>700000</v>
      </c>
    </row>
    <row r="5" spans="1:9" x14ac:dyDescent="0.3">
      <c r="A5">
        <v>4</v>
      </c>
      <c r="B5" s="13"/>
      <c r="C5" s="191" t="s">
        <v>1975</v>
      </c>
      <c r="D5" s="190" t="s">
        <v>1974</v>
      </c>
      <c r="E5" s="190" t="s">
        <v>1975</v>
      </c>
      <c r="F5" s="52">
        <v>1000000</v>
      </c>
    </row>
    <row r="6" spans="1:9" x14ac:dyDescent="0.3">
      <c r="A6">
        <v>5</v>
      </c>
      <c r="C6" s="190"/>
      <c r="D6" s="190" t="s">
        <v>1658</v>
      </c>
      <c r="F6" s="52">
        <v>198000</v>
      </c>
    </row>
    <row r="7" spans="1:9" x14ac:dyDescent="0.3">
      <c r="A7">
        <v>6</v>
      </c>
      <c r="C7" s="190"/>
      <c r="D7" s="190" t="s">
        <v>1627</v>
      </c>
      <c r="F7" s="52">
        <v>12000</v>
      </c>
    </row>
    <row r="8" spans="1:9" x14ac:dyDescent="0.3">
      <c r="A8">
        <v>7</v>
      </c>
      <c r="C8" s="190"/>
      <c r="D8" s="190" t="s">
        <v>1762</v>
      </c>
      <c r="F8" s="52">
        <v>650000</v>
      </c>
    </row>
    <row r="9" spans="1:9" x14ac:dyDescent="0.3">
      <c r="A9">
        <v>8</v>
      </c>
      <c r="D9" s="190" t="s">
        <v>1153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3040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1156</v>
      </c>
      <c r="F11" s="52">
        <v>600000</v>
      </c>
    </row>
    <row r="12" spans="1:9" x14ac:dyDescent="0.3">
      <c r="A12">
        <v>11</v>
      </c>
      <c r="D12" s="190" t="s">
        <v>1157</v>
      </c>
      <c r="F12" s="52">
        <v>25000</v>
      </c>
    </row>
    <row r="13" spans="1:9" x14ac:dyDescent="0.3">
      <c r="A13">
        <v>12</v>
      </c>
      <c r="D13" s="190" t="s">
        <v>1158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2586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1672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2768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2772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1121</v>
      </c>
      <c r="F18" s="52">
        <v>198000</v>
      </c>
    </row>
    <row r="19" spans="1:6" x14ac:dyDescent="0.3">
      <c r="A19">
        <v>18</v>
      </c>
      <c r="D19" s="190" t="s">
        <v>2235</v>
      </c>
      <c r="F19" s="52">
        <v>150000</v>
      </c>
    </row>
    <row r="20" spans="1:6" x14ac:dyDescent="0.3">
      <c r="A20">
        <v>19</v>
      </c>
      <c r="D20" s="190" t="s">
        <v>2233</v>
      </c>
      <c r="F20" s="52">
        <v>100000</v>
      </c>
    </row>
    <row r="21" spans="1:6" x14ac:dyDescent="0.3">
      <c r="A21">
        <v>20</v>
      </c>
      <c r="D21" s="190" t="s">
        <v>1670</v>
      </c>
      <c r="F21" s="52">
        <v>230000</v>
      </c>
    </row>
    <row r="22" spans="1:6" x14ac:dyDescent="0.3">
      <c r="A22">
        <v>21</v>
      </c>
      <c r="D22" s="190" t="s">
        <v>2217</v>
      </c>
      <c r="F22" s="52">
        <v>600000</v>
      </c>
    </row>
    <row r="23" spans="1:6" x14ac:dyDescent="0.3">
      <c r="A23">
        <v>22</v>
      </c>
      <c r="C23" s="191" t="s">
        <v>1213</v>
      </c>
      <c r="D23" s="190" t="s">
        <v>2229</v>
      </c>
      <c r="E23" s="190" t="s">
        <v>1213</v>
      </c>
      <c r="F23" s="52">
        <v>1000000</v>
      </c>
    </row>
    <row r="24" spans="1:6" x14ac:dyDescent="0.3">
      <c r="A24">
        <v>23</v>
      </c>
      <c r="C24" s="191" t="s">
        <v>1214</v>
      </c>
      <c r="D24" s="190" t="s">
        <v>2229</v>
      </c>
      <c r="E24" s="190" t="s">
        <v>1214</v>
      </c>
      <c r="F24" s="52">
        <v>1000000</v>
      </c>
    </row>
    <row r="25" spans="1:6" x14ac:dyDescent="0.3">
      <c r="A25">
        <v>24</v>
      </c>
      <c r="C25" s="191" t="s">
        <v>1215</v>
      </c>
      <c r="D25" s="190" t="s">
        <v>2218</v>
      </c>
      <c r="E25" s="190" t="s">
        <v>1215</v>
      </c>
      <c r="F25" s="52">
        <v>1400000</v>
      </c>
    </row>
    <row r="26" spans="1:6" x14ac:dyDescent="0.3">
      <c r="A26">
        <v>25</v>
      </c>
      <c r="C26" s="191" t="s">
        <v>1216</v>
      </c>
      <c r="D26" s="190" t="s">
        <v>2212</v>
      </c>
      <c r="E26" s="190" t="s">
        <v>1216</v>
      </c>
      <c r="F26" s="52">
        <v>1500000</v>
      </c>
    </row>
    <row r="27" spans="1:6" x14ac:dyDescent="0.3">
      <c r="A27">
        <v>26</v>
      </c>
      <c r="C27" s="191" t="s">
        <v>2018</v>
      </c>
      <c r="D27" s="190" t="s">
        <v>1663</v>
      </c>
      <c r="E27" s="190" t="s">
        <v>2018</v>
      </c>
      <c r="F27" s="52">
        <v>1500000</v>
      </c>
    </row>
    <row r="28" spans="1:6" x14ac:dyDescent="0.3">
      <c r="A28">
        <v>27</v>
      </c>
      <c r="C28" s="190" t="s">
        <v>1238</v>
      </c>
      <c r="D28" s="190" t="s">
        <v>1236</v>
      </c>
      <c r="E28" s="190" t="s">
        <v>1238</v>
      </c>
      <c r="F28" s="52">
        <v>1400000</v>
      </c>
    </row>
    <row r="29" spans="1:6" x14ac:dyDescent="0.3">
      <c r="A29">
        <v>28</v>
      </c>
      <c r="C29" s="191" t="s">
        <v>1219</v>
      </c>
      <c r="D29" s="190" t="s">
        <v>1220</v>
      </c>
      <c r="E29" s="190" t="s">
        <v>1219</v>
      </c>
      <c r="F29" s="52">
        <v>1200000</v>
      </c>
    </row>
    <row r="30" spans="1:6" x14ac:dyDescent="0.3">
      <c r="A30">
        <v>29</v>
      </c>
      <c r="C30" s="191" t="s">
        <v>1221</v>
      </c>
      <c r="D30" s="190" t="s">
        <v>1220</v>
      </c>
      <c r="E30" s="190" t="s">
        <v>1221</v>
      </c>
      <c r="F30" s="52">
        <v>1200000</v>
      </c>
    </row>
    <row r="31" spans="1:6" x14ac:dyDescent="0.3">
      <c r="A31">
        <v>30</v>
      </c>
      <c r="C31" s="191" t="s">
        <v>1780</v>
      </c>
      <c r="D31" s="190" t="s">
        <v>2249</v>
      </c>
      <c r="E31" s="190" t="s">
        <v>1780</v>
      </c>
      <c r="F31" s="52">
        <v>569000</v>
      </c>
    </row>
    <row r="32" spans="1:6" x14ac:dyDescent="0.3">
      <c r="A32">
        <v>31</v>
      </c>
      <c r="C32" s="190" t="s">
        <v>1225</v>
      </c>
      <c r="D32" s="190" t="s">
        <v>1224</v>
      </c>
      <c r="E32" s="190" t="s">
        <v>1225</v>
      </c>
      <c r="F32" s="52">
        <v>1300000</v>
      </c>
    </row>
    <row r="33" spans="1:6" x14ac:dyDescent="0.3">
      <c r="A33">
        <v>32</v>
      </c>
      <c r="C33" s="191" t="s">
        <v>1229</v>
      </c>
      <c r="D33" s="190" t="s">
        <v>2526</v>
      </c>
      <c r="E33" s="190" t="s">
        <v>1229</v>
      </c>
      <c r="F33" s="52">
        <v>1500000</v>
      </c>
    </row>
    <row r="34" spans="1:6" x14ac:dyDescent="0.3">
      <c r="A34">
        <v>33</v>
      </c>
      <c r="C34" s="191" t="s">
        <v>2643</v>
      </c>
      <c r="D34" s="190" t="s">
        <v>2644</v>
      </c>
      <c r="E34" s="190" t="s">
        <v>2643</v>
      </c>
      <c r="F34" s="52">
        <v>1600000</v>
      </c>
    </row>
    <row r="35" spans="1:6" x14ac:dyDescent="0.3">
      <c r="A35">
        <v>34</v>
      </c>
      <c r="C35" s="191" t="s">
        <v>1232</v>
      </c>
      <c r="D35" s="190" t="s">
        <v>2211</v>
      </c>
      <c r="E35" s="190" t="s">
        <v>1232</v>
      </c>
      <c r="F35" s="52">
        <v>2200000</v>
      </c>
    </row>
    <row r="36" spans="1:6" x14ac:dyDescent="0.3">
      <c r="A36">
        <v>35</v>
      </c>
      <c r="C36" s="191" t="s">
        <v>1233</v>
      </c>
      <c r="D36" s="190" t="s">
        <v>1664</v>
      </c>
      <c r="E36" s="190" t="s">
        <v>1233</v>
      </c>
      <c r="F36" s="52">
        <v>1500000</v>
      </c>
    </row>
    <row r="37" spans="1:6" x14ac:dyDescent="0.3">
      <c r="A37">
        <v>36</v>
      </c>
      <c r="C37" s="190" t="s">
        <v>1240</v>
      </c>
      <c r="D37" s="190" t="s">
        <v>1383</v>
      </c>
      <c r="E37" s="190" t="s">
        <v>1384</v>
      </c>
      <c r="F37" s="52">
        <v>1600000</v>
      </c>
    </row>
    <row r="38" spans="1:6" x14ac:dyDescent="0.3">
      <c r="A38">
        <v>37</v>
      </c>
      <c r="C38" s="190" t="s">
        <v>1274</v>
      </c>
      <c r="D38" s="190" t="s">
        <v>1275</v>
      </c>
      <c r="E38" s="190" t="s">
        <v>1274</v>
      </c>
      <c r="F38" s="52">
        <v>770000</v>
      </c>
    </row>
    <row r="39" spans="1:6" x14ac:dyDescent="0.3">
      <c r="A39">
        <v>38</v>
      </c>
      <c r="C39" s="191" t="s">
        <v>1696</v>
      </c>
      <c r="D39" s="190" t="s">
        <v>2220</v>
      </c>
      <c r="E39" s="190" t="s">
        <v>1696</v>
      </c>
      <c r="F39" s="52">
        <v>130000</v>
      </c>
    </row>
    <row r="40" spans="1:6" x14ac:dyDescent="0.3">
      <c r="A40">
        <v>39</v>
      </c>
      <c r="C40" s="191" t="s">
        <v>1745</v>
      </c>
      <c r="D40" s="190" t="s">
        <v>1746</v>
      </c>
      <c r="E40" s="190" t="s">
        <v>1745</v>
      </c>
      <c r="F40" s="52">
        <v>50000</v>
      </c>
    </row>
    <row r="41" spans="1:6" x14ac:dyDescent="0.3">
      <c r="A41">
        <v>40</v>
      </c>
      <c r="D41" s="190" t="s">
        <v>1398</v>
      </c>
      <c r="F41" s="52">
        <v>1000000</v>
      </c>
    </row>
    <row r="42" spans="1:6" x14ac:dyDescent="0.3">
      <c r="A42">
        <v>41</v>
      </c>
      <c r="D42" s="190" t="s">
        <v>1488</v>
      </c>
      <c r="F42" s="52">
        <v>10000</v>
      </c>
    </row>
    <row r="43" spans="1:6" x14ac:dyDescent="0.3">
      <c r="A43">
        <v>42</v>
      </c>
      <c r="D43" s="190" t="s">
        <v>1498</v>
      </c>
      <c r="F43" s="52">
        <v>140000</v>
      </c>
    </row>
    <row r="44" spans="1:6" x14ac:dyDescent="0.3">
      <c r="A44">
        <v>43</v>
      </c>
      <c r="D44" s="190" t="s">
        <v>1504</v>
      </c>
      <c r="F44" s="52">
        <v>1600000</v>
      </c>
    </row>
    <row r="45" spans="1:6" x14ac:dyDescent="0.3">
      <c r="A45">
        <v>44</v>
      </c>
      <c r="D45" s="190" t="s">
        <v>2236</v>
      </c>
      <c r="F45" s="52">
        <v>1600000</v>
      </c>
    </row>
    <row r="46" spans="1:6" x14ac:dyDescent="0.3">
      <c r="A46">
        <v>45</v>
      </c>
      <c r="D46" s="190" t="s">
        <v>2221</v>
      </c>
      <c r="F46" s="52">
        <v>100000</v>
      </c>
    </row>
    <row r="47" spans="1:6" x14ac:dyDescent="0.3">
      <c r="A47">
        <v>46</v>
      </c>
      <c r="C47" s="191" t="s">
        <v>2808</v>
      </c>
      <c r="D47" s="190" t="s">
        <v>2373</v>
      </c>
      <c r="E47" s="190" t="s">
        <v>2808</v>
      </c>
      <c r="F47" s="52">
        <v>350000</v>
      </c>
    </row>
    <row r="48" spans="1:6" x14ac:dyDescent="0.3">
      <c r="A48">
        <v>47</v>
      </c>
      <c r="D48" s="190" t="s">
        <v>2237</v>
      </c>
      <c r="F48" s="52">
        <v>1600000</v>
      </c>
    </row>
    <row r="49" spans="1:6" x14ac:dyDescent="0.3">
      <c r="A49">
        <v>48</v>
      </c>
      <c r="D49" s="190" t="s">
        <v>1524</v>
      </c>
      <c r="F49" s="52">
        <v>200000</v>
      </c>
    </row>
    <row r="50" spans="1:6" x14ac:dyDescent="0.3">
      <c r="A50">
        <v>49</v>
      </c>
      <c r="D50" s="190" t="s">
        <v>1537</v>
      </c>
      <c r="F50" s="52">
        <v>20000</v>
      </c>
    </row>
    <row r="51" spans="1:6" x14ac:dyDescent="0.3">
      <c r="A51">
        <v>50</v>
      </c>
      <c r="D51" s="190" t="s">
        <v>1542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1553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1839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1573</v>
      </c>
      <c r="F56" s="52">
        <v>350000</v>
      </c>
    </row>
    <row r="57" spans="1:6" x14ac:dyDescent="0.3">
      <c r="A57">
        <v>56</v>
      </c>
      <c r="C57" s="191" t="s">
        <v>1665</v>
      </c>
      <c r="D57" s="190" t="s">
        <v>1993</v>
      </c>
      <c r="E57" s="190" t="s">
        <v>1665</v>
      </c>
      <c r="F57" s="52">
        <v>1800000</v>
      </c>
    </row>
    <row r="58" spans="1:6" x14ac:dyDescent="0.3">
      <c r="A58">
        <v>57</v>
      </c>
      <c r="C58" s="191" t="s">
        <v>1225</v>
      </c>
      <c r="D58" s="190" t="s">
        <v>1444</v>
      </c>
      <c r="E58" s="190" t="s">
        <v>1225</v>
      </c>
      <c r="F58" s="52">
        <v>1000000</v>
      </c>
    </row>
    <row r="59" spans="1:6" x14ac:dyDescent="0.3">
      <c r="A59">
        <v>58</v>
      </c>
      <c r="C59" s="191" t="s">
        <v>2844</v>
      </c>
      <c r="D59" s="190" t="s">
        <v>2238</v>
      </c>
      <c r="E59" s="190" t="s">
        <v>2844</v>
      </c>
      <c r="F59" s="52">
        <v>1100000</v>
      </c>
    </row>
    <row r="60" spans="1:6" x14ac:dyDescent="0.3">
      <c r="A60">
        <v>59</v>
      </c>
      <c r="C60" s="191" t="s">
        <v>1667</v>
      </c>
      <c r="D60" s="190" t="s">
        <v>1383</v>
      </c>
      <c r="E60" s="190" t="s">
        <v>1667</v>
      </c>
      <c r="F60" s="52">
        <v>1100000</v>
      </c>
    </row>
    <row r="61" spans="1:6" x14ac:dyDescent="0.3">
      <c r="A61">
        <v>60</v>
      </c>
      <c r="C61" s="191" t="s">
        <v>1668</v>
      </c>
      <c r="D61" s="190" t="s">
        <v>1669</v>
      </c>
      <c r="E61" s="190" t="s">
        <v>1668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2770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2586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1644</v>
      </c>
      <c r="D64" s="190" t="s">
        <v>1645</v>
      </c>
      <c r="E64" s="190" t="s">
        <v>1644</v>
      </c>
      <c r="F64" s="52">
        <v>12000</v>
      </c>
    </row>
    <row r="65" spans="1:6" x14ac:dyDescent="0.3">
      <c r="A65">
        <v>64</v>
      </c>
      <c r="D65" s="190" t="s">
        <v>1647</v>
      </c>
      <c r="F65" s="52">
        <v>27000</v>
      </c>
    </row>
    <row r="66" spans="1:6" x14ac:dyDescent="0.3">
      <c r="A66">
        <v>65</v>
      </c>
      <c r="D66" s="190" t="s">
        <v>1654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2222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2222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1671</v>
      </c>
      <c r="F69" s="52">
        <v>150000</v>
      </c>
    </row>
    <row r="70" spans="1:6" x14ac:dyDescent="0.3">
      <c r="A70">
        <v>69</v>
      </c>
      <c r="D70" s="190" t="s">
        <v>1671</v>
      </c>
      <c r="F70" s="52">
        <v>200000</v>
      </c>
    </row>
    <row r="71" spans="1:6" x14ac:dyDescent="0.3">
      <c r="A71">
        <v>70</v>
      </c>
      <c r="D71" s="190" t="s">
        <v>1679</v>
      </c>
      <c r="F71" s="52">
        <v>250000</v>
      </c>
    </row>
    <row r="72" spans="1:6" x14ac:dyDescent="0.3">
      <c r="A72">
        <v>71</v>
      </c>
      <c r="D72" s="190" t="s">
        <v>1686</v>
      </c>
      <c r="F72" s="52">
        <v>1850000</v>
      </c>
    </row>
    <row r="73" spans="1:6" x14ac:dyDescent="0.3">
      <c r="A73">
        <v>72</v>
      </c>
      <c r="C73" s="191" t="s">
        <v>2645</v>
      </c>
      <c r="D73" s="190" t="s">
        <v>2646</v>
      </c>
      <c r="E73" s="190" t="s">
        <v>2645</v>
      </c>
      <c r="F73" s="52">
        <v>1500000</v>
      </c>
    </row>
    <row r="74" spans="1:6" x14ac:dyDescent="0.3">
      <c r="A74">
        <v>73</v>
      </c>
      <c r="C74" s="191" t="s">
        <v>1697</v>
      </c>
      <c r="D74" s="190" t="s">
        <v>2230</v>
      </c>
      <c r="E74" s="190" t="s">
        <v>1697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1789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1791</v>
      </c>
      <c r="F76" s="52">
        <v>200000</v>
      </c>
    </row>
    <row r="77" spans="1:6" x14ac:dyDescent="0.3">
      <c r="A77">
        <v>76</v>
      </c>
      <c r="D77" s="190" t="s">
        <v>2231</v>
      </c>
      <c r="F77" s="52">
        <v>130000</v>
      </c>
    </row>
    <row r="78" spans="1:6" x14ac:dyDescent="0.3">
      <c r="A78">
        <v>77</v>
      </c>
      <c r="C78" s="191" t="s">
        <v>1711</v>
      </c>
      <c r="D78" s="190" t="s">
        <v>1726</v>
      </c>
      <c r="E78" s="190" t="s">
        <v>1711</v>
      </c>
      <c r="F78" s="52">
        <v>20000</v>
      </c>
    </row>
    <row r="79" spans="1:6" x14ac:dyDescent="0.3">
      <c r="A79">
        <v>78</v>
      </c>
      <c r="D79" s="190" t="s">
        <v>1698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1705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2232</v>
      </c>
      <c r="F81" s="52">
        <v>10000</v>
      </c>
    </row>
    <row r="82" spans="1:6" x14ac:dyDescent="0.3">
      <c r="A82">
        <v>81</v>
      </c>
      <c r="D82" s="190" t="s">
        <v>1699</v>
      </c>
      <c r="F82" s="52">
        <v>130000</v>
      </c>
    </row>
    <row r="83" spans="1:6" x14ac:dyDescent="0.3">
      <c r="A83">
        <v>82</v>
      </c>
      <c r="D83" s="190" t="s">
        <v>1709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1724</v>
      </c>
      <c r="E85" s="190">
        <v>24137519344</v>
      </c>
    </row>
    <row r="86" spans="1:6" x14ac:dyDescent="0.3">
      <c r="A86">
        <v>85</v>
      </c>
      <c r="C86" s="191" t="s">
        <v>2846</v>
      </c>
      <c r="D86" s="190" t="s">
        <v>2832</v>
      </c>
      <c r="E86" s="190" t="s">
        <v>2846</v>
      </c>
      <c r="F86" s="52">
        <v>129000</v>
      </c>
    </row>
    <row r="87" spans="1:6" x14ac:dyDescent="0.3">
      <c r="A87">
        <v>86</v>
      </c>
      <c r="C87" s="191" t="s">
        <v>1722</v>
      </c>
      <c r="D87" s="190" t="s">
        <v>1723</v>
      </c>
      <c r="E87" s="190" t="s">
        <v>1722</v>
      </c>
      <c r="F87" s="52">
        <v>50000</v>
      </c>
    </row>
    <row r="88" spans="1:6" x14ac:dyDescent="0.3">
      <c r="A88">
        <v>87</v>
      </c>
      <c r="C88" s="191" t="s">
        <v>1733</v>
      </c>
      <c r="D88" s="190" t="s">
        <v>1734</v>
      </c>
      <c r="E88" s="190" t="s">
        <v>1733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1741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1742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1736</v>
      </c>
      <c r="D91" s="190" t="s">
        <v>2257</v>
      </c>
      <c r="E91" s="190" t="s">
        <v>1736</v>
      </c>
      <c r="F91" s="52">
        <v>250000</v>
      </c>
    </row>
    <row r="92" spans="1:6" x14ac:dyDescent="0.3">
      <c r="A92">
        <v>91</v>
      </c>
      <c r="C92" s="191" t="s">
        <v>1738</v>
      </c>
      <c r="D92" s="190" t="s">
        <v>2215</v>
      </c>
      <c r="E92" s="190" t="s">
        <v>1738</v>
      </c>
      <c r="F92" s="52">
        <v>60000</v>
      </c>
    </row>
    <row r="93" spans="1:6" x14ac:dyDescent="0.3">
      <c r="A93">
        <v>92</v>
      </c>
      <c r="D93" s="190" t="s">
        <v>1748</v>
      </c>
      <c r="F93" s="52">
        <v>200000</v>
      </c>
    </row>
    <row r="94" spans="1:6" x14ac:dyDescent="0.3">
      <c r="A94">
        <v>93</v>
      </c>
      <c r="C94" s="191" t="s">
        <v>1750</v>
      </c>
      <c r="D94" s="190" t="s">
        <v>2223</v>
      </c>
      <c r="E94" s="190" t="s">
        <v>1750</v>
      </c>
      <c r="F94" s="52">
        <v>30000</v>
      </c>
    </row>
    <row r="95" spans="1:6" x14ac:dyDescent="0.3">
      <c r="A95">
        <v>94</v>
      </c>
      <c r="C95" s="191" t="s">
        <v>1751</v>
      </c>
      <c r="D95" s="190" t="s">
        <v>2224</v>
      </c>
      <c r="E95" s="190" t="s">
        <v>1751</v>
      </c>
      <c r="F95" s="52">
        <v>10000</v>
      </c>
    </row>
    <row r="96" spans="1:6" x14ac:dyDescent="0.3">
      <c r="A96">
        <v>95</v>
      </c>
      <c r="C96" s="191" t="s">
        <v>1802</v>
      </c>
      <c r="D96" s="190" t="s">
        <v>2225</v>
      </c>
      <c r="E96" s="190" t="s">
        <v>1802</v>
      </c>
      <c r="F96" s="52">
        <v>10000</v>
      </c>
    </row>
    <row r="97" spans="1:6" x14ac:dyDescent="0.3">
      <c r="A97">
        <v>96</v>
      </c>
      <c r="C97" s="191" t="s">
        <v>1752</v>
      </c>
      <c r="D97" s="190" t="s">
        <v>1753</v>
      </c>
      <c r="E97" s="190" t="s">
        <v>1752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1754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2937</v>
      </c>
      <c r="D99" s="190" t="s">
        <v>2560</v>
      </c>
      <c r="E99" s="190" t="s">
        <v>2937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1774</v>
      </c>
      <c r="D104" s="190" t="s">
        <v>2213</v>
      </c>
      <c r="E104" s="190" t="s">
        <v>1774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1849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1771</v>
      </c>
      <c r="D106" s="190" t="s">
        <v>1218</v>
      </c>
      <c r="E106" s="190" t="s">
        <v>1771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1778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2117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1783</v>
      </c>
      <c r="D109" s="190" t="s">
        <v>1784</v>
      </c>
      <c r="E109" s="190" t="s">
        <v>1783</v>
      </c>
      <c r="F109" s="52">
        <v>25000</v>
      </c>
    </row>
    <row r="110" spans="1:6" x14ac:dyDescent="0.3">
      <c r="A110">
        <v>109</v>
      </c>
      <c r="C110" s="191" t="s">
        <v>1786</v>
      </c>
      <c r="D110" s="190" t="s">
        <v>1784</v>
      </c>
      <c r="E110" s="190" t="s">
        <v>1786</v>
      </c>
      <c r="F110" s="52">
        <v>65000</v>
      </c>
    </row>
    <row r="111" spans="1:6" x14ac:dyDescent="0.3">
      <c r="A111">
        <v>110</v>
      </c>
      <c r="C111" s="191" t="s">
        <v>1788</v>
      </c>
      <c r="D111" s="190" t="s">
        <v>1579</v>
      </c>
      <c r="E111" s="190" t="s">
        <v>1788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1837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2271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1837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1852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1874</v>
      </c>
      <c r="D117" s="190" t="s">
        <v>1875</v>
      </c>
      <c r="E117" s="190" t="s">
        <v>1874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2586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2927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1896</v>
      </c>
      <c r="D120" s="190" t="s">
        <v>1897</v>
      </c>
      <c r="E120" s="190" t="s">
        <v>1896</v>
      </c>
      <c r="F120" s="52">
        <v>10000</v>
      </c>
    </row>
    <row r="121" spans="1:6" x14ac:dyDescent="0.3">
      <c r="A121">
        <v>120</v>
      </c>
      <c r="D121" s="190" t="s">
        <v>1916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1936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1936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2080</v>
      </c>
      <c r="D124" s="190" t="s">
        <v>2081</v>
      </c>
      <c r="E124" s="190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1942</v>
      </c>
      <c r="F125" s="52">
        <v>2000000</v>
      </c>
    </row>
    <row r="126" spans="1:6" x14ac:dyDescent="0.3">
      <c r="A126">
        <v>125</v>
      </c>
      <c r="C126" s="191" t="s">
        <v>1946</v>
      </c>
      <c r="D126" s="190" t="s">
        <v>1599</v>
      </c>
      <c r="E126" s="190" t="s">
        <v>1946</v>
      </c>
      <c r="F126" s="52">
        <v>1400000</v>
      </c>
    </row>
    <row r="127" spans="1:6" x14ac:dyDescent="0.3">
      <c r="A127">
        <v>126</v>
      </c>
      <c r="D127" s="190" t="s">
        <v>1949</v>
      </c>
      <c r="F127" s="52">
        <v>1200000</v>
      </c>
    </row>
    <row r="128" spans="1:6" x14ac:dyDescent="0.3">
      <c r="A128">
        <v>127</v>
      </c>
      <c r="C128" s="191" t="s">
        <v>1962</v>
      </c>
      <c r="D128" s="190" t="s">
        <v>1963</v>
      </c>
      <c r="E128" s="190" t="s">
        <v>1962</v>
      </c>
      <c r="F128" s="52">
        <v>1200000</v>
      </c>
    </row>
    <row r="129" spans="1:6" x14ac:dyDescent="0.3">
      <c r="A129">
        <v>128</v>
      </c>
      <c r="C129" s="191" t="s">
        <v>1960</v>
      </c>
      <c r="D129" s="190" t="s">
        <v>1961</v>
      </c>
      <c r="E129" s="190" t="s">
        <v>1960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2586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1973</v>
      </c>
      <c r="D131" s="190" t="s">
        <v>1972</v>
      </c>
      <c r="E131" s="190" t="s">
        <v>1973</v>
      </c>
      <c r="F131" s="52">
        <v>250000</v>
      </c>
    </row>
    <row r="132" spans="1:6" x14ac:dyDescent="0.3">
      <c r="A132">
        <v>131</v>
      </c>
      <c r="D132" s="190" t="s">
        <v>1976</v>
      </c>
      <c r="F132" s="52">
        <v>50000</v>
      </c>
    </row>
    <row r="133" spans="1:6" x14ac:dyDescent="0.3">
      <c r="A133">
        <v>132</v>
      </c>
      <c r="D133" s="190" t="s">
        <v>1982</v>
      </c>
      <c r="F133" s="52">
        <v>1600000</v>
      </c>
    </row>
    <row r="134" spans="1:6" x14ac:dyDescent="0.3">
      <c r="A134">
        <v>133</v>
      </c>
      <c r="D134" s="190" t="s">
        <v>2226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2007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2009</v>
      </c>
      <c r="F136" s="52">
        <v>150000</v>
      </c>
    </row>
    <row r="137" spans="1:6" x14ac:dyDescent="0.3">
      <c r="A137">
        <v>136</v>
      </c>
      <c r="C137" s="191" t="s">
        <v>2016</v>
      </c>
      <c r="D137" s="190" t="s">
        <v>1220</v>
      </c>
      <c r="E137" s="190" t="s">
        <v>2016</v>
      </c>
      <c r="F137" s="52">
        <v>1700000</v>
      </c>
    </row>
    <row r="138" spans="1:6" x14ac:dyDescent="0.3">
      <c r="A138">
        <v>137</v>
      </c>
      <c r="D138" s="190" t="s">
        <v>2034</v>
      </c>
      <c r="F138" s="52">
        <v>2000000</v>
      </c>
    </row>
    <row r="139" spans="1:6" x14ac:dyDescent="0.3">
      <c r="A139">
        <v>138</v>
      </c>
      <c r="C139" s="191" t="s">
        <v>2046</v>
      </c>
      <c r="D139" s="190" t="s">
        <v>2047</v>
      </c>
      <c r="E139" s="190" t="s">
        <v>2046</v>
      </c>
      <c r="F139" s="52">
        <v>550000</v>
      </c>
    </row>
    <row r="140" spans="1:6" x14ac:dyDescent="0.3">
      <c r="A140">
        <v>139</v>
      </c>
      <c r="D140" s="190" t="s">
        <v>2053</v>
      </c>
      <c r="F140" s="52">
        <v>84000</v>
      </c>
    </row>
    <row r="141" spans="1:6" x14ac:dyDescent="0.3">
      <c r="A141">
        <v>140</v>
      </c>
      <c r="D141" s="190" t="s">
        <v>2056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2771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2769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2073</v>
      </c>
      <c r="F144" s="52">
        <v>900000</v>
      </c>
    </row>
    <row r="145" spans="1:6" x14ac:dyDescent="0.3">
      <c r="A145">
        <v>144</v>
      </c>
      <c r="C145" s="191" t="s">
        <v>1934</v>
      </c>
      <c r="D145" s="190" t="s">
        <v>2171</v>
      </c>
      <c r="E145" s="190" t="s">
        <v>1934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2116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2244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2138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2649</v>
      </c>
      <c r="D150" s="190" t="s">
        <v>2377</v>
      </c>
      <c r="E150" s="190" t="s">
        <v>2649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2067</v>
      </c>
      <c r="E151" s="190">
        <v>6058008211</v>
      </c>
    </row>
    <row r="152" spans="1:6" x14ac:dyDescent="0.3">
      <c r="A152">
        <v>151</v>
      </c>
      <c r="D152" s="190" t="s">
        <v>2156</v>
      </c>
      <c r="F152" s="52">
        <v>200000</v>
      </c>
    </row>
    <row r="153" spans="1:6" x14ac:dyDescent="0.3">
      <c r="A153">
        <v>152</v>
      </c>
      <c r="D153" s="190" t="s">
        <v>2157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2773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2582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2187</v>
      </c>
      <c r="F156" s="52">
        <v>990000</v>
      </c>
    </row>
    <row r="157" spans="1:6" x14ac:dyDescent="0.3">
      <c r="A157">
        <v>156</v>
      </c>
      <c r="D157" s="190" t="s">
        <v>2189</v>
      </c>
      <c r="F157" s="52">
        <v>1000000</v>
      </c>
    </row>
    <row r="158" spans="1:6" x14ac:dyDescent="0.3">
      <c r="A158">
        <v>157</v>
      </c>
      <c r="D158" s="190" t="s">
        <v>2191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2586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2648</v>
      </c>
      <c r="F160" s="52">
        <v>500000</v>
      </c>
    </row>
    <row r="161" spans="1:6" x14ac:dyDescent="0.3">
      <c r="A161">
        <v>160</v>
      </c>
      <c r="D161" s="190" t="s">
        <v>2263</v>
      </c>
      <c r="F161" s="52">
        <v>150000</v>
      </c>
    </row>
    <row r="162" spans="1:6" x14ac:dyDescent="0.3">
      <c r="A162">
        <v>161</v>
      </c>
      <c r="D162" s="190" t="s">
        <v>2274</v>
      </c>
      <c r="F162" s="52">
        <v>800000</v>
      </c>
    </row>
    <row r="163" spans="1:6" x14ac:dyDescent="0.3">
      <c r="A163">
        <v>162</v>
      </c>
      <c r="D163" s="190" t="s">
        <v>2280</v>
      </c>
      <c r="F163" s="52">
        <v>900000</v>
      </c>
    </row>
    <row r="164" spans="1:6" x14ac:dyDescent="0.3">
      <c r="A164">
        <v>163</v>
      </c>
      <c r="D164" s="190" t="s">
        <v>2291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2307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2305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2308</v>
      </c>
      <c r="D167" s="190" t="s">
        <v>2309</v>
      </c>
      <c r="E167" s="190" t="s">
        <v>2308</v>
      </c>
      <c r="F167" s="52">
        <v>350000</v>
      </c>
    </row>
    <row r="168" spans="1:6" x14ac:dyDescent="0.3">
      <c r="A168">
        <v>167</v>
      </c>
      <c r="C168" s="191" t="s">
        <v>2534</v>
      </c>
      <c r="D168" s="190" t="s">
        <v>2535</v>
      </c>
      <c r="E168" s="190" t="s">
        <v>2534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2586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2325</v>
      </c>
      <c r="F170" s="52">
        <v>1600000</v>
      </c>
    </row>
    <row r="171" spans="1:6" x14ac:dyDescent="0.3">
      <c r="A171">
        <v>170</v>
      </c>
      <c r="D171" s="190" t="s">
        <v>2353</v>
      </c>
      <c r="F171" s="52">
        <v>1200000</v>
      </c>
    </row>
    <row r="172" spans="1:6" x14ac:dyDescent="0.3">
      <c r="A172">
        <v>171</v>
      </c>
      <c r="D172" s="190" t="s">
        <v>2334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2586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2362</v>
      </c>
      <c r="D174" s="190" t="s">
        <v>2363</v>
      </c>
      <c r="E174" s="190" t="s">
        <v>2362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2365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2747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2380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2384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2998</v>
      </c>
      <c r="D179" s="190" t="s">
        <v>2999</v>
      </c>
      <c r="E179" s="190" t="s">
        <v>2998</v>
      </c>
      <c r="F179" s="52">
        <v>450000</v>
      </c>
    </row>
    <row r="180" spans="1:6" x14ac:dyDescent="0.3">
      <c r="A180">
        <v>179</v>
      </c>
      <c r="D180" s="190" t="s">
        <v>2447</v>
      </c>
      <c r="F180" s="52">
        <v>600000</v>
      </c>
    </row>
    <row r="181" spans="1:6" x14ac:dyDescent="0.3">
      <c r="A181">
        <v>180</v>
      </c>
      <c r="C181" s="191" t="s">
        <v>2449</v>
      </c>
      <c r="D181" s="190" t="s">
        <v>2450</v>
      </c>
      <c r="E181" s="190" t="s">
        <v>2449</v>
      </c>
      <c r="F181" s="52">
        <v>850000</v>
      </c>
    </row>
    <row r="182" spans="1:6" x14ac:dyDescent="0.3">
      <c r="A182">
        <v>181</v>
      </c>
      <c r="D182" s="190" t="s">
        <v>2454</v>
      </c>
      <c r="F182" s="52">
        <v>200000</v>
      </c>
    </row>
    <row r="183" spans="1:6" x14ac:dyDescent="0.3">
      <c r="A183">
        <v>182</v>
      </c>
      <c r="C183" s="191" t="s">
        <v>2467</v>
      </c>
      <c r="D183" s="190" t="s">
        <v>2431</v>
      </c>
      <c r="E183" s="190" t="s">
        <v>2467</v>
      </c>
      <c r="F183" s="52">
        <v>770000</v>
      </c>
    </row>
    <row r="184" spans="1:6" x14ac:dyDescent="0.3">
      <c r="A184">
        <v>183</v>
      </c>
      <c r="C184" s="191" t="s">
        <v>2474</v>
      </c>
      <c r="D184" s="190" t="s">
        <v>2475</v>
      </c>
      <c r="E184" s="190" t="s">
        <v>2474</v>
      </c>
      <c r="F184" s="52">
        <v>650000</v>
      </c>
    </row>
    <row r="185" spans="1:6" x14ac:dyDescent="0.3">
      <c r="A185">
        <v>184</v>
      </c>
      <c r="C185" s="191" t="s">
        <v>2476</v>
      </c>
      <c r="D185" s="190" t="s">
        <v>2477</v>
      </c>
      <c r="E185" s="190" t="s">
        <v>2476</v>
      </c>
      <c r="F185" s="52">
        <v>100000</v>
      </c>
    </row>
    <row r="186" spans="1:6" x14ac:dyDescent="0.3">
      <c r="A186">
        <v>185</v>
      </c>
      <c r="D186" s="190" t="s">
        <v>2514</v>
      </c>
      <c r="F186" s="52">
        <v>850000</v>
      </c>
    </row>
    <row r="187" spans="1:6" x14ac:dyDescent="0.3">
      <c r="A187">
        <v>186</v>
      </c>
      <c r="D187" s="190" t="s">
        <v>2561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2577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2576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2632</v>
      </c>
      <c r="D190" s="190" t="s">
        <v>2633</v>
      </c>
      <c r="E190" s="190" t="s">
        <v>2632</v>
      </c>
      <c r="F190" s="52">
        <v>1000000</v>
      </c>
    </row>
    <row r="191" spans="1:6" x14ac:dyDescent="0.3">
      <c r="A191">
        <v>190</v>
      </c>
      <c r="C191" s="191" t="s">
        <v>2925</v>
      </c>
      <c r="D191" s="190" t="s">
        <v>2926</v>
      </c>
      <c r="E191" s="190" t="s">
        <v>2925</v>
      </c>
      <c r="F191" s="52">
        <v>1600000</v>
      </c>
    </row>
    <row r="192" spans="1:6" x14ac:dyDescent="0.3">
      <c r="A192">
        <v>191</v>
      </c>
      <c r="C192" s="191" t="s">
        <v>2686</v>
      </c>
      <c r="D192" s="190" t="s">
        <v>2687</v>
      </c>
      <c r="E192" s="190" t="s">
        <v>2686</v>
      </c>
      <c r="F192" s="52">
        <v>1500000</v>
      </c>
    </row>
    <row r="193" spans="1:6" x14ac:dyDescent="0.3">
      <c r="A193">
        <v>192</v>
      </c>
      <c r="D193" s="190" t="s">
        <v>2695</v>
      </c>
      <c r="F193" s="52">
        <v>1100000</v>
      </c>
    </row>
    <row r="194" spans="1:6" x14ac:dyDescent="0.3">
      <c r="A194">
        <v>193</v>
      </c>
      <c r="D194" s="190" t="s">
        <v>2724</v>
      </c>
      <c r="F194" s="52">
        <v>1700000</v>
      </c>
    </row>
    <row r="195" spans="1:6" x14ac:dyDescent="0.3">
      <c r="A195">
        <v>194</v>
      </c>
      <c r="C195" s="191" t="s">
        <v>2775</v>
      </c>
      <c r="D195" s="190" t="s">
        <v>2776</v>
      </c>
      <c r="E195" s="190" t="s">
        <v>2775</v>
      </c>
      <c r="F195" s="52">
        <v>400000</v>
      </c>
    </row>
    <row r="196" spans="1:6" x14ac:dyDescent="0.3">
      <c r="A196">
        <v>195</v>
      </c>
      <c r="C196" s="191" t="s">
        <v>2799</v>
      </c>
      <c r="D196" s="190" t="s">
        <v>2800</v>
      </c>
      <c r="E196" s="190" t="s">
        <v>2799</v>
      </c>
      <c r="F196" s="52">
        <v>1500000</v>
      </c>
    </row>
    <row r="197" spans="1:6" x14ac:dyDescent="0.3">
      <c r="A197">
        <v>196</v>
      </c>
      <c r="D197" s="190" t="s">
        <v>2818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2845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2847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2946</v>
      </c>
      <c r="D200" s="190" t="s">
        <v>2947</v>
      </c>
      <c r="E200" s="190" t="s">
        <v>2946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1779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2952</v>
      </c>
      <c r="D202" s="190" t="s">
        <v>2954</v>
      </c>
      <c r="E202" s="190" t="s">
        <v>2952</v>
      </c>
      <c r="F202" s="52">
        <v>75000</v>
      </c>
    </row>
    <row r="203" spans="1:6" x14ac:dyDescent="0.3">
      <c r="A203">
        <v>202</v>
      </c>
      <c r="C203" s="191" t="s">
        <v>3041</v>
      </c>
      <c r="D203" s="190" t="s">
        <v>3042</v>
      </c>
      <c r="E203" s="190" t="s">
        <v>3041</v>
      </c>
      <c r="F203" s="52">
        <v>13000</v>
      </c>
    </row>
    <row r="204" spans="1:6" x14ac:dyDescent="0.3">
      <c r="A204">
        <v>203</v>
      </c>
      <c r="C204" s="191" t="s">
        <v>2995</v>
      </c>
      <c r="D204" s="190" t="s">
        <v>2996</v>
      </c>
      <c r="E204" s="190" t="s">
        <v>2995</v>
      </c>
    </row>
    <row r="205" spans="1:6" x14ac:dyDescent="0.3">
      <c r="A205">
        <v>204</v>
      </c>
      <c r="C205" s="191">
        <v>709013001</v>
      </c>
      <c r="D205" s="190" t="s">
        <v>2997</v>
      </c>
      <c r="E205" s="190">
        <v>709013001</v>
      </c>
    </row>
    <row r="206" spans="1:6" x14ac:dyDescent="0.3">
      <c r="A206">
        <v>205</v>
      </c>
      <c r="D206" s="190" t="s">
        <v>3015</v>
      </c>
      <c r="F206" s="52">
        <v>50000</v>
      </c>
    </row>
    <row r="207" spans="1:6" x14ac:dyDescent="0.3">
      <c r="A207">
        <v>206</v>
      </c>
      <c r="D207" s="190" t="s">
        <v>3043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3266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3059</v>
      </c>
      <c r="F209" s="52">
        <v>1000000</v>
      </c>
    </row>
    <row r="210" spans="1:6" x14ac:dyDescent="0.3">
      <c r="C210" s="191" t="s">
        <v>3077</v>
      </c>
      <c r="D210" s="190" t="s">
        <v>3078</v>
      </c>
      <c r="E210" s="190" t="s">
        <v>3077</v>
      </c>
      <c r="F210" s="52">
        <v>500000</v>
      </c>
    </row>
    <row r="211" spans="1:6" x14ac:dyDescent="0.3">
      <c r="C211" s="191">
        <v>33108841535</v>
      </c>
      <c r="D211" s="190" t="s">
        <v>3081</v>
      </c>
      <c r="E211" s="190">
        <v>33108841535</v>
      </c>
      <c r="F211" s="52">
        <v>1200000</v>
      </c>
    </row>
    <row r="212" spans="1:6" x14ac:dyDescent="0.3">
      <c r="C212" s="191" t="s">
        <v>3115</v>
      </c>
      <c r="D212" s="190" t="s">
        <v>3116</v>
      </c>
      <c r="E212" s="190" t="s">
        <v>3115</v>
      </c>
      <c r="F212" s="52">
        <v>250000</v>
      </c>
    </row>
    <row r="213" spans="1:6" x14ac:dyDescent="0.3">
      <c r="D213" s="190" t="s">
        <v>3213</v>
      </c>
      <c r="F213" s="52">
        <v>200000</v>
      </c>
    </row>
    <row r="214" spans="1:6" x14ac:dyDescent="0.3">
      <c r="C214" s="191">
        <v>2212500301</v>
      </c>
      <c r="D214" s="190" t="s">
        <v>3038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3265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3265</v>
      </c>
      <c r="E216" s="190">
        <v>6058008068</v>
      </c>
    </row>
    <row r="217" spans="1:6" x14ac:dyDescent="0.3">
      <c r="D217" s="190" t="s">
        <v>3274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2760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3180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3181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3181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2464</v>
      </c>
      <c r="J82" s="53" t="s">
        <v>1897</v>
      </c>
      <c r="K82" s="17" t="s">
        <v>2464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2878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3172</v>
      </c>
      <c r="J86" s="53" t="s">
        <v>2211</v>
      </c>
      <c r="K86" s="17" t="s">
        <v>3172</v>
      </c>
      <c r="L86" s="17">
        <v>2200000</v>
      </c>
    </row>
    <row r="87" spans="6:12" ht="18" customHeight="1" x14ac:dyDescent="0.3">
      <c r="F87" s="17">
        <v>72</v>
      </c>
      <c r="I87" s="17" t="s">
        <v>3173</v>
      </c>
      <c r="J87" s="53" t="s">
        <v>3185</v>
      </c>
      <c r="K87" s="17" t="s">
        <v>3173</v>
      </c>
      <c r="L87" s="17">
        <v>1500000</v>
      </c>
    </row>
    <row r="88" spans="6:12" ht="18" customHeight="1" x14ac:dyDescent="0.3">
      <c r="F88" s="17">
        <v>73</v>
      </c>
      <c r="I88" s="17" t="s">
        <v>3174</v>
      </c>
      <c r="J88" s="53" t="s">
        <v>2230</v>
      </c>
      <c r="K88" s="17" t="s">
        <v>3174</v>
      </c>
      <c r="L88" s="17">
        <v>50000</v>
      </c>
    </row>
    <row r="89" spans="6:12" ht="18" customHeight="1" x14ac:dyDescent="0.3">
      <c r="F89" s="17">
        <v>58</v>
      </c>
      <c r="I89" s="17" t="s">
        <v>2844</v>
      </c>
      <c r="J89" s="53" t="s">
        <v>2468</v>
      </c>
      <c r="K89" s="17" t="s">
        <v>2844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2846</v>
      </c>
      <c r="J103" s="53" t="s">
        <v>2943</v>
      </c>
      <c r="K103" s="17" t="s">
        <v>2846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2987</v>
      </c>
      <c r="J110" s="53" t="s">
        <v>2431</v>
      </c>
      <c r="K110" s="17" t="s">
        <v>2987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3186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2783</v>
      </c>
      <c r="J115" s="53" t="s">
        <v>1579</v>
      </c>
      <c r="K115" s="17" t="s">
        <v>2783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3175</v>
      </c>
      <c r="J118" s="53" t="s">
        <v>3187</v>
      </c>
      <c r="K118" s="17" t="s">
        <v>3175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2765</v>
      </c>
      <c r="J122" s="53" t="s">
        <v>1514</v>
      </c>
      <c r="K122" s="17" t="s">
        <v>2765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3188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2937</v>
      </c>
      <c r="J128" s="53" t="s">
        <v>1755</v>
      </c>
      <c r="K128" s="17" t="s">
        <v>2937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2509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2715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2451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2452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2453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2025-08-26T09:09:50Z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