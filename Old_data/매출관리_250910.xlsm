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ABC0BC8-C6B8-4077-84EC-993CD0CD4040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<sst xmlns="http://schemas.openxmlformats.org/spreadsheetml/2006/main" count="10337" uniqueCount="3559">
  <si>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</si>
  <si>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</si>
  <si>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</si>
  <si>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</si>
  <si>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</si>
  <si>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</si>
  <si>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</si>
  <si>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</si>
  <si>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</si>
  <si>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</si>
  <si>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</si>
  <si>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</si>
  <si>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</si>
  <si>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</si>
  <si>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</si>
  <si>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</si>
  <si>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</si>
  <si>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</si>
  <si>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</si>
  <si>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</si>
  <si>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</si>
  <si>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</si>
  <si>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</si>
  <si>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</si>
  <si>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</si>
  <si>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</si>
  <si>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</si>
  <si>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</si>
  <si>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</si>
  <si>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</si>
  <si>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</si>
  <si>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</si>
  <si>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</si>
  <si>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</si>
  <si>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</si>
  <si>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</si>
  <si>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</si>
  <si>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</si>
  <si>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</si>
  <si>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</si>
  <si>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</si>
  <si>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</si>
  <si>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</si>
  <si>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</si>
  <si>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</si>
  <si>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</si>
  <si>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</si>
  <si>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</si>
  <si>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</si>
  <si>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</si>
  <si>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</si>
  <si>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</si>
  <si>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</si>
  <si>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</si>
  <si>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</si>
  <si>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</si>
  <si>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</si>
  <si>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</si>
  <si>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</si>
  <si>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</si>
  <si>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</si>
  <si>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</si>
  <si>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</si>
  <si>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</si>
  <si>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</si>
  <si>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</si>
  <si>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</si>
  <si>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</si>
  <si>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</si>
  <si>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</si>
  <si>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</si>
  <si>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</si>
  <si>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</si>
  <si>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</si>
  <si>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</si>
  <si>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</si>
  <si>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</si>
  <si>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</si>
  <si>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</si>
  <si>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</si>
  <si>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</si>
  <si>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</si>
  <si>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</si>
  <si>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</si>
  <si>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</si>
  <si>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</si>
  <si>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</si>
  <si>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</si>
  <si>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</si>
  <si>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</si>
  <si>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</si>
  <si>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</si>
  <si>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</si>
  <si>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</si>
  <si>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</si>
  <si>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</si>
  <si>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</si>
  <si>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</si>
  <si>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</si>
  <si>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</si>
  <si>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</si>
  <si>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</si>
  <si>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</si>
  <si>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</si>
  <si>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</si>
  <si>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</si>
  <si>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</si>
  <si>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</si>
  <si>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</si>
  <si>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</si>
  <si>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</si>
  <si>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</si>
  <si>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</si>
  <si>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</si>
  <si>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</si>
  <si>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</si>
  <si>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</si>
  <si>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</si>
  <si>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</si>
  <si>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</si>
  <si>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</si>
  <si>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</si>
  <si>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</si>
  <si>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</si>
  <si>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</si>
  <si>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</si>
  <si>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</si>
  <si>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</si>
  <si>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</si>
  <si>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</si>
  <si>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</si>
  <si>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</si>
  <si>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</si>
  <si>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</si>
  <si>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</si>
  <si>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</si>
  <si>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</si>
  <si>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</si>
  <si>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</si>
  <si>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</si>
  <si>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</si>
  <si>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</si>
  <si>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</si>
  <si>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</si>
  <si>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</si>
  <si>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</si>
  <si>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</si>
  <si>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</si>
  <si>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</si>
  <si>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</si>
  <si>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</si>
  <si>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</si>
  <si>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</si>
  <si>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</si>
  <si>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</si>
  <si>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</si>
  <si>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</si>
  <si>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</si>
  <si>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</si>
  <si>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</si>
  <si>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</si>
  <si>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</si>
  <si>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</si>
  <si>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</si>
  <si>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</si>
  <si>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</si>
  <si>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</si>
  <si>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</si>
  <si>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</si>
  <si>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</si>
  <si>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</si>
  <si>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</si>
  <si>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</si>
  <si>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</si>
  <si>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</si>
  <si>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</si>
  <si>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</si>
  <si>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</si>
  <si>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</si>
  <si>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</si>
  <si>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</si>
  <si>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</si>
  <si>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</si>
  <si>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</si>
  <si>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</si>
  <si>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</si>
  <si>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</si>
  <si>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</si>
  <si>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</si>
  <si>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</si>
  <si>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</si>
  <si>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</si>
  <si>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</si>
  <si>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</si>
  <si>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</si>
  <si>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</si>
  <si>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</si>
  <si>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</si>
  <si>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</si>
  <si>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</si>
  <si>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</si>
  <si>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</si>
  <si>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</si>
  <si>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</si>
  <si>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</si>
  <si>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</si>
  <si>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</si>
  <si>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</si>
  <si>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</si>
  <si>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</si>
  <si>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</si>
  <si>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</si>
  <si>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</si>
  <si>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</si>
  <si>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</si>
  <si>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</si>
  <si>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</si>
  <si>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</si>
  <si>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</si>
  <si>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</si>
  <si>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</si>
  <si>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</si>
  <si>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</si>
  <si>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</si>
  <si>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</si>
  <si>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</si>
  <si>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</si>
  <si>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</si>
  <si>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</si>
  <si>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</si>
  <si>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</si>
  <si>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</si>
  <si>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</si>
  <si>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</si>
  <si>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</si>
  <si>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</si>
  <si>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</si>
  <si>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</si>
  <si>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</si>
  <si>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</si>
  <si>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</si>
  <si>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</si>
  <si>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</si>
  <si>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</si>
  <si>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</si>
  <si>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</si>
  <si>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</si>
  <si>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</si>
  <si>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</si>
  <si>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</si>
  <si>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</si>
  <si>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</si>
  <si>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</si>
  <si>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</si>
  <si>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</si>
  <si>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</si>
  <si>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</si>
  <si>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</si>
  <si>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</si>
  <si>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</si>
  <si>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</si>
  <si>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</si>
  <si>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</si>
  <si>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</si>
  <si>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</si>
  <si>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</si>
  <si>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</si>
  <si>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</si>
  <si>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</si>
  <si>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</si>
  <si>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</si>
  <si>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</si>
  <si>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</si>
  <si>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</si>
  <si>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</si>
  <si>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</si>
  <si>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</si>
  <si>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</si>
  <si>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</si>
  <si>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</si>
  <si>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</si>
  <si>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</si>
  <si>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</si>
  <si>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</si>
  <si>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</si>
  <si>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</si>
  <si>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</si>
  <si>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</si>
  <si>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</si>
  <si>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</si>
  <si>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</si>
  <si>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</si>
  <si>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</si>
  <si>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</si>
  <si>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</si>
  <si>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</si>
  <si>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</si>
  <si>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</si>
  <si>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</si>
  <si>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</si>
  <si>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</si>
  <si>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</si>
  <si>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</si>
  <si>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</si>
  <si>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</si>
  <si>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</si>
  <si>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</si>
  <si>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</si>
  <si>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</si>
  <si>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</si>
  <si>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</si>
  <si>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</si>
  <si>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</si>
  <si>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</si>
  <si>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</si>
  <si>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</si>
  <si>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</si>
  <si>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</si>
  <si>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</si>
  <si>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</si>
  <si>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</si>
  <si>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</si>
  <si>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</si>
  <si>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</si>
  <si>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</si>
  <si>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</si>
  <si>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</si>
  <si>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</si>
  <si>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</si>
  <si>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</si>
  <si>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</si>
  <si>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</si>
  <si>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</si>
  <si>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</si>
  <si>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</si>
  <si>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</si>
  <si>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</si>
  <si>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</si>
  <si>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</si>
  <si>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</si>
  <si>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</si>
  <si>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</si>
  <si>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</si>
  <si>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</si>
  <si>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</si>
  <si>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</si>
  <si>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</si>
  <si>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</si>
  <si>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</si>
  <si>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</si>
  <si>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</si>
  <si>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</si>
  <si>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</si>
  <si>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</si>
  <si>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</si>
  <si>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</si>
  <si>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</si>
  <si>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</si>
  <si>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</si>
  <si>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</si>
  <si>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</si>
  <si>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</si>
  <si>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</si>
  <si>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</si>
  <si>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</si>
  <si>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</si>
  <si>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</si>
  <si>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</si>
  <si>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</si>
  <si>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</si>
  <si>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</si>
  <si>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</si>
  <si>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</si>
  <si>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</si>
  <si>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</si>
  <si>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</si>
  <si>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</si>
  <si>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</si>
  <si>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</si>
  <si>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</si>
  <si>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</si>
  <si>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</si>
  <si>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</si>
  <si>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</si>
  <si>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</si>
  <si>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</si>
  <si>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</si>
  <si>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</si>
  <si>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</si>
  <si>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</si>
  <si>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</si>
  <si>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</si>
  <si>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</si>
  <si>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</si>
  <si>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</si>
  <si>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</si>
  <si>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</si>
  <si>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</si>
  <si>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</si>
  <si>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</si>
  <si>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</si>
  <si>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</si>
  <si>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</si>
  <si>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</si>
  <si>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</si>
  <si>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</si>
  <si>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</si>
  <si>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</si>
  <si>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</si>
  <si>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</si>
  <si>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</si>
  <si>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</si>
  <si>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</si>
  <si>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</si>
  <si>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</si>
  <si>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</si>
  <si>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</si>
  <si>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</si>
  <si>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</si>
  <si>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</si>
  <si>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</si>
  <si>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</si>
  <si>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</si>
  <si>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</si>
  <si>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</si>
  <si>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</si>
  <si>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</si>
  <si>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</si>
  <si>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</si>
  <si>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</si>
  <si>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</si>
  <si>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</si>
  <si>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</si>
  <si>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</si>
  <si>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</si>
  <si>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</si>
  <si>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</si>
  <si>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</si>
  <si>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</si>
  <si>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</si>
  <si>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</si>
  <si>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</si>
  <si>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</si>
  <si>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</si>
  <si>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</si>
  <si>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</si>
  <si>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</si>
  <si>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</si>
  <si>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</si>
  <si>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</si>
  <si>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</si>
  <si>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</si>
  <si>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</si>
  <si>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</si>
  <si>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</si>
  <si>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</si>
  <si>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</si>
  <si>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</si>
  <si>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</si>
  <si>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</si>
  <si>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</si>
  <si>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</si>
  <si>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</si>
  <si>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</si>
  <si>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</si>
  <si>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</si>
  <si>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</si>
  <si>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</si>
  <si>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</si>
  <si>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</si>
  <si>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</si>
  <si>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</si>
  <si>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</si>
  <si>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</si>
  <si>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</si>
  <si>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</si>
  <si>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</si>
  <si>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</si>
  <si>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</si>
  <si>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</si>
  <si>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</si>
  <si>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</si>
  <si>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</si>
  <si>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</si>
  <si>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</si>
  <si>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</si>
  <si>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</si>
  <si>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</si>
  <si>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</si>
  <si>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</si>
  <si>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</si>
  <si>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</si>
  <si>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</si>
  <si>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</si>
  <si>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</si>
  <si>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</si>
  <si>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</si>
  <si>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</si>
  <si>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</si>
  <si>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</si>
  <si>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</si>
  <si>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</si>
  <si>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</si>
  <si>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</si>
  <si>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</si>
  <si>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</si>
  <si>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</si>
  <si>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</si>
  <si>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</si>
  <si>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</si>
  <si>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</si>
  <si>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</si>
  <si>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</si>
  <si>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</si>
  <si>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</si>
  <si>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</si>
  <si>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</si>
  <si>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</si>
  <si>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</si>
  <si>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</si>
  <si>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</si>
  <si>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</si>
  <si>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</si>
  <si>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</si>
  <si>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</si>
  <si>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</si>
  <si>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</si>
  <si>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</si>
  <si>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</si>
  <si>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</si>
  <si>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</si>
  <si>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</si>
  <si>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</si>
  <si>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</si>
  <si>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</si>
  <si>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</si>
  <si>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</si>
  <si>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</si>
  <si>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</si>
  <si>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</si>
  <si>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</si>
  <si>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</si>
  <si>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</si>
  <si>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</si>
  <si>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</si>
  <si>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</si>
  <si>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</si>
  <si>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</si>
  <si>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</si>
  <si>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</si>
  <si>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</si>
  <si>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</si>
  <si>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</si>
  <si>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</si>
  <si>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</si>
  <si>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</si>
  <si>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</si>
  <si>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</si>
  <si>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</si>
  <si>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</si>
  <si>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</si>
  <si>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</si>
  <si>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</si>
  <si>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</si>
  <si>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</si>
  <si>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</si>
  <si>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</si>
  <si>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</si>
  <si>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</si>
  <si>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</si>
  <si>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</si>
  <si>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</si>
  <si>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</si>
  <si>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</si>
  <si>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</si>
  <si>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</si>
  <si>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</si>
  <si>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</si>
  <si>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</si>
  <si>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</si>
  <si>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</si>
  <si>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</si>
  <si>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</si>
  <si>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</si>
  <si>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</si>
  <si>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</si>
  <si>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</si>
  <si>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</si>
  <si>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</si>
  <si>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</si>
  <si>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</si>
  <si>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</si>
  <si>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</si>
  <si>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</si>
  <si>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</si>
  <si>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</si>
  <si>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</si>
  <si>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</si>
  <si>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</si>
  <si>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</si>
  <si>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</si>
  <si>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</si>
  <si>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</si>
  <si>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</si>
  <si>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</si>
  <si>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</si>
  <si>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</si>
  <si>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</si>
  <si>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</si>
  <si>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</si>
  <si>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</si>
  <si>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</si>
  <si>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</si>
  <si>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</si>
  <si>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</si>
  <si>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</si>
  <si>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</si>
  <si>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</si>
  <si>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</si>
  <si>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</si>
  <si>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</si>
  <si>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</si>
  <si>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</si>
  <si>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</si>
  <si>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</si>
  <si>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</si>
  <si>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</si>
  <si>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</si>
  <si>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</si>
  <si>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</si>
  <si>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</si>
  <si>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</si>
  <si>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</si>
  <si>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</si>
  <si>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</si>
  <si>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</si>
  <si>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</si>
  <si>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</si>
  <si>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</si>
  <si>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</si>
  <si>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</si>
  <si>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</si>
  <si>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</si>
  <si>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</si>
  <si>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</si>
  <si>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</si>
  <si>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</si>
  <si>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</si>
  <si>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</si>
  <si>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</si>
  <si>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</si>
  <si>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</si>
  <si>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</si>
  <si>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</si>
  <si>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</si>
  <si>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</si>
  <si>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</si>
  <si>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</si>
  <si>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</si>
  <si>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</si>
  <si>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</si>
  <si>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</si>
  <si>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</si>
  <si>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</si>
  <si>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</si>
  <si>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</si>
  <si>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</si>
  <si>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</si>
  <si>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</si>
  <si>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</si>
  <si>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</si>
  <si>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</si>
  <si>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</si>
  <si>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</si>
  <si>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</si>
  <si>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</si>
  <si>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</si>
  <si>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</si>
  <si>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</si>
  <si>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</si>
  <si>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</si>
  <si>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</si>
  <si>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</si>
  <si>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</si>
  <si>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</si>
  <si>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</si>
  <si>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</si>
  <si>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</si>
  <si>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</si>
  <si>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</si>
  <si>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</si>
  <si>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</si>
  <si>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</si>
  <si>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</si>
  <si>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</si>
  <si>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</si>
  <si>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</si>
  <si>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</si>
  <si>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</si>
  <si>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</si>
  <si>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</si>
  <si>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</si>
  <si>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</si>
  <si>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</si>
  <si>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</si>
  <si>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</si>
  <si>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</si>
  <si>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</si>
  <si>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</si>
  <si>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</si>
  <si>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</si>
  <si>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</si>
  <si>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</si>
  <si>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</si>
  <si>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</si>
  <si>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</si>
  <si>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</si>
  <si>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</si>
  <si>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</si>
  <si>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</si>
  <si>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</si>
  <si>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</si>
  <si>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</si>
  <si>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</si>
  <si>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</si>
  <si>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</si>
  <si>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</si>
  <si>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</si>
  <si>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</si>
  <si>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</si>
  <si>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</si>
  <si>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</si>
  <si>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</si>
  <si>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</si>
  <si>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</si>
  <si>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</si>
  <si>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</si>
  <si>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</si>
  <si>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</si>
  <si>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</si>
  <si>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</si>
  <si>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</si>
  <si>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</si>
  <si>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</si>
  <si>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</si>
  <si>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</si>
  <si>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</si>
  <si>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</si>
  <si>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</si>
  <si>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</si>
  <si>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</si>
  <si>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</si>
  <si>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</si>
  <si>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</si>
  <si>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</si>
  <si>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</si>
  <si>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</si>
  <si>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</si>
  <si>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</si>
  <si>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</si>
  <si>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</si>
  <si>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</si>
  <si>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</si>
  <si>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</si>
  <si>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</si>
  <si>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</si>
  <si>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</si>
  <si>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</si>
  <si>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</si>
  <si>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</si>
  <si>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</si>
  <si>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</si>
  <si>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</si>
  <si>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</si>
  <si>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</si>
  <si>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</si>
  <si>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</si>
  <si>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</si>
  <si>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</si>
  <si>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</si>
  <si>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</si>
  <si>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</si>
  <si>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</si>
  <si>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</si>
  <si>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</si>
  <si>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</si>
  <si>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</si>
  <si>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</si>
  <si>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</si>
  <si>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</si>
  <si>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</si>
  <si>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</si>
  <si>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</si>
  <si>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</si>
  <si>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</si>
  <si>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</si>
  <si>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</si>
  <si>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</si>
  <si>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</si>
  <si>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</si>
  <si>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</si>
  <si>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</si>
  <si>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</si>
  <si>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</si>
  <si>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</si>
  <si>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</si>
  <si>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</si>
  <si>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</si>
  <si>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</si>
  <si>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</si>
  <si>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</si>
  <si>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</si>
  <si>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</si>
  <si>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</si>
  <si>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</si>
  <si>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</si>
  <si>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</si>
  <si>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</si>
  <si>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</si>
  <si>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</si>
  <si>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</si>
  <si>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</si>
  <si>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</si>
  <si>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</si>
  <si>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</si>
  <si>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</si>
  <si>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</si>
  <si>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</si>
  <si>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</si>
  <si>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</si>
  <si>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</si>
  <si>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</si>
  <si>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</si>
  <si>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</si>
  <si>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</si>
  <si>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</si>
  <si>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</si>
  <si>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</si>
  <si>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</si>
  <si>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</si>
  <si>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</si>
  <si>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</si>
  <si>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</si>
  <si>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</si>
  <si>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</si>
  <si>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</si>
  <si>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</si>
  <si>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</si>
  <si>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</si>
  <si>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</si>
  <si>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</si>
  <si>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</si>
  <si>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</si>
  <si>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</si>
  <si>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</si>
  <si>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</si>
  <si>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</si>
  <si>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</si>
  <si>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</si>
  <si>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</si>
  <si>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</si>
  <si>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</si>
  <si>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</si>
  <si>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</si>
  <si>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</si>
  <si>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</si>
  <si>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</si>
  <si>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</si>
  <si>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</si>
  <si>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</si>
  <si>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</si>
  <si>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</si>
  <si>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</si>
  <si>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</si>
  <si>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</si>
  <si>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</si>
  <si>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</si>
  <si>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</si>
  <si>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</si>
  <si>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</si>
  <si>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</si>
  <si>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</si>
  <si>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</si>
  <si>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</si>
  <si>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</si>
  <si>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</si>
  <si>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</si>
  <si>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</si>
  <si>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</si>
  <si>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</si>
  <si>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</si>
  <si>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</si>
  <si>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</si>
  <si>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</si>
  <si>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</si>
  <si>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</si>
  <si>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</si>
  <si>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</si>
  <si>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</si>
  <si>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</si>
  <si>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</si>
  <si>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</si>
  <si>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</si>
  <si>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</si>
  <si>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</si>
  <si>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</si>
  <si>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</si>
  <si>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</si>
  <si>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</si>
  <si>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</si>
  <si>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</si>
  <si>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</si>
  <si>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</si>
  <si>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</si>
  <si>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</si>
  <si>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</si>
  <si>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</si>
  <si>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</si>
  <si>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</si>
  <si>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</si>
  <si>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</si>
  <si>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</si>
  <si>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</si>
  <si>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</si>
  <si>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</si>
  <si>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</si>
  <si>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</si>
  <si>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</si>
  <si>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</si>
  <si>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</si>
  <si>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</si>
  <si>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</si>
  <si>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</si>
  <si>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</si>
  <si>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</si>
  <si>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</si>
  <si>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</si>
  <si>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</si>
  <si>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</si>
  <si>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</si>
  <si>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</si>
  <si>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</si>
  <si>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</si>
  <si>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</si>
  <si>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</si>
  <si>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</si>
  <si>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</si>
  <si>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</si>
  <si>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</si>
  <si>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</si>
  <si>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</si>
  <si>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</si>
  <si>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</si>
  <si>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</si>
  <si>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</si>
  <si>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</si>
  <si>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</si>
  <si>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</si>
  <si>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</si>
  <si>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</si>
  <si>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</si>
  <si>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</si>
  <si>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</si>
  <si>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</si>
  <si>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</si>
  <si>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</si>
  <si>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</si>
  <si>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</si>
  <si>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</si>
  <si>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</si>
  <si>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</si>
  <si>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</si>
  <si>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</si>
  <si>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</si>
  <si>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</si>
  <si>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</si>
  <si>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</si>
  <si>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</si>
  <si>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</si>
  <si>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</si>
  <si>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</si>
  <si>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</si>
  <si>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</si>
  <si>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</si>
  <si>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</si>
  <si>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</si>
  <si>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</si>
  <si>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</si>
  <si>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</si>
  <si>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</si>
  <si>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</si>
  <si>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</si>
  <si>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</si>
  <si>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</si>
  <si>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</si>
  <si>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</si>
  <si>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</si>
  <si>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</si>
  <si>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</si>
  <si>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</si>
  <si>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</si>
  <si>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</si>
  <si>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</si>
  <si>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</si>
  <si>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</si>
  <si>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</si>
  <si>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</si>
  <si>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</si>
  <si>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</si>
  <si>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</si>
  <si>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</si>
  <si>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</si>
  <si>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</si>
  <si>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</si>
  <si>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</si>
  <si>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</si>
  <si>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</si>
  <si>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</si>
  <si>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</si>
  <si>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</si>
  <si>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</si>
  <si>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</si>
  <si>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</si>
  <si>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</si>
  <si>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</si>
  <si>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</si>
  <si>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</si>
  <si>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</si>
  <si>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</si>
  <si>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</si>
  <si>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</si>
  <si>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</si>
  <si>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</si>
  <si>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</si>
  <si>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</si>
  <si>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</si>
  <si>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</si>
  <si>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</si>
  <si>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</si>
  <si>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</si>
  <si>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</si>
  <si>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</si>
  <si>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</si>
  <si>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</si>
  <si>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</si>
  <si>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</si>
  <si>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</si>
  <si>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</si>
  <si>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</si>
  <si>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</si>
  <si>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</si>
  <si>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</si>
  <si>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</si>
  <si>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</si>
  <si>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</si>
  <si>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</si>
  <si>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</si>
  <si>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</si>
  <si>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</si>
  <si>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</si>
  <si>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</si>
  <si>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</si>
  <si>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</si>
  <si>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</si>
  <si>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</si>
  <si>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</si>
  <si>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</si>
  <si>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</si>
  <si>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</si>
  <si>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</si>
  <si>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</si>
  <si>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</si>
  <si>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</si>
  <si>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</si>
  <si>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</si>
  <si>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</si>
  <si>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</si>
  <si>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</si>
  <si>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</si>
  <si>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</si>
  <si>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</si>
  <si>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</si>
  <si>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</si>
  <si>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</si>
  <si>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</si>
  <si>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</si>
  <si>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</si>
  <si>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</si>
  <si>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</si>
  <si>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</si>
  <si>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</si>
  <si>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</si>
  <si>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</si>
  <si>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</si>
  <si>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</si>
  <si>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</si>
  <si>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</si>
  <si>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</si>
  <si>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</si>
  <si>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</si>
  <si>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</si>
  <si>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</si>
  <si>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</si>
  <si>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</si>
  <si>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</si>
  <si>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</si>
  <si>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</si>
  <si>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</si>
  <si>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</si>
  <si>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</si>
  <si>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</si>
  <si>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</si>
  <si>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</si>
  <si>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</si>
  <si>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</si>
  <si>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</si>
  <si>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</si>
  <si>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</si>
  <si>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</si>
  <si>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</si>
  <si>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</si>
  <si>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</si>
  <si>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</si>
  <si>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</si>
  <si>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</si>
  <si>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</si>
  <si>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</si>
  <si>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</si>
  <si>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</si>
  <si>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</si>
  <si>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</si>
  <si>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</si>
  <si>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</si>
  <si>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</si>
  <si>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</si>
  <si>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</si>
  <si>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</si>
  <si>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</si>
  <si>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</si>
  <si>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</si>
  <si>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</si>
  <si>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</si>
  <si>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</si>
  <si>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</si>
  <si>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</si>
  <si>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</si>
  <si>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</si>
  <si>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</si>
  <si>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</si>
  <si>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</si>
  <si>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</si>
  <si>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</si>
  <si>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</si>
  <si>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</si>
  <si>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</si>
  <si>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</si>
  <si>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</si>
  <si>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</si>
  <si>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</si>
  <si>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</si>
  <si>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</si>
  <si>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</si>
  <si>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</si>
  <si>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</si>
  <si>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</si>
  <si>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</si>
  <si>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</si>
  <si>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</si>
  <si>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</si>
  <si>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</si>
  <si>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</si>
  <si>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</si>
  <si>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</si>
  <si>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</si>
  <si>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</si>
  <si>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</si>
  <si>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</si>
  <si>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</si>
  <si>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</si>
  <si>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</si>
  <si>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</si>
  <si>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</si>
  <si>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</si>
  <si>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</si>
  <si>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</si>
  <si>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</si>
  <si>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</si>
  <si>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</si>
  <si>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</si>
  <si>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</si>
  <si>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</si>
  <si>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</si>
  <si>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</si>
  <si>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</si>
  <si>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</si>
  <si>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</si>
  <si>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</si>
  <si>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</si>
  <si>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</si>
  <si>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</si>
  <si>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</si>
  <si>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</si>
  <si>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</si>
  <si>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</si>
  <si>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</si>
  <si>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</si>
  <si>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</si>
  <si>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</si>
  <si>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</si>
  <si>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</si>
  <si>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</si>
  <si>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</si>
  <si>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</si>
  <si>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</si>
  <si>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</si>
  <si>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</si>
  <si>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</si>
  <si>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</si>
  <si>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</si>
  <si>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</si>
  <si>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</si>
  <si>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</si>
  <si>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</si>
  <si>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</si>
  <si>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</si>
  <si>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</si>
  <si>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</si>
  <si>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</si>
  <si>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</si>
  <si>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</si>
  <si>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</si>
  <si>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</si>
  <si>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</si>
  <si>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</si>
  <si>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</si>
  <si>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</si>
  <si>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</si>
  <si>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</si>
  <si>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</si>
  <si>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</si>
  <si>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</si>
  <si>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</si>
  <si>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</si>
  <si>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</si>
  <si>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</si>
  <si>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</si>
  <si>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</si>
  <si>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</si>
  <si>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</si>
  <si>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</si>
  <si>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</si>
  <si>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</si>
  <si>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</si>
  <si>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</si>
  <si>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</si>
  <si>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</si>
  <si>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</si>
  <si>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</si>
  <si>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</si>
  <si>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</si>
  <si>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</si>
  <si>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</si>
  <si>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</si>
  <si>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</si>
  <si>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</si>
  <si>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</si>
  <si>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</si>
  <si>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</si>
  <si>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</si>
  <si>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</si>
  <si>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</si>
  <si>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</si>
  <si>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</si>
  <si>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</si>
  <si>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</si>
  <si>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</si>
  <si>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</si>
  <si>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</si>
  <si>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</si>
  <si>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</si>
  <si>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</si>
  <si>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</si>
  <si>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</si>
  <si>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</si>
  <si>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</si>
  <si>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</si>
  <si>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</si>
  <si>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</si>
  <si>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</si>
  <si>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</si>
  <si>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</si>
  <si>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</si>
  <si>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</si>
  <si>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</si>
  <si>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</si>
  <si>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</si>
  <si>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</si>
  <si>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</si>
  <si>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</si>
  <si>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</si>
  <si>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</si>
  <si>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</si>
  <si>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</si>
  <si>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</si>
  <si>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</si>
  <si>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</si>
  <si>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</si>
  <si>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</si>
  <si>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</si>
  <si>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</si>
  <si>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</si>
  <si>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</si>
  <si>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</si>
  <si>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</si>
  <si>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</si>
  <si>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</si>
  <si>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</si>
  <si>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</si>
  <si>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</si>
  <si>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</si>
  <si>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</si>
  <si>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</si>
  <si>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</si>
  <si>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</si>
  <si>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</si>
  <si>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</si>
  <si>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</si>
  <si>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</si>
  <si>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</si>
  <si>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</si>
  <si>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</si>
  <si>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</si>
  <si>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</si>
  <si>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</si>
  <si>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</si>
  <si>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</si>
  <si>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</si>
  <si>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</si>
  <si>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</si>
  <si>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</si>
  <si>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</si>
  <si>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</si>
  <si>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</si>
  <si>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</si>
  <si>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</si>
  <si>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</si>
  <si>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</si>
  <si>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</si>
  <si>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</si>
  <si>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</si>
  <si>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</si>
  <si>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</si>
  <si>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</si>
  <si>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</si>
  <si>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</si>
  <si>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</si>
  <si>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</si>
  <si>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</si>
  <si>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</si>
  <si>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</si>
  <si>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</si>
  <si>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</si>
  <si>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</si>
  <si>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</si>
  <si>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</si>
  <si>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</si>
  <si>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</si>
  <si>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</si>
  <si>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</si>
  <si>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</si>
  <si>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</si>
  <si>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</si>
  <si>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</si>
  <si>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</si>
  <si>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</si>
  <si>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</si>
  <si>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</si>
  <si>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</si>
  <si>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</si>
  <si>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</si>
  <si>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</si>
  <si>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</si>
  <si>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</si>
  <si>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</si>
  <si>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</si>
  <si>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</si>
  <si>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</si>
  <si>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</si>
  <si>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</si>
  <si>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</si>
  <si>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</si>
  <si>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</si>
  <si>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</si>
  <si>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</si>
  <si>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</si>
  <si>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</si>
  <si>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</si>
  <si>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</si>
  <si>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</si>
  <si>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</si>
  <si>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</si>
  <si>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</si>
  <si>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</si>
  <si>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</si>
  <si>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</si>
  <si>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</si>
  <si>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</si>
  <si>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</si>
  <si>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</si>
  <si>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</si>
  <si>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</si>
  <si>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</si>
  <si>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</si>
  <si>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</si>
  <si>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</si>
  <si>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</si>
  <si>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</si>
  <si>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</si>
  <si>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</si>
  <si>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</si>
  <si>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</si>
  <si>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</si>
  <si>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</si>
  <si>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</si>
  <si>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</si>
  <si>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</si>
  <si>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</si>
  <si>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</si>
  <si>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</si>
  <si>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</si>
  <si>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</si>
  <si>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</si>
  <si>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</si>
  <si>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</si>
  <si>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</si>
  <si>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</si>
  <si>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</si>
  <si>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</si>
  <si>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</si>
  <si>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</si>
  <si>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</si>
  <si>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</si>
  <si>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</si>
  <si>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</si>
  <si>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</si>
  <si>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</si>
  <si>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</si>
  <si>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</si>
  <si>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</si>
  <si>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</si>
  <si>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</si>
  <si>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</si>
  <si>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</si>
  <si>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</si>
  <si>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</si>
  <si>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</si>
  <si>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</si>
  <si>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</si>
  <si>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</si>
  <si>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</si>
  <si>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</si>
  <si>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</si>
  <si>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</si>
  <si>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</si>
  <si>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</si>
  <si>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</si>
  <si>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</si>
  <si>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</si>
  <si>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</si>
  <si>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</si>
  <si>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</si>
  <si>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</si>
  <si>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</si>
  <si>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</si>
  <si>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</si>
  <si>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</si>
  <si>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</si>
  <si>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</si>
  <si>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</si>
  <si>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</si>
  <si>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</si>
  <si>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</si>
  <si>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</si>
  <si>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</si>
  <si>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</si>
  <si>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</si>
  <si>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</si>
  <si>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</si>
  <si>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</si>
  <si>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</si>
  <si>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</si>
  <si>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</si>
  <si>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</si>
  <si>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</si>
  <si>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</si>
  <si>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</si>
  <si>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</si>
  <si>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</si>
  <si>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</si>
  <si>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</si>
  <si>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</si>
  <si>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</si>
  <si>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</si>
  <si>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</si>
  <si>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</si>
  <si>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</si>
  <si>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</si>
  <si>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</si>
  <si>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</si>
  <si>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</si>
  <si>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</si>
  <si>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</si>
  <si>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</si>
  <si>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</si>
  <si>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</si>
  <si>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</si>
  <si>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</si>
  <si>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</si>
  <si>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</si>
  <si>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</si>
  <si>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</si>
  <si>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</si>
  <si>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</si>
  <si>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</si>
  <si>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</si>
  <si>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</si>
  <si>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</si>
  <si>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</si>
  <si>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</si>
  <si>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</si>
  <si>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</si>
  <si>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</si>
  <si>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</si>
  <si>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</si>
  <si>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</si>
  <si>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</si>
  <si>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</si>
  <si>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</si>
  <si>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</si>
  <si>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</si>
  <si>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</si>
  <si>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</si>
  <si>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</si>
  <si>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</si>
  <si>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</si>
  <si>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</si>
  <si>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</si>
  <si>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</si>
  <si>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</si>
  <si>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</si>
  <si>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</si>
  <si>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</si>
  <si>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</si>
  <si>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</si>
  <si>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</si>
  <si>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</si>
  <si>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</si>
  <si>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</si>
  <si>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</si>
  <si>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</si>
  <si>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</si>
  <si>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</si>
  <si>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</si>
  <si>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</si>
  <si>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</si>
  <si>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</si>
  <si>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</si>
  <si>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</si>
  <si>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</si>
  <si>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</si>
  <si>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</si>
  <si>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</si>
  <si>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</si>
  <si>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</si>
  <si>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</si>
  <si>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</si>
  <si>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</si>
  <si>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</si>
  <si>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</si>
  <si>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</si>
  <si>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</si>
  <si>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</si>
  <si>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</si>
  <si>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</si>
  <si>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</si>
  <si>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</si>
  <si>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</si>
  <si>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</si>
  <si>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</si>
  <si>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</si>
  <si>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</si>
  <si>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</si>
  <si>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</si>
  <si>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</si>
  <si>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</si>
  <si>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</si>
  <si>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</si>
  <si>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</si>
  <si>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</si>
  <si>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</si>
  <si>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</si>
  <si>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</si>
  <si>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</si>
  <si>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</si>
  <si>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</si>
  <si>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</si>
  <si>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</si>
  <si>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</si>
  <si>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</si>
  <si>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</si>
  <si>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</si>
  <si>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</si>
  <si>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</si>
  <si>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</si>
  <si>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</si>
  <si>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</si>
  <si>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</si>
  <si>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</si>
  <si>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</si>
  <si>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</si>
  <si>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</si>
  <si>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</si>
  <si>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</si>
  <si>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</si>
  <si>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</si>
  <si>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</si>
  <si>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</si>
  <si>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</si>
  <si>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</si>
  <si>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</si>
  <si>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</si>
  <si>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</si>
  <si>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</si>
  <si>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</si>
  <si>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</si>
  <si>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</si>
  <si>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</si>
  <si>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</si>
  <si>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</si>
  <si>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</si>
  <si>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</si>
  <si>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</si>
  <si>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</si>
  <si>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</si>
  <si>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</si>
  <si>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</si>
  <si>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</si>
  <si>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</si>
  <si>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</si>
  <si>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</si>
  <si>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</si>
  <si>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</si>
  <si>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</si>
  <si>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</si>
  <si>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</si>
  <si>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</si>
  <si>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</si>
  <si>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</si>
  <si>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</si>
  <si>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</si>
  <si>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</si>
  <si>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</si>
  <si>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</si>
  <si>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</si>
  <si>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</si>
  <si>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</si>
  <si>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</si>
  <si>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</si>
  <si>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</si>
  <si>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</si>
  <si>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</si>
  <si>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</si>
  <si>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</si>
  <si>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</si>
  <si>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</si>
  <si>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</si>
  <si>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</si>
  <si>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</si>
  <si>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</si>
  <si>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</si>
  <si>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</si>
  <si>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</si>
  <si>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</si>
  <si>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</si>
  <si>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</si>
  <si>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</si>
  <si>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</si>
  <si>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</si>
  <si>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</si>
  <si>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</si>
  <si>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</si>
  <si>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</si>
  <si>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</si>
  <si>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</si>
  <si>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</si>
  <si>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</si>
  <si>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</si>
  <si>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</si>
  <si>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</si>
  <si>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</si>
  <si>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</si>
  <si>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</si>
  <si>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</si>
  <si>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</si>
  <si>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</si>
  <si>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</si>
  <si>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</si>
  <si>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</si>
  <si>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</si>
  <si>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</si>
  <si>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</si>
  <si>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</si>
  <si>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</si>
  <si>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</si>
  <si>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</si>
  <si>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</si>
  <si>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</si>
  <si>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</si>
  <si>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</si>
  <si>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</si>
  <si>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</si>
  <si>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</si>
  <si>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</si>
  <si>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</si>
  <si>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</si>
  <si>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</si>
  <si>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</si>
  <si>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</si>
  <si>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</si>
  <si>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</si>
  <si>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</si>
  <si>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</si>
  <si>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</si>
  <si>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</si>
  <si>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</si>
  <si>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</si>
  <si>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</si>
  <si>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</si>
  <si>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</si>
  <si>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</si>
  <si>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</si>
  <si>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</si>
  <si>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</si>
  <si>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</si>
  <si>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</si>
  <si>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</si>
  <si>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</si>
  <si>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</si>
  <si>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</si>
  <si>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</si>
  <si>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</si>
  <si>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</si>
  <si>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</si>
  <si>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</si>
  <si>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</si>
  <si>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</si>
  <si>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</si>
  <si>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</si>
  <si>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</si>
  <si>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</si>
  <si>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</si>
  <si>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</si>
  <si>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</si>
  <si>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</si>
  <si>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</si>
  <si>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</si>
  <si>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</si>
  <si>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</si>
  <si>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</si>
  <si>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</si>
  <si>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</si>
  <si>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</si>
  <si>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</si>
  <si>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</si>
  <si>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</si>
  <si>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</si>
  <si>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</si>
  <si>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</si>
  <si>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</si>
  <si>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</si>
  <si>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</si>
  <si>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</si>
  <si>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</si>
  <si>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</si>
  <si>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</si>
  <si>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</si>
  <si>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</si>
  <si>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</si>
  <si>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</si>
  <si>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</si>
  <si>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</si>
  <si>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</si>
  <si>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</si>
  <si>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</si>
  <si>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</si>
  <si>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</si>
  <si>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</si>
  <si>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</si>
  <si>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</si>
  <si>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</si>
  <si>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</si>
  <si>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</si>
  <si>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</si>
  <si>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</si>
  <si>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</si>
  <si>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</si>
  <si>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</si>
  <si>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</si>
  <si>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</si>
  <si>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</si>
  <si>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</si>
  <si>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</si>
  <si>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</si>
  <si>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</si>
  <si>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</si>
  <si>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</si>
  <si>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</si>
  <si>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</si>
  <si>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</si>
  <si>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</si>
  <si>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</si>
  <si>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</si>
  <si>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</si>
  <si>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</si>
  <si>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</si>
  <si>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</si>
  <si>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</si>
  <si>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</si>
  <si>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</si>
  <si>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</si>
  <si>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</si>
  <si>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</si>
  <si>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</si>
  <si>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</si>
  <si>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</si>
  <si>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</si>
  <si>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</si>
  <si>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</si>
  <si>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</si>
  <si>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</si>
  <si>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</si>
  <si>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</si>
  <si>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</si>
  <si>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</si>
  <si>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</si>
  <si>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</si>
  <si>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</si>
  <si>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</si>
  <si>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</si>
  <si>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</si>
  <si>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</si>
  <si>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</si>
  <si>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</si>
  <si>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</si>
  <si>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</si>
  <si>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</si>
  <si>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</si>
  <si>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</si>
  <si>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</si>
  <si>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</si>
  <si>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</si>
  <si>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</si>
  <si>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</si>
  <si>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</si>
  <si>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</si>
  <si>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</si>
  <si>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</si>
  <si>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</si>
  <si>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</si>
  <si>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</si>
  <si>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</si>
  <si>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</si>
  <si>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</si>
  <si>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</si>
  <si>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</si>
  <si>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</si>
  <si>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</si>
  <si>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</si>
  <si>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</si>
  <si>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</si>
  <si>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</si>
  <si>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</si>
  <si>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</si>
  <si>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</si>
  <si>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</si>
  <si>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</si>
  <si>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</si>
  <si>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</si>
  <si>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</si>
  <si>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</si>
  <si>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</si>
  <si>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</si>
  <si>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</si>
  <si>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</si>
  <si>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</si>
  <si>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</si>
  <si>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</si>
  <si>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</si>
  <si>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</si>
  <si>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</si>
  <si>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</si>
  <si>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</si>
  <si>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</si>
  <si>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</si>
  <si>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</si>
  <si>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</si>
  <si>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</si>
  <si>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</si>
  <si>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</si>
  <si>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</si>
  <si>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</si>
  <si>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</si>
  <si>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</si>
  <si>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</si>
  <si>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</si>
  <si>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</si>
  <si>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</si>
  <si>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</si>
  <si>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</si>
  <si>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</si>
  <si>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</si>
  <si>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</si>
  <si>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</si>
  <si>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</si>
  <si>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</si>
  <si>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</si>
  <si>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</si>
  <si>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</si>
  <si>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</si>
  <si>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</si>
  <si>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</si>
  <si>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</si>
  <si>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</si>
  <si>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</si>
  <si>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</si>
  <si>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</si>
  <si>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</si>
  <si>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</si>
  <si>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</si>
  <si>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</si>
  <si>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</si>
  <si>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</si>
  <si>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</si>
  <si>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</si>
  <si>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</si>
  <si>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</si>
  <si>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</si>
  <si>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</si>
  <si>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</si>
  <si>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</si>
  <si>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</si>
  <si>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</si>
  <si>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</si>
  <si>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</si>
  <si>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</si>
  <si>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</si>
  <si>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</si>
  <si>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</si>
  <si>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</si>
  <si>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</si>
  <si>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</si>
  <si>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</si>
  <si>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</si>
  <si>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</si>
  <si>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</si>
  <si>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</si>
  <si>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</si>
  <si>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</si>
  <si>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</si>
  <si>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</si>
  <si>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</si>
  <si>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</si>
  <si>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</si>
  <si>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</si>
  <si>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</si>
  <si>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</si>
  <si>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</si>
  <si>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</si>
  <si>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</si>
  <si>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</si>
  <si>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</si>
  <si>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</si>
  <si>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</si>
  <si>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</si>
  <si>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</si>
  <si>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</si>
  <si>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</si>
  <si>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</si>
  <si>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</si>
  <si>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</si>
  <si>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</si>
  <si>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</si>
  <si>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</si>
  <si>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</si>
  <si>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</si>
  <si>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</si>
  <si>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</si>
  <si>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</si>
  <si>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</si>
  <si>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</si>
  <si>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</si>
  <si>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</si>
  <si>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</si>
  <si>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</si>
  <si>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</si>
  <si>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</si>
  <si>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</si>
  <si>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</si>
  <si>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</si>
  <si>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</si>
  <si>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</si>
  <si>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</si>
  <si>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</si>
  <si>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</si>
  <si>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</si>
  <si>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</si>
  <si>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</si>
  <si>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</si>
  <si>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</si>
  <si>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</si>
  <si>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</si>
  <si>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</si>
  <si>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</si>
  <si>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</si>
  <si>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</si>
  <si>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</si>
  <si>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</si>
  <si>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</si>
  <si>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</si>
  <si>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</si>
  <si>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</si>
  <si>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</si>
  <si>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</si>
  <si>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</si>
  <si>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</si>
  <si>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</si>
  <si>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</si>
  <si>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</si>
  <si>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</si>
  <si>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</si>
  <si>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</si>
  <si>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</si>
  <si>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</si>
  <si>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</si>
  <si>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</si>
  <si>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</si>
  <si>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</si>
  <si>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</si>
  <si>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</si>
  <si>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</si>
  <si>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</si>
  <si>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</si>
  <si>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</si>
  <si>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</si>
  <si>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</si>
  <si>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</si>
  <si>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</si>
  <si>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</si>
  <si>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</si>
  <si>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</si>
  <si>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</si>
  <si>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</si>
  <si>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</si>
  <si>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</si>
  <si>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</si>
  <si>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</si>
  <si>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</si>
  <si>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</si>
  <si>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</si>
  <si>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</si>
  <si>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</si>
  <si>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</si>
  <si>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</si>
  <si>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</si>
  <si>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</si>
  <si>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</si>
  <si>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</si>
  <si>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</si>
  <si>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</si>
  <si>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</si>
  <si>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</si>
  <si>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</si>
  <si>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</si>
  <si>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</si>
  <si>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</si>
  <si>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</si>
  <si>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</si>
  <si>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</si>
  <si>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</si>
  <si>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</si>
  <si>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</si>
  <si>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</si>
  <si>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</si>
  <si>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</si>
  <si>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</si>
  <si>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</si>
  <si>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</si>
  <si>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</si>
  <si>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</si>
  <si>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</si>
  <si>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</si>
  <si>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</si>
  <si>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</si>
  <si>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</si>
  <si>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</si>
  <si>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</si>
  <si>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</si>
  <si>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</si>
  <si>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</si>
  <si>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</si>
  <si>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</si>
  <si>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</si>
  <si>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</si>
  <si>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</si>
  <si>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</si>
  <si>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</si>
  <si>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</si>
  <si>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</si>
  <si>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</si>
  <si>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</si>
  <si>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</si>
  <si>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</si>
  <si>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</si>
  <si>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</si>
  <si>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</si>
  <si>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</si>
  <si>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</si>
  <si>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</si>
  <si>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</si>
  <si>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</si>
  <si>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</si>
  <si>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</si>
  <si>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</si>
  <si>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</si>
  <si>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</si>
  <si>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</si>
  <si>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</si>
  <si>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</si>
  <si>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</si>
  <si>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</si>
  <si>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</si>
  <si>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</si>
  <si>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</si>
  <si>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</si>
  <si>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</si>
  <si>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</si>
  <si>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</si>
  <si>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</si>
  <si>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</si>
  <si>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</si>
  <si>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</si>
  <si>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</si>
  <si>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</si>
  <si>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</si>
  <si>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</si>
  <si>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</si>
  <si>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</si>
  <si>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</si>
  <si>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</si>
  <si>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</si>
  <si>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</si>
  <si>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</si>
  <si>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</si>
  <si>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</si>
  <si>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</si>
  <si>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</si>
  <si>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</si>
  <si>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</si>
  <si>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</si>
  <si>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</si>
  <si>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</si>
  <si>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</si>
  <si>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</si>
  <si>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</si>
  <si>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</si>
  <si>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</si>
  <si>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</si>
  <si>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</si>
  <si>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</si>
  <si>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</si>
  <si>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</si>
  <si>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</si>
  <si>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</si>
  <si>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</si>
  <si>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</si>
  <si>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</si>
  <si>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</si>
  <si>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</si>
  <si>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</si>
  <si>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</si>
  <si>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</si>
  <si>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</si>
  <si>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</si>
  <si>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</si>
  <si>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</si>
  <si>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</si>
  <si>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</si>
  <si>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</si>
  <si>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</si>
  <si>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</si>
  <si>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</si>
  <si>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</si>
  <si>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</si>
  <si>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</si>
  <si>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</si>
  <si>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</si>
  <si>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</si>
  <si>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</si>
  <si>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</si>
  <si>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</si>
  <si>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</si>
  <si>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</si>
  <si>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</si>
  <si>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</si>
  <si>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</si>
  <si>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</si>
  <si>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</si>
  <si>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</si>
  <si>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</si>
  <si>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</si>
  <si>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</si>
  <si>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</si>
  <si>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</si>
  <si>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</si>
  <si>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</si>
  <si>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</si>
  <si>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</si>
  <si>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</si>
  <si>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</si>
  <si>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</si>
  <si>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</si>
  <si>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</si>
  <si>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</si>
  <si>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</si>
  <si>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</si>
  <si>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</si>
  <si>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</si>
  <si>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</si>
  <si>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</si>
  <si>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</si>
  <si>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</si>
  <si>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</si>
  <si>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</si>
  <si>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</si>
  <si>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</si>
  <si>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</si>
  <si>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</si>
  <si>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</si>
  <si>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</si>
  <si>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</si>
  <si>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</si>
  <si>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</si>
  <si>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</si>
  <si>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</si>
  <si>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</si>
  <si>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</si>
  <si>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</si>
  <si>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</si>
  <si>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</si>
  <si>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</si>
  <si>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</si>
  <si>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</si>
  <si>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</si>
  <si>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</si>
  <si>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</si>
  <si>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</si>
  <si>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</si>
  <si>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</si>
  <si>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</si>
  <si>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</si>
  <si>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</si>
  <si>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</si>
  <si>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</si>
  <si>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</si>
  <si>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</si>
  <si>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</si>
  <si>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</si>
  <si>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</si>
  <si>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</si>
  <si>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</si>
  <si>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</si>
  <si>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</si>
  <si>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</si>
  <si>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</si>
  <si>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</si>
  <si>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</si>
  <si>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</si>
  <si>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</si>
  <si>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</si>
  <si>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</si>
  <si>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</si>
  <si>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</si>
  <si>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</si>
  <si>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</si>
  <si>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</si>
  <si>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</si>
  <si>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</si>
  <si>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</si>
  <si>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</si>
  <si>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</si>
  <si>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</si>
  <si>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</si>
  <si>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</si>
  <si>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</si>
  <si>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</si>
  <si>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</si>
  <si>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</si>
  <si>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</si>
  <si>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</si>
  <si>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</si>
  <si>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</si>
  <si>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</si>
  <si>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</si>
  <si>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</si>
  <si>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</si>
  <si>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</si>
  <si>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</si>
  <si>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</si>
  <si>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</si>
  <si>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</si>
  <si>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</si>
  <si>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</si>
  <si>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</si>
  <si>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</si>
  <si>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</si>
  <si>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</si>
  <si>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</si>
  <si>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</si>
  <si>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</si>
  <si>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</si>
  <si>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</si>
  <si>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</si>
  <si>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</si>
  <si>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</si>
  <si>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</si>
  <si>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</si>
  <si>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</si>
  <si>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</si>
  <si>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</si>
  <si>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</si>
  <si>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</si>
  <si>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</si>
  <si>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</si>
  <si>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</si>
  <si>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</si>
  <si>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</si>
  <si>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</si>
  <si>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</si>
  <si>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</si>
  <si>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</si>
  <si>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</si>
  <si>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</si>
  <si>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</si>
  <si>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</si>
  <si>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</si>
  <si>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</si>
  <si>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</si>
  <si>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</si>
  <si>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</si>
  <si>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</si>
  <si>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</si>
  <si>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</si>
  <si>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</si>
  <si>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</si>
  <si>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</si>
  <si>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</si>
  <si>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</si>
  <si>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</si>
  <si>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</si>
  <si>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</si>
  <si>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</si>
  <si>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</si>
  <si>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</si>
  <si>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</si>
  <si>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</si>
  <si>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</si>
  <si>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</si>
  <si>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</si>
  <si>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</si>
  <si>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</si>
  <si>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</si>
  <si>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</si>
  <si>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</si>
  <si>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</si>
  <si>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</si>
  <si>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</si>
  <si>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</si>
  <si>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</si>
  <si>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</si>
  <si>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</si>
  <si>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</si>
  <si>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</si>
  <si>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</si>
  <si>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</si>
  <si>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</si>
  <si>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</si>
  <si>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</si>
  <si>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</si>
  <si>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</si>
  <si>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</si>
  <si>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</si>
  <si>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</si>
  <si>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</si>
  <si>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</si>
  <si>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</si>
  <si>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</si>
  <si>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</si>
  <si>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</si>
  <si>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</si>
  <si>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</si>
  <si>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</si>
  <si>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</si>
  <si>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</si>
  <si>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</si>
  <si>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</si>
  <si>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</si>
  <si>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</si>
  <si>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</si>
  <si>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</si>
  <si>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</si>
  <si>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</si>
  <si>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</si>
  <si>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</si>
  <si>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</si>
  <si>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</si>
  <si>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</si>
  <si>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</si>
  <si>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</si>
  <si>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</si>
  <si>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</si>
  <si>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</si>
  <si>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</si>
  <si>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</si>
  <si>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</si>
  <si>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</si>
  <si>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</si>
  <si>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</si>
  <si>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</si>
  <si>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</si>
  <si>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</si>
  <si>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</si>
  <si>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</si>
  <si>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</si>
  <si>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</si>
  <si>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</si>
  <si>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</si>
  <si>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</si>
  <si>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</si>
  <si>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</si>
  <si>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</si>
  <si>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</si>
  <si>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</si>
  <si>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</si>
  <si>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</si>
  <si>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</si>
  <si>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</si>
  <si>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</si>
  <si>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</si>
  <si>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</si>
  <si>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</si>
  <si>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</si>
  <si>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</si>
  <si>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</si>
  <si>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</si>
  <si>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</si>
  <si>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</si>
  <si>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</si>
  <si>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</si>
  <si>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</si>
  <si>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</si>
  <si>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</si>
  <si>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</si>
  <si>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</si>
  <si>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</si>
  <si>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</si>
  <si>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</si>
  <si>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</si>
  <si>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</si>
  <si>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</si>
  <si>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</si>
  <si>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</si>
  <si>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</si>
  <si>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</si>
  <si>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</si>
  <si>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</si>
  <si>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</si>
  <si>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</si>
  <si>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</si>
  <si>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</si>
  <si>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</si>
  <si>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</si>
  <si>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</si>
  <si>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</si>
  <si>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</si>
  <si>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</si>
  <si>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</si>
  <si>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</si>
  <si>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</si>
  <si>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</si>
  <si>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</si>
  <si>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</si>
  <si>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</si>
  <si>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</si>
  <si>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</si>
  <si>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</si>
  <si>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</si>
  <si>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</si>
  <si>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</si>
  <si>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</si>
  <si>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</si>
  <si>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</si>
  <si>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</si>
  <si>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</si>
  <si>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</si>
  <si>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</si>
  <si>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</si>
  <si>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</si>
  <si>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</si>
  <si>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</si>
  <si>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</si>
  <si>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</si>
  <si>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</si>
  <si>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</si>
  <si>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</si>
  <si>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</si>
  <si>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</si>
  <si>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</si>
  <si>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</si>
  <si>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</si>
  <si>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</si>
  <si>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</si>
  <si>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</si>
  <si>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</si>
  <si>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</si>
  <si>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</si>
  <si>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</si>
  <si>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</si>
  <si>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</si>
  <si>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</si>
  <si>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</si>
  <si>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</si>
  <si>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</si>
  <si>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</si>
  <si>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</si>
  <si>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</si>
  <si>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</si>
  <si>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</si>
  <si>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</si>
  <si>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</si>
  <si>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</si>
  <si>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</si>
  <si>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</si>
  <si>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</si>
  <si>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</si>
  <si>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</si>
  <si>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</si>
  <si>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</si>
  <si>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</si>
  <si>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</si>
  <si>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</si>
  <si>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</si>
  <si>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</si>
  <si>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</si>
  <si>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</si>
  <si>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</si>
  <si>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</si>
  <si>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</si>
  <si>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</si>
  <si>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</si>
  <si>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</si>
  <si>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</si>
  <si>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</si>
  <si>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</si>
  <si>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</si>
  <si>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</si>
  <si>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</si>
  <si>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</si>
  <si>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</si>
  <si>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</si>
  <si>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</si>
  <si>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</si>
  <si>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</si>
  <si>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</si>
  <si>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</si>
  <si>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</si>
  <si>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</si>
  <si>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</si>
  <si>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</si>
  <si>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</si>
  <si>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</si>
  <si>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</si>
  <si>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</si>
  <si>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</si>
  <si>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</si>
  <si>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</si>
  <si>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</si>
  <si>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</si>
  <si>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</si>
  <si>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</si>
  <si>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</si>
  <si>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</si>
  <si>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</si>
  <si>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</si>
  <si>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</si>
  <si>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</si>
  <si>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</si>
  <si>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</si>
  <si>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</si>
  <si>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</si>
  <si>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</si>
  <si>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</si>
  <si>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</si>
  <si>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</si>
  <si>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</si>
  <si>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</si>
  <si>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</si>
  <si>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</si>
  <si>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</si>
  <si>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</si>
  <si>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</si>
  <si>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</si>
  <si>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</si>
  <si>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</si>
  <si>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</si>
  <si>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</si>
  <si>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</si>
  <si>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</si>
  <si>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</si>
  <si>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</si>
  <si>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</si>
  <si>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</si>
  <si>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</si>
  <si>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</si>
  <si>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</si>
  <si>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</si>
  <si>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</si>
  <si>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</si>
  <si>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</si>
  <si>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</si>
  <si>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</si>
  <si>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</si>
  <si>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</si>
  <si>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</si>
  <si>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</si>
  <si>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</si>
  <si>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</si>
  <si>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</si>
  <si>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</si>
  <si>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</si>
  <si>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</si>
  <si>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</si>
  <si>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</si>
  <si>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</si>
  <si>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</si>
  <si>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</si>
  <si>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</si>
  <si>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</si>
  <si>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</si>
  <si>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</si>
  <si>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</si>
  <si>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</si>
  <si>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</si>
  <si>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</si>
  <si>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</si>
  <si>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</si>
  <si>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</si>
  <si>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</si>
  <si>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</si>
  <si>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</si>
  <si>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</si>
  <si>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</si>
  <si>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</si>
  <si>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</si>
  <si>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</si>
  <si>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</si>
  <si>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</si>
  <si>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</si>
  <si>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</si>
  <si>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</si>
  <si>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</si>
  <si>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</si>
  <si>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</si>
  <si>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</si>
  <si>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</si>
  <si>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</si>
  <si>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</si>
  <si>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</si>
  <si>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</si>
  <si>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</si>
  <si>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</si>
  <si>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</si>
  <si>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</si>
  <si>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</si>
  <si>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</si>
  <si>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</si>
  <si>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</si>
  <si>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</si>
  <si>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</si>
  <si>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</si>
  <si>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</si>
  <si>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</si>
  <si>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</si>
  <si>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</si>
  <si>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</si>
  <si>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</si>
  <si>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</si>
  <si>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</si>
  <si>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</si>
  <si>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</si>
  <si>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</si>
  <si>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</si>
  <si>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</si>
  <si>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</si>
  <si>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</si>
  <si>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</si>
  <si>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</si>
  <si>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</si>
  <si>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</si>
  <si>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</si>
  <si>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</si>
  <si>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</si>
  <si>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</si>
  <si>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</si>
  <si>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</si>
  <si>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</si>
  <si>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</si>
  <si>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</si>
  <si>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</si>
  <si>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</si>
  <si>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</si>
  <si>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</si>
  <si>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</si>
  <si>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</si>
  <si>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</si>
  <si>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</si>
  <si>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</si>
  <si>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</si>
  <si>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</si>
  <si>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</si>
  <si>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</si>
  <si>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</si>
  <si>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</si>
  <si>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</si>
  <si>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</si>
  <si>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</si>
  <si>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</si>
  <si>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</si>
  <si>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</si>
  <si>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</si>
  <si>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</si>
  <si>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</si>
  <si>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</si>
  <si>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</si>
  <si>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</si>
  <si>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</si>
  <si>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</si>
  <si>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</si>
  <si>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</si>
  <si>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</si>
  <si>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</si>
  <si>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</si>
  <si>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</si>
  <si>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</si>
  <si>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</si>
  <si>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</si>
  <si>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</si>
  <si>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</si>
  <si>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</si>
  <si>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</si>
  <si>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</si>
  <si>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</si>
  <si>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</si>
  <si>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</si>
  <si>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</si>
  <si>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</si>
  <si>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</si>
  <si>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</si>
  <si>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</si>
  <si>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</si>
  <si>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</si>
  <si>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</si>
  <si>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</si>
  <si>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</si>
  <si>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</si>
  <si>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</si>
  <si>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</si>
  <si>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</si>
  <si>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</si>
  <si>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</si>
  <si>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</si>
  <si>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</si>
  <si>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</si>
  <si>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</si>
  <si>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</si>
  <si>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</si>
  <si>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</si>
  <si>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</si>
  <si>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</si>
  <si>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</si>
  <si>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</si>
  <si>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</si>
  <si>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</si>
  <si>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</si>
  <si>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</si>
  <si>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</si>
  <si>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</si>
  <si>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</si>
  <si>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</si>
  <si>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</si>
  <si>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</si>
  <si>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</si>
  <si>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</si>
  <si>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</si>
  <si>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</si>
  <si>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</si>
  <si>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</si>
  <si>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</si>
  <si>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</si>
  <si>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</si>
  <si>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</si>
  <si>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</si>
  <si>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</si>
  <si>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</si>
  <si>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</si>
  <si>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</si>
  <si>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</si>
  <si>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</si>
  <si>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</si>
  <si>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</si>
  <si>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</si>
  <si>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</si>
  <si>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</si>
  <si>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</si>
  <si>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</si>
  <si>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</si>
  <si>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</si>
  <si>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</si>
  <si>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</si>
  <si>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</si>
  <si>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</si>
  <si>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</si>
  <si>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</si>
  <si>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</si>
  <si>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</si>
  <si>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</si>
  <si>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</si>
  <si>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</si>
  <si>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</si>
  <si>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</si>
  <si>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</si>
  <si>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</si>
  <si>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</si>
  <si>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</si>
  <si>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</si>
  <si>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</si>
  <si>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</si>
  <si>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</si>
  <si>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</si>
  <si>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</si>
  <si>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</si>
  <si>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</si>
  <si>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</si>
  <si>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</si>
  <si>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</si>
  <si>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</si>
  <si>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</si>
  <si>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</si>
  <si>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</si>
  <si>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</si>
  <si>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</si>
  <si>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</si>
  <si>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</si>
  <si>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</si>
  <si>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</si>
  <si>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</si>
  <si>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</si>
  <si>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</si>
  <si>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</si>
  <si>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</si>
  <si>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</si>
  <si>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</si>
  <si>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</si>
  <si>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</si>
  <si>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</si>
  <si>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</si>
  <si>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</si>
  <si>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</si>
  <si>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</si>
  <si>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</si>
  <si>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</si>
  <si>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</si>
  <si>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</si>
  <si>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</si>
  <si>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</si>
  <si>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</si>
  <si>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</si>
  <si>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</si>
  <si>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</si>
  <si>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</si>
  <si>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</si>
  <si>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</si>
  <si>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</si>
  <si>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</si>
  <si>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</si>
  <si>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</si>
  <si>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</si>
  <si>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</si>
  <si>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</si>
  <si>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</si>
  <si>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</si>
  <si>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</si>
  <si>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</si>
  <si>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</si>
  <si>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</si>
  <si>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</si>
  <si>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</si>
  <si>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</si>
  <si>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</si>
  <si>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</si>
  <si>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</si>
  <si>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</si>
  <si>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</si>
  <si>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</si>
  <si>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</si>
  <si>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</si>
  <si>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</si>
  <si>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</si>
  <si>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</si>
  <si>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</si>
  <si>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</si>
  <si>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</si>
  <si>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</si>
  <si>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</si>
  <si>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</si>
  <si>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</si>
  <si>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</si>
  <si>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</si>
  <si>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</si>
  <si>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</si>
  <si>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</si>
  <si>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</si>
  <si>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</si>
  <si>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</si>
  <si>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</si>
  <si>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</si>
  <si>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</si>
  <si>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</si>
  <si>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</si>
  <si>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</si>
  <si>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</si>
  <si>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</si>
  <si>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</si>
  <si>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</si>
  <si>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</si>
  <si>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</si>
  <si>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</si>
  <si>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</si>
  <si>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</si>
  <si>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</si>
  <si>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</si>
  <si>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</si>
  <si>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</si>
  <si>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</si>
  <si>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</si>
  <si>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</si>
  <si>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</si>
  <si>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</si>
  <si>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</si>
  <si>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</si>
  <si>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</si>
  <si>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</si>
  <si>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</si>
  <si>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</si>
  <si>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</si>
  <si>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</si>
  <si>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</si>
  <si>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</si>
  <si>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</si>
  <si>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</si>
  <si>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</si>
  <si>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</si>
  <si>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</si>
  <si>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</si>
  <si>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</si>
  <si>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</si>
  <si>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</si>
  <si>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</si>
  <si>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</si>
  <si>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</si>
  <si>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</si>
  <si>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</si>
  <si>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</si>
  <si>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</si>
  <si>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</si>
  <si>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</si>
  <si>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</si>
  <si>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</si>
  <si>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</si>
  <si>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</si>
  <si>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</si>
  <si>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</si>
  <si>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</si>
  <si>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</si>
  <si>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</si>
  <si>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</si>
  <si>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</si>
  <si>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</si>
  <si>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</si>
  <si>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</si>
  <si>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</si>
  <si>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</si>
  <si>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</si>
  <si>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</si>
  <si>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</si>
  <si>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</si>
  <si>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</si>
  <si>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</si>
  <si>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</si>
  <si>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</si>
  <si>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</si>
  <si>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</si>
  <si>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</si>
  <si>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</si>
  <si>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</si>
  <si>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</si>
  <si>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</si>
  <si>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</si>
  <si>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</si>
  <si>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</si>
  <si>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</si>
  <si>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</si>
  <si>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</si>
  <si>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</si>
  <si>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</si>
  <si>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</si>
  <si>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</si>
  <si>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</si>
  <si>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</si>
  <si>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</si>
  <si>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</si>
  <si>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</si>
  <si>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</si>
  <si>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</si>
  <si>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</si>
  <si>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</si>
  <si>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</si>
  <si>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</si>
  <si>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</si>
  <si>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</si>
  <si>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</si>
  <si>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</si>
  <si>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</si>
  <si>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</si>
  <si>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</si>
  <si>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</si>
  <si>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</si>
  <si>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</si>
  <si>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</si>
  <si>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</si>
  <si>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</si>
  <si>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</si>
  <si>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</si>
  <si>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</si>
  <si>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</si>
  <si>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</si>
  <si>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</si>
  <si>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</si>
  <si>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</si>
  <si>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</si>
  <si>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</si>
  <si>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</si>
  <si>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</si>
  <si>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</si>
  <si>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</si>
  <si>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</si>
  <si>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</si>
  <si>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</si>
  <si>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</si>
  <si>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</si>
  <si>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</si>
  <si>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</si>
  <si>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</si>
  <si>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</si>
  <si>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</si>
  <si>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</si>
  <si>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</si>
  <si>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</si>
  <si>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</si>
  <si>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</si>
  <si>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</si>
  <si>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</si>
  <si>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</si>
  <si>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</si>
  <si>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</si>
  <si>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</si>
  <si>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</si>
  <si>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</si>
  <si>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</si>
  <si>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</si>
  <si>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</si>
  <si>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</si>
  <si>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</si>
  <si>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</si>
  <si>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</si>
  <si>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</si>
  <si>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</si>
  <si>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</si>
  <si>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</si>
  <si>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</si>
  <si>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</si>
  <si>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</si>
  <si>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</si>
  <si>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</si>
  <si>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</si>
  <si>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</si>
  <si>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</si>
  <si>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</si>
  <si>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</si>
  <si>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</si>
  <si>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</si>
  <si>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</si>
  <si>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</si>
  <si>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</si>
  <si>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</si>
  <si>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</si>
  <si>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</si>
  <si>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</si>
  <si>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</si>
  <si>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</si>
  <si>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</si>
  <si>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</si>
  <si>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</si>
  <si>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</si>
  <si>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</si>
  <si>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</si>
  <si>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</si>
  <si>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</si>
  <si>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</si>
  <si>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</si>
  <si>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</si>
  <si>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</si>
  <si>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</si>
  <si>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</si>
  <si>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</si>
  <si>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</si>
  <si>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</si>
  <si>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</si>
  <si>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</si>
  <si>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</si>
  <si>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</si>
  <si>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</si>
  <si>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</si>
  <si>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</si>
  <si>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</si>
  <si>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</si>
  <si>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</si>
  <si>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</si>
  <si>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</si>
  <si>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</si>
  <si>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</si>
  <si>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</si>
  <si>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</si>
  <si>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</si>
  <si>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</si>
  <si>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</si>
  <si>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</si>
  <si>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</si>
  <si>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</si>
  <si>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</si>
  <si>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</si>
  <si>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</si>
  <si>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</si>
  <si>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</si>
  <si>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</si>
  <si>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</si>
  <si>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</si>
  <si>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</si>
  <si>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</si>
  <si>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</si>
  <si>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</si>
  <si>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</si>
  <si>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</si>
  <si>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</si>
  <si>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</si>
  <si>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</si>
  <si>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</si>
  <si>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</si>
  <si>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</si>
  <si>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</si>
  <si>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</si>
  <si>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</si>
  <si>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</si>
  <si>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</si>
  <si>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</si>
  <si>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</si>
  <si>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</si>
  <si>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</si>
  <si>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</si>
  <si>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</si>
  <si>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</si>
  <si>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</si>
  <si>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</si>
  <si>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</si>
  <si>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</si>
  <si>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</si>
  <si>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</si>
  <si>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</si>
  <si>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</si>
  <si>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</si>
  <si>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</si>
  <si>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</si>
  <si>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</si>
  <si>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</si>
  <si>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</si>
  <si>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</si>
  <si>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</si>
  <si>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</si>
  <si>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</si>
  <si>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</si>
  <si>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</si>
  <si>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</si>
  <si>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</si>
  <si>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</si>
  <si>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</si>
  <si>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</si>
  <si>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</si>
  <si>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</si>
  <si>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</si>
  <si>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</si>
  <si>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</si>
  <si>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</si>
  <si>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</si>
  <si>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</si>
  <si>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</si>
  <si>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</si>
  <si>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</si>
  <si>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</si>
  <si>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</si>
  <si>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</si>
  <si>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</si>
  <si>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</si>
  <si>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</si>
  <si>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</si>
  <si>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</si>
  <si>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</si>
  <si>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</si>
  <si>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</si>
  <si>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</si>
  <si>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</si>
  <si>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</si>
  <si>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</si>
  <si>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</si>
  <si>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</si>
  <si>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</si>
  <si>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</si>
  <si>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</si>
  <si>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</si>
  <si>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</si>
  <si>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</si>
  <si>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</si>
  <si>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</si>
  <si>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</si>
  <si>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</si>
  <si>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</si>
  <si>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</si>
  <si>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</si>
  <si>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</si>
  <si>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</si>
  <si>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</si>
  <si>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</si>
  <si>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</si>
  <si>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</si>
  <si>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</si>
  <si>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</si>
  <si>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</si>
  <si>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</si>
  <si>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</si>
  <si>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</si>
  <si>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</si>
  <si>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</si>
  <si>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</si>
  <si>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</si>
  <si>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</si>
  <si>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</si>
  <si>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</si>
  <si>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</si>
  <si>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</si>
  <si>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</si>
  <si>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</si>
  <si>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</si>
  <si>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</si>
  <si>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</si>
  <si>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</si>
  <si>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</si>
  <si>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</si>
  <si>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</si>
  <si>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</si>
  <si>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</si>
  <si>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</si>
  <si>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</si>
  <si>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</si>
  <si>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</si>
  <si>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</si>
  <si>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</si>
  <si>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</si>
  <si>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</si>
  <si>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</si>
  <si>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</si>
  <si>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</si>
  <si>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</si>
  <si>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</si>
  <si>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</si>
  <si>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</si>
  <si>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</si>
  <si>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</si>
  <si>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</si>
  <si>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</si>
  <si>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</si>
  <si>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</si>
  <si>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</si>
  <si>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</si>
  <si>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</si>
  <si>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</si>
  <si>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</si>
  <si>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</si>
  <si>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</si>
  <si>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</si>
  <si>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</si>
  <si>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</si>
  <si>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</si>
  <si>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</si>
  <si>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</si>
  <si>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</si>
  <si>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</si>
  <si>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</si>
  <si>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</si>
  <si>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</si>
  <si>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</si>
  <si>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</si>
  <si>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</si>
  <si>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</si>
  <si>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</si>
  <si>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</si>
  <si>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</si>
  <si>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</si>
  <si>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</si>
  <si>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</si>
  <si>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</si>
  <si>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</si>
  <si>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</si>
  <si>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</si>
  <si>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</si>
  <si>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</si>
  <si>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</si>
  <si>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</si>
  <si>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</si>
  <si>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</si>
  <si>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</si>
  <si>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</si>
  <si>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</si>
  <si>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</si>
  <si>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</si>
  <si>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</si>
  <si>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</si>
  <si>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</si>
  <si>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</si>
  <si>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</si>
  <si>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</si>
  <si>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</si>
  <si>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</si>
  <si>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</si>
  <si>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</si>
  <si>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</si>
  <si>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</si>
  <si>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</si>
  <si>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</si>
  <si>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</si>
  <si>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</si>
  <si>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</si>
  <si>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</si>
  <si>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</si>
  <si>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</si>
  <si>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</si>
  <si>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</si>
  <si>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</si>
  <si>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</si>
  <si>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</si>
  <si>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</si>
  <si>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</si>
  <si>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</si>
  <si>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</si>
  <si>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</si>
  <si>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</si>
  <si>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</si>
  <si>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</si>
  <si>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</si>
  <si>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</si>
  <si>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</si>
  <si>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</si>
  <si>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</si>
  <si>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</si>
  <si>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</si>
  <si>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</si>
  <si>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</si>
  <si>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</si>
  <si>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</si>
  <si>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</si>
  <si>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</si>
  <si>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</si>
  <si>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</si>
  <si>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</si>
  <si>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</si>
  <si>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</si>
  <si>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</si>
  <si>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</si>
  <si>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</si>
  <si>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</si>
  <si>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</si>
  <si>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</si>
  <si>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</si>
  <si>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</si>
  <si>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</si>
  <si>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</si>
  <si>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</si>
  <si>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</si>
  <si>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</si>
  <si>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</si>
  <si>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</si>
  <si>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</si>
  <si>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</si>
  <si>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</si>
  <si>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</si>
  <si>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</si>
  <si>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</si>
  <si>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</si>
  <si>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</si>
  <si>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</si>
  <si>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</si>
  <si>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</si>
  <si>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</si>
  <si>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</si>
  <si>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</si>
  <si>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</si>
  <si>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</si>
  <si>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</si>
  <si>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</si>
  <si>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</si>
  <si>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</si>
  <si>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</si>
  <si>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</si>
  <si>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</si>
  <si>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</si>
  <si>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</si>
  <si>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</si>
  <si>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</si>
  <si>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</si>
  <si>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</si>
  <si>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</si>
  <si>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</si>
  <si>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</si>
  <si>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</si>
  <si>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</si>
  <si>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</si>
  <si>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</si>
  <si>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</si>
  <si>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</si>
  <si>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</si>
  <si>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</si>
  <si>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</si>
  <si>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</si>
  <si>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</si>
  <si>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</si>
  <si>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</si>
  <si>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</si>
  <si>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</si>
  <si>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</si>
  <si>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</si>
  <si>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</si>
  <si>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</si>
  <si>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</si>
  <si>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</si>
  <si>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</si>
  <si>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</si>
  <si>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</si>
  <si>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</si>
  <si>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</si>
  <si>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</si>
  <si>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</si>
  <si>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</si>
  <si>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</si>
  <si>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</si>
  <si>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</si>
  <si>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</si>
  <si>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</si>
  <si>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</si>
  <si>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</si>
  <si>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</si>
  <si>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</si>
  <si>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</si>
  <si>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</si>
  <si>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</si>
  <si>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</si>
  <si>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</si>
  <si>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</si>
  <si>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</si>
  <si>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</si>
  <si>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</si>
  <si>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</si>
  <si>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</si>
  <si>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</si>
  <si>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</si>
  <si>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</si>
  <si>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</si>
  <si>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</si>
  <si>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</si>
  <si>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</si>
  <si>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</si>
  <si>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</si>
  <si>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</si>
  <si>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</si>
  <si>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</si>
  <si>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</si>
  <si>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</si>
  <si>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</si>
  <si>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</si>
  <si>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</si>
  <si>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</si>
  <si>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</si>
  <si>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</si>
  <si>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</si>
  <si>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</si>
  <si>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2025-09-10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</si>
  <si>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</si>
  <si>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</si>
  <si>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</si>
  <si>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</si>
  <si>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</si>
  <si>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</si>
  <si>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</si>
  <si>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</si>
  <si>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</si>
  <si>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</si>
  <si>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</si>
  <si>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</si>
  <si>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</si>
  <si>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</si>
  <si>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</si>
  <si>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</si>
  <si>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</si>
  <si>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</si>
  <si>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</si>
  <si>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</si>
  <si>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경남오토미션(창원)_250910_163329.xlsx</t>
    <phoneticPr fontId="2" type="noConversion"/>
  </si>
  <si>
    <t>O</t>
    <phoneticPr fontId="2" type="noConversion"/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</si>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</sst>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5400000</c:v>
                </c:pt>
                <c:pt idx="1">
                  <c:v>4408000</c:v>
                </c:pt>
                <c:pt idx="2">
                  <c:v>3520000</c:v>
                </c:pt>
                <c:pt idx="3">
                  <c:v>4140000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2614000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7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8</c:v>
                      </c:pt>
                      <c:pt idx="8">
                        <c:v>14</c:v>
                      </c:pt>
                      <c:pt idx="9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0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2235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45910</v>
      </c>
      <c r="U2" s="309"/>
    </row>
    <row r="3" spans="1:21" ht="24.95" customHeight="1" x14ac:dyDescent="0.3">
      <c r="A3" s="376" t="s">
        <v>1172</v>
      </c>
      <c r="B3" s="37" t="s">
        <v>59</v>
      </c>
      <c r="C3" s="379" t="s">
        <v>1286</v>
      </c>
      <c r="D3" s="380"/>
      <c r="E3" s="380"/>
      <c r="F3" s="380"/>
      <c r="G3" s="380"/>
      <c r="H3" s="380"/>
      <c r="I3" s="380"/>
      <c r="J3" s="381"/>
      <c r="K3" s="382" t="s">
        <v>1173</v>
      </c>
      <c r="L3" s="37" t="s">
        <v>59</v>
      </c>
      <c r="M3" s="385" t="s">
        <v>964</v>
      </c>
      <c r="N3" s="386"/>
      <c r="O3" s="386"/>
      <c r="P3" s="386"/>
      <c r="Q3" s="386"/>
      <c r="R3" s="386"/>
      <c r="S3" s="386"/>
      <c r="T3" s="386"/>
      <c r="U3" s="387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391" t="s">
        <v>73</v>
      </c>
      <c r="U4" s="394"/>
    </row>
    <row r="5" spans="1:21" ht="24.95" customHeight="1" x14ac:dyDescent="0.3">
      <c r="A5" s="377"/>
      <c r="B5" s="38" t="s">
        <v>10</v>
      </c>
      <c r="C5" s="391" t="s">
        <v>1287</v>
      </c>
      <c r="D5" s="392"/>
      <c r="E5" s="392"/>
      <c r="F5" s="392"/>
      <c r="G5" s="392"/>
      <c r="H5" s="392"/>
      <c r="I5" s="392"/>
      <c r="J5" s="393"/>
      <c r="K5" s="383"/>
      <c r="L5" s="38" t="s">
        <v>10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24.95" customHeight="1" x14ac:dyDescent="0.3">
      <c r="A6" s="378"/>
      <c r="B6" s="38" t="s">
        <v>75</v>
      </c>
      <c r="C6" s="391" t="s">
        <v>1800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32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44</v>
      </c>
      <c r="G7" s="311"/>
      <c r="H7" s="311"/>
      <c r="I7" s="373"/>
      <c r="J7" s="374" t="s">
        <v>42</v>
      </c>
      <c r="K7" s="311"/>
      <c r="L7" s="311"/>
      <c r="M7" s="311"/>
      <c r="N7" s="373"/>
      <c r="O7" s="311" t="s">
        <v>50</v>
      </c>
      <c r="P7" s="373"/>
      <c r="Q7" s="374" t="s">
        <v>69</v>
      </c>
      <c r="R7" s="311"/>
      <c r="S7" s="373"/>
      <c r="T7" s="374" t="s">
        <v>68</v>
      </c>
      <c r="U7" s="375"/>
    </row>
    <row r="8" spans="1:21" ht="15.6" customHeight="1" x14ac:dyDescent="0.3">
      <c r="A8" s="417" t="s">
        <v>2447</v>
      </c>
      <c r="B8" s="418"/>
      <c r="C8" s="418"/>
      <c r="D8" s="418"/>
      <c r="E8" s="419"/>
      <c r="F8" s="420"/>
      <c r="G8" s="418"/>
      <c r="H8" s="418"/>
      <c r="I8" s="419"/>
      <c r="J8" s="426">
        <v>600000</v>
      </c>
      <c r="K8" s="426"/>
      <c r="L8" s="426"/>
      <c r="M8" s="426"/>
      <c r="N8" s="426"/>
      <c r="O8" s="427">
        <v>1</v>
      </c>
      <c r="P8" s="427"/>
      <c r="Q8" s="421"/>
      <c r="R8" s="422"/>
      <c r="S8" s="423"/>
      <c r="T8" s="424">
        <v>600000</v>
      </c>
      <c r="U8" s="425"/>
    </row>
    <row r="9" spans="1:21" ht="15.6" customHeight="1" x14ac:dyDescent="0.3">
      <c r="A9" s="406" t="s">
        <v>3495</v>
      </c>
      <c r="B9" s="407"/>
      <c r="C9" s="407"/>
      <c r="D9" s="407"/>
      <c r="E9" s="408"/>
      <c r="F9" s="409" t="s">
        <v>1214</v>
      </c>
      <c r="G9" s="407"/>
      <c r="H9" s="407"/>
      <c r="I9" s="408"/>
      <c r="J9" s="415">
        <v>540000</v>
      </c>
      <c r="K9" s="415"/>
      <c r="L9" s="415"/>
      <c r="M9" s="415"/>
      <c r="N9" s="415"/>
      <c r="O9" s="416">
        <v>1</v>
      </c>
      <c r="P9" s="416"/>
      <c r="Q9" s="410"/>
      <c r="R9" s="411"/>
      <c r="S9" s="412"/>
      <c r="T9" s="413">
        <v>540000</v>
      </c>
      <c r="U9" s="414"/>
    </row>
    <row r="10" spans="1:21" ht="15.6" customHeight="1" x14ac:dyDescent="0.3">
      <c r="A10" s="406" t="s">
        <v>2204</v>
      </c>
      <c r="B10" s="407"/>
      <c r="C10" s="407"/>
      <c r="D10" s="407"/>
      <c r="E10" s="408"/>
      <c r="F10" s="409" t="s">
        <v>1833</v>
      </c>
      <c r="G10" s="407"/>
      <c r="H10" s="407"/>
      <c r="I10" s="408"/>
      <c r="J10" s="415">
        <v>10000</v>
      </c>
      <c r="K10" s="415"/>
      <c r="L10" s="415"/>
      <c r="M10" s="415"/>
      <c r="N10" s="415"/>
      <c r="O10" s="416">
        <v>1</v>
      </c>
      <c r="P10" s="416"/>
      <c r="Q10" s="410"/>
      <c r="R10" s="411"/>
      <c r="S10" s="412"/>
      <c r="T10" s="413">
        <v>10000</v>
      </c>
      <c r="U10" s="414"/>
    </row>
    <row r="11" spans="1:21" ht="15.6" customHeight="1" x14ac:dyDescent="0.3">
      <c r="A11" s="406" t="s">
        <v>2203</v>
      </c>
      <c r="B11" s="407"/>
      <c r="C11" s="407"/>
      <c r="D11" s="407"/>
      <c r="E11" s="408"/>
      <c r="F11" s="409" t="s">
        <v>1804</v>
      </c>
      <c r="G11" s="407"/>
      <c r="H11" s="407"/>
      <c r="I11" s="408"/>
      <c r="J11" s="415">
        <v>35000</v>
      </c>
      <c r="K11" s="415"/>
      <c r="L11" s="415"/>
      <c r="M11" s="415"/>
      <c r="N11" s="415"/>
      <c r="O11" s="416">
        <v>1</v>
      </c>
      <c r="P11" s="416"/>
      <c r="Q11" s="410"/>
      <c r="R11" s="411"/>
      <c r="S11" s="412"/>
      <c r="T11" s="413">
        <v>35000</v>
      </c>
      <c r="U11" s="414"/>
    </row>
    <row r="12" spans="1:21" ht="15.6" customHeight="1" x14ac:dyDescent="0.3">
      <c r="A12" s="406" t="s">
        <v>1527</v>
      </c>
      <c r="B12" s="407"/>
      <c r="C12" s="407"/>
      <c r="D12" s="407"/>
      <c r="E12" s="408"/>
      <c r="F12" s="409"/>
      <c r="G12" s="407"/>
      <c r="H12" s="407"/>
      <c r="I12" s="408"/>
      <c r="J12" s="415">
        <v>20000</v>
      </c>
      <c r="K12" s="415"/>
      <c r="L12" s="415"/>
      <c r="M12" s="415"/>
      <c r="N12" s="415"/>
      <c r="O12" s="416">
        <v>1</v>
      </c>
      <c r="P12" s="416"/>
      <c r="Q12" s="410"/>
      <c r="R12" s="411"/>
      <c r="S12" s="412"/>
      <c r="T12" s="413">
        <v>20000</v>
      </c>
      <c r="U12" s="414"/>
    </row>
    <row r="13" spans="1:21" ht="15.6" customHeight="1" x14ac:dyDescent="0.3">
      <c r="A13" s="406"/>
      <c r="B13" s="407"/>
      <c r="C13" s="407"/>
      <c r="D13" s="407"/>
      <c r="E13" s="408"/>
      <c r="F13" s="409"/>
      <c r="G13" s="407"/>
      <c r="H13" s="407"/>
      <c r="I13" s="408"/>
      <c r="J13" s="415"/>
      <c r="K13" s="415"/>
      <c r="L13" s="415"/>
      <c r="M13" s="415"/>
      <c r="N13" s="415"/>
      <c r="O13" s="416"/>
      <c r="P13" s="416"/>
      <c r="Q13" s="410"/>
      <c r="R13" s="411"/>
      <c r="S13" s="412"/>
      <c r="T13" s="413"/>
      <c r="U13" s="414"/>
    </row>
    <row r="14" spans="1:21" ht="15.6" customHeight="1" x14ac:dyDescent="0.3">
      <c r="A14" s="406"/>
      <c r="B14" s="407"/>
      <c r="C14" s="407"/>
      <c r="D14" s="407"/>
      <c r="E14" s="408"/>
      <c r="F14" s="409"/>
      <c r="G14" s="407"/>
      <c r="H14" s="407"/>
      <c r="I14" s="408"/>
      <c r="J14" s="415"/>
      <c r="K14" s="415"/>
      <c r="L14" s="415"/>
      <c r="M14" s="415"/>
      <c r="N14" s="415"/>
      <c r="O14" s="416"/>
      <c r="P14" s="416"/>
      <c r="Q14" s="410"/>
      <c r="R14" s="411"/>
      <c r="S14" s="412"/>
      <c r="T14" s="413"/>
      <c r="U14" s="414"/>
    </row>
    <row r="15" spans="1:21" ht="15.6" customHeight="1" thickBot="1" x14ac:dyDescent="0.35">
      <c r="A15" s="395"/>
      <c r="B15" s="396"/>
      <c r="C15" s="396"/>
      <c r="D15" s="396"/>
      <c r="E15" s="397"/>
      <c r="F15" s="398"/>
      <c r="G15" s="396"/>
      <c r="H15" s="396"/>
      <c r="I15" s="397"/>
      <c r="J15" s="404"/>
      <c r="K15" s="404"/>
      <c r="L15" s="404"/>
      <c r="M15" s="404"/>
      <c r="N15" s="404"/>
      <c r="O15" s="405"/>
      <c r="P15" s="405"/>
      <c r="Q15" s="399"/>
      <c r="R15" s="400"/>
      <c r="S15" s="401"/>
      <c r="T15" s="402"/>
      <c r="U15" s="403"/>
    </row>
    <row r="16" spans="1:21" ht="15" customHeight="1" thickTop="1" x14ac:dyDescent="0.3">
      <c r="A16" s="326" t="s">
        <v>2329</v>
      </c>
      <c r="B16" s="327"/>
      <c r="C16" s="327"/>
      <c r="D16" s="327"/>
      <c r="E16" s="328"/>
      <c r="F16" s="335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7"/>
    </row>
    <row r="17" spans="1:21" ht="15" customHeight="1" x14ac:dyDescent="0.3">
      <c r="A17" s="329"/>
      <c r="B17" s="330"/>
      <c r="C17" s="330"/>
      <c r="D17" s="330"/>
      <c r="E17" s="331"/>
      <c r="F17" s="338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9"/>
      <c r="U17" s="340"/>
    </row>
    <row r="18" spans="1:21" ht="15" customHeight="1" x14ac:dyDescent="0.3">
      <c r="A18" s="329"/>
      <c r="B18" s="330"/>
      <c r="C18" s="330"/>
      <c r="D18" s="330"/>
      <c r="E18" s="331"/>
      <c r="F18" s="338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40"/>
    </row>
    <row r="19" spans="1:21" ht="15" customHeight="1" x14ac:dyDescent="0.3">
      <c r="A19" s="332"/>
      <c r="B19" s="333"/>
      <c r="C19" s="333"/>
      <c r="D19" s="333"/>
      <c r="E19" s="334"/>
      <c r="F19" s="341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3"/>
    </row>
    <row r="20" spans="1:21" ht="20.100000000000001" customHeight="1" x14ac:dyDescent="0.3">
      <c r="A20" s="310" t="s">
        <v>80</v>
      </c>
      <c r="B20" s="311"/>
      <c r="C20" s="311"/>
      <c r="D20" s="311"/>
      <c r="E20" s="311"/>
      <c r="F20" s="312">
        <v>2200000</v>
      </c>
      <c r="G20" s="312"/>
      <c r="H20" s="312"/>
      <c r="I20" s="313"/>
      <c r="J20" s="349">
        <f>SUM(J8:N19)</f>
        <v>1205000</v>
      </c>
      <c r="K20" s="350"/>
      <c r="L20" s="350"/>
      <c r="M20" s="350"/>
      <c r="N20" s="351"/>
      <c r="O20" s="314">
        <f>SUM(O8:P19)</f>
        <v>5</v>
      </c>
      <c r="P20" s="314"/>
      <c r="Q20" s="352">
        <f>SUM(Q8:S19)</f>
        <v>0</v>
      </c>
      <c r="R20" s="312"/>
      <c r="S20" s="313"/>
      <c r="T20" s="312">
        <f>SUM(T8:U15)</f>
        <v>1205000</v>
      </c>
      <c r="U20" s="353"/>
    </row>
    <row r="21" spans="1:21" ht="20.100000000000001" customHeight="1" thickBot="1" x14ac:dyDescent="0.35">
      <c r="A21" s="315" t="s">
        <v>90</v>
      </c>
      <c r="B21" s="316"/>
      <c r="C21" s="316"/>
      <c r="D21" s="316"/>
      <c r="E21" s="316"/>
      <c r="F21" s="317">
        <f>F20+T20</f>
        <v>3405000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16"/>
      <c r="Q21" s="320" t="str">
        <f>C3</f>
        <v>경남오토미션(창원)</v>
      </c>
      <c r="R21" s="320"/>
      <c r="S21" s="320"/>
      <c r="T21" s="320"/>
      <c r="U21" s="372"/>
    </row>
    <row r="22" spans="1:21" ht="20.100000000000001" customHeight="1" x14ac:dyDescent="0.3">
      <c r="A22" s="299" t="s">
        <v>3552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</row>
    <row r="23" spans="1:21" ht="20.100000000000001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1204</v>
      </c>
      <c r="R24" s="323"/>
      <c r="S24" s="324">
        <f>S1</f>
        <v>0</v>
      </c>
      <c r="T24" s="324"/>
      <c r="U24" s="325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45910</v>
      </c>
      <c r="U25" s="309"/>
    </row>
    <row r="26" spans="1:21" ht="24.95" customHeight="1" x14ac:dyDescent="0.3">
      <c r="A26" s="376" t="s">
        <v>1172</v>
      </c>
      <c r="B26" s="37" t="s">
        <v>59</v>
      </c>
      <c r="C26" s="379" t="str">
        <f>C3</f>
        <v>경남오토미션(창원)</v>
      </c>
      <c r="D26" s="380"/>
      <c r="E26" s="380"/>
      <c r="F26" s="380"/>
      <c r="G26" s="380"/>
      <c r="H26" s="380"/>
      <c r="I26" s="380"/>
      <c r="J26" s="381"/>
      <c r="K26" s="382" t="s">
        <v>1173</v>
      </c>
      <c r="L26" s="37" t="s">
        <v>59</v>
      </c>
      <c r="M26" s="385" t="s">
        <v>964</v>
      </c>
      <c r="N26" s="386"/>
      <c r="O26" s="386"/>
      <c r="P26" s="386"/>
      <c r="Q26" s="386"/>
      <c r="R26" s="386"/>
      <c r="S26" s="386"/>
      <c r="T26" s="386"/>
      <c r="U26" s="387"/>
    </row>
    <row r="27" spans="1:21" ht="24.95" customHeight="1" x14ac:dyDescent="0.3">
      <c r="A27" s="377"/>
      <c r="B27" s="37" t="s">
        <v>61</v>
      </c>
      <c r="C27" s="388">
        <f>C4</f>
        <v>0</v>
      </c>
      <c r="D27" s="389"/>
      <c r="E27" s="389"/>
      <c r="F27" s="389"/>
      <c r="G27" s="389"/>
      <c r="H27" s="389"/>
      <c r="I27" s="389"/>
      <c r="J27" s="390"/>
      <c r="K27" s="383"/>
      <c r="L27" s="37" t="s">
        <v>61</v>
      </c>
      <c r="M27" s="391" t="s">
        <v>962</v>
      </c>
      <c r="N27" s="392"/>
      <c r="O27" s="392"/>
      <c r="P27" s="392"/>
      <c r="Q27" s="392"/>
      <c r="R27" s="393"/>
      <c r="S27" s="38" t="s">
        <v>62</v>
      </c>
      <c r="T27" s="391" t="s">
        <v>73</v>
      </c>
      <c r="U27" s="394"/>
    </row>
    <row r="28" spans="1:21" ht="24.95" customHeight="1" x14ac:dyDescent="0.3">
      <c r="A28" s="377"/>
      <c r="B28" s="38" t="s">
        <v>10</v>
      </c>
      <c r="C28" s="391" t="str">
        <f>C5</f>
        <v>경상남도 창원시 의창구 사화로 286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">
        <v>74</v>
      </c>
      <c r="N28" s="392"/>
      <c r="O28" s="392"/>
      <c r="P28" s="392"/>
      <c r="Q28" s="392"/>
      <c r="R28" s="392"/>
      <c r="S28" s="392"/>
      <c r="T28" s="392"/>
      <c r="U28" s="394"/>
    </row>
    <row r="29" spans="1:21" ht="24.95" customHeight="1" x14ac:dyDescent="0.3">
      <c r="A29" s="378"/>
      <c r="B29" s="38" t="s">
        <v>75</v>
      </c>
      <c r="C29" s="391" t="str">
        <f>C6</f>
        <v>010-2441-4994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">
        <v>66</v>
      </c>
      <c r="N29" s="392"/>
      <c r="O29" s="392"/>
      <c r="P29" s="392"/>
      <c r="Q29" s="392"/>
      <c r="R29" s="393"/>
      <c r="S29" s="38" t="s">
        <v>22</v>
      </c>
      <c r="T29" s="391" t="str">
        <f>T6</f>
        <v>경동(화물)</v>
      </c>
      <c r="U29" s="394"/>
    </row>
    <row r="30" spans="1:21" ht="15.6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42</v>
      </c>
      <c r="K30" s="311"/>
      <c r="L30" s="311"/>
      <c r="M30" s="311"/>
      <c r="N30" s="373"/>
      <c r="O30" s="311" t="s">
        <v>50</v>
      </c>
      <c r="P30" s="373"/>
      <c r="Q30" s="374" t="s">
        <v>69</v>
      </c>
      <c r="R30" s="311"/>
      <c r="S30" s="373"/>
      <c r="T30" s="374" t="s">
        <v>68</v>
      </c>
      <c r="U30" s="375"/>
    </row>
    <row r="31" spans="1:21" ht="15.6" customHeight="1" x14ac:dyDescent="0.3">
      <c r="A31" s="366" t="str">
        <f>A8</f>
        <v>0B5_Clutch_Rebuild</v>
      </c>
      <c r="B31" s="367"/>
      <c r="C31" s="367"/>
      <c r="D31" s="367"/>
      <c r="E31" s="367"/>
      <c r="F31" s="367">
        <f>F8</f>
        <v>0</v>
      </c>
      <c r="G31" s="367"/>
      <c r="H31" s="367"/>
      <c r="I31" s="367"/>
      <c r="J31" s="371">
        <f>J8</f>
        <v>600000</v>
      </c>
      <c r="K31" s="371"/>
      <c r="L31" s="371"/>
      <c r="M31" s="371"/>
      <c r="N31" s="371"/>
      <c r="O31" s="371">
        <f>O8</f>
        <v>1</v>
      </c>
      <c r="P31" s="371"/>
      <c r="Q31" s="368">
        <f>Q8</f>
        <v>0</v>
      </c>
      <c r="R31" s="368"/>
      <c r="S31" s="368"/>
      <c r="T31" s="369">
        <f>T8</f>
        <v>600000</v>
      </c>
      <c r="U31" s="370"/>
    </row>
    <row r="32" spans="1:21" ht="15.6" customHeight="1" x14ac:dyDescent="0.3">
      <c r="A32" s="359" t="str">
        <f t="shared" ref="A32:A38" si="0">A9</f>
        <v>0B5_Repair_Kit(Schaeffler)</v>
      </c>
      <c r="B32" s="360"/>
      <c r="C32" s="360"/>
      <c r="D32" s="360"/>
      <c r="E32" s="360"/>
      <c r="F32" s="360" t="str">
        <f t="shared" ref="F32:F38" si="1">F9</f>
        <v>0B5398048D</v>
      </c>
      <c r="G32" s="360"/>
      <c r="H32" s="360"/>
      <c r="I32" s="360"/>
      <c r="J32" s="364">
        <f t="shared" ref="J32:J38" si="2">J9</f>
        <v>540000</v>
      </c>
      <c r="K32" s="364"/>
      <c r="L32" s="364"/>
      <c r="M32" s="364"/>
      <c r="N32" s="364"/>
      <c r="O32" s="364">
        <f t="shared" ref="O32:O38" si="3">O9</f>
        <v>1</v>
      </c>
      <c r="P32" s="364"/>
      <c r="Q32" s="361">
        <f t="shared" ref="Q32:Q38" si="4">Q9</f>
        <v>0</v>
      </c>
      <c r="R32" s="361"/>
      <c r="S32" s="361"/>
      <c r="T32" s="362">
        <f t="shared" ref="T32:T38" si="5">T9</f>
        <v>540000</v>
      </c>
      <c r="U32" s="363"/>
    </row>
    <row r="33" spans="1:21" ht="15.6" customHeight="1" x14ac:dyDescent="0.3">
      <c r="A33" s="359" t="str">
        <f t="shared" si="0"/>
        <v>0B5_Shaft_Seal</v>
      </c>
      <c r="B33" s="360"/>
      <c r="C33" s="360"/>
      <c r="D33" s="360"/>
      <c r="E33" s="360"/>
      <c r="F33" s="360" t="str">
        <f t="shared" si="1"/>
        <v>19037052B</v>
      </c>
      <c r="G33" s="360"/>
      <c r="H33" s="360"/>
      <c r="I33" s="360"/>
      <c r="J33" s="364">
        <f t="shared" si="2"/>
        <v>10000</v>
      </c>
      <c r="K33" s="364"/>
      <c r="L33" s="364"/>
      <c r="M33" s="364"/>
      <c r="N33" s="364"/>
      <c r="O33" s="364">
        <f t="shared" si="3"/>
        <v>1</v>
      </c>
      <c r="P33" s="364"/>
      <c r="Q33" s="361">
        <f t="shared" si="4"/>
        <v>0</v>
      </c>
      <c r="R33" s="361"/>
      <c r="S33" s="361"/>
      <c r="T33" s="362">
        <f t="shared" si="5"/>
        <v>10000</v>
      </c>
      <c r="U33" s="363"/>
    </row>
    <row r="34" spans="1:21" ht="15.6" customHeight="1" x14ac:dyDescent="0.3">
      <c r="A34" s="359" t="str">
        <f t="shared" si="0"/>
        <v>0B5_Filter</v>
      </c>
      <c r="B34" s="360"/>
      <c r="C34" s="360"/>
      <c r="D34" s="360"/>
      <c r="E34" s="360"/>
      <c r="F34" s="360" t="str">
        <f t="shared" si="1"/>
        <v>0B5325330A</v>
      </c>
      <c r="G34" s="360"/>
      <c r="H34" s="360"/>
      <c r="I34" s="360"/>
      <c r="J34" s="364">
        <f t="shared" si="2"/>
        <v>35000</v>
      </c>
      <c r="K34" s="364"/>
      <c r="L34" s="364"/>
      <c r="M34" s="364"/>
      <c r="N34" s="364"/>
      <c r="O34" s="364">
        <f t="shared" si="3"/>
        <v>1</v>
      </c>
      <c r="P34" s="364"/>
      <c r="Q34" s="361">
        <f t="shared" si="4"/>
        <v>0</v>
      </c>
      <c r="R34" s="361"/>
      <c r="S34" s="361"/>
      <c r="T34" s="362">
        <f t="shared" si="5"/>
        <v>35000</v>
      </c>
      <c r="U34" s="363"/>
    </row>
    <row r="35" spans="1:21" ht="15.6" customHeight="1" x14ac:dyDescent="0.3">
      <c r="A35" s="359" t="str">
        <f t="shared" si="0"/>
        <v>퀵버스</v>
      </c>
      <c r="B35" s="360"/>
      <c r="C35" s="360"/>
      <c r="D35" s="360"/>
      <c r="E35" s="360"/>
      <c r="F35" s="360">
        <f t="shared" si="1"/>
        <v>0</v>
      </c>
      <c r="G35" s="360"/>
      <c r="H35" s="360"/>
      <c r="I35" s="360"/>
      <c r="J35" s="364">
        <f t="shared" si="2"/>
        <v>20000</v>
      </c>
      <c r="K35" s="364"/>
      <c r="L35" s="364"/>
      <c r="M35" s="364"/>
      <c r="N35" s="364"/>
      <c r="O35" s="364">
        <f t="shared" si="3"/>
        <v>1</v>
      </c>
      <c r="P35" s="364"/>
      <c r="Q35" s="361">
        <f t="shared" si="4"/>
        <v>0</v>
      </c>
      <c r="R35" s="361"/>
      <c r="S35" s="361"/>
      <c r="T35" s="362">
        <f t="shared" si="5"/>
        <v>20000</v>
      </c>
      <c r="U35" s="363"/>
    </row>
    <row r="36" spans="1:21" ht="15.6" customHeight="1" x14ac:dyDescent="0.3">
      <c r="A36" s="359">
        <f t="shared" si="0"/>
        <v>0</v>
      </c>
      <c r="B36" s="360"/>
      <c r="C36" s="360"/>
      <c r="D36" s="360"/>
      <c r="E36" s="360"/>
      <c r="F36" s="360">
        <f t="shared" si="1"/>
        <v>0</v>
      </c>
      <c r="G36" s="360"/>
      <c r="H36" s="360"/>
      <c r="I36" s="360"/>
      <c r="J36" s="364">
        <f t="shared" si="2"/>
        <v>0</v>
      </c>
      <c r="K36" s="364"/>
      <c r="L36" s="364"/>
      <c r="M36" s="364"/>
      <c r="N36" s="364"/>
      <c r="O36" s="364">
        <f t="shared" si="3"/>
        <v>0</v>
      </c>
      <c r="P36" s="364"/>
      <c r="Q36" s="361">
        <f t="shared" si="4"/>
        <v>0</v>
      </c>
      <c r="R36" s="361"/>
      <c r="S36" s="361"/>
      <c r="T36" s="362">
        <f t="shared" si="5"/>
        <v>0</v>
      </c>
      <c r="U36" s="363"/>
    </row>
    <row r="37" spans="1:21" ht="15.6" customHeight="1" x14ac:dyDescent="0.3">
      <c r="A37" s="359">
        <f t="shared" si="0"/>
        <v>0</v>
      </c>
      <c r="B37" s="360"/>
      <c r="C37" s="360"/>
      <c r="D37" s="360"/>
      <c r="E37" s="360"/>
      <c r="F37" s="360">
        <f t="shared" si="1"/>
        <v>0</v>
      </c>
      <c r="G37" s="360"/>
      <c r="H37" s="360"/>
      <c r="I37" s="360"/>
      <c r="J37" s="364">
        <f t="shared" si="2"/>
        <v>0</v>
      </c>
      <c r="K37" s="364"/>
      <c r="L37" s="364"/>
      <c r="M37" s="364"/>
      <c r="N37" s="364"/>
      <c r="O37" s="364">
        <f t="shared" si="3"/>
        <v>0</v>
      </c>
      <c r="P37" s="364"/>
      <c r="Q37" s="361">
        <f t="shared" si="4"/>
        <v>0</v>
      </c>
      <c r="R37" s="361"/>
      <c r="S37" s="361"/>
      <c r="T37" s="362">
        <f t="shared" si="5"/>
        <v>0</v>
      </c>
      <c r="U37" s="363"/>
    </row>
    <row r="38" spans="1:21" ht="15.6" customHeight="1" thickBot="1" x14ac:dyDescent="0.35">
      <c r="A38" s="354">
        <f t="shared" si="0"/>
        <v>0</v>
      </c>
      <c r="B38" s="355"/>
      <c r="C38" s="355"/>
      <c r="D38" s="355"/>
      <c r="E38" s="355"/>
      <c r="F38" s="355">
        <f t="shared" si="1"/>
        <v>0</v>
      </c>
      <c r="G38" s="355"/>
      <c r="H38" s="355"/>
      <c r="I38" s="355"/>
      <c r="J38" s="365">
        <f t="shared" si="2"/>
        <v>0</v>
      </c>
      <c r="K38" s="365"/>
      <c r="L38" s="365"/>
      <c r="M38" s="365"/>
      <c r="N38" s="365"/>
      <c r="O38" s="365">
        <f t="shared" si="3"/>
        <v>0</v>
      </c>
      <c r="P38" s="365"/>
      <c r="Q38" s="356">
        <f t="shared" si="4"/>
        <v>0</v>
      </c>
      <c r="R38" s="356"/>
      <c r="S38" s="356"/>
      <c r="T38" s="357">
        <f t="shared" si="5"/>
        <v>0</v>
      </c>
      <c r="U38" s="358"/>
    </row>
    <row r="39" spans="1:21" ht="15" customHeight="1" thickTop="1" x14ac:dyDescent="0.3">
      <c r="A39" s="326" t="s">
        <v>2329</v>
      </c>
      <c r="B39" s="327"/>
      <c r="C39" s="327"/>
      <c r="D39" s="327"/>
      <c r="E39" s="328"/>
      <c r="F39" s="335">
        <f>F16</f>
        <v>0</v>
      </c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</row>
    <row r="40" spans="1:21" ht="15" customHeight="1" x14ac:dyDescent="0.3">
      <c r="A40" s="329"/>
      <c r="B40" s="330"/>
      <c r="C40" s="330"/>
      <c r="D40" s="330"/>
      <c r="E40" s="331"/>
      <c r="F40" s="338"/>
      <c r="G40" s="339"/>
      <c r="H40" s="339"/>
      <c r="I40" s="339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40"/>
    </row>
    <row r="41" spans="1:21" ht="15" customHeight="1" x14ac:dyDescent="0.3">
      <c r="A41" s="329"/>
      <c r="B41" s="330"/>
      <c r="C41" s="330"/>
      <c r="D41" s="330"/>
      <c r="E41" s="331"/>
      <c r="F41" s="338"/>
      <c r="G41" s="339"/>
      <c r="H41" s="339"/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40"/>
    </row>
    <row r="42" spans="1:21" ht="15" customHeight="1" x14ac:dyDescent="0.3">
      <c r="A42" s="332"/>
      <c r="B42" s="333"/>
      <c r="C42" s="333"/>
      <c r="D42" s="333"/>
      <c r="E42" s="334"/>
      <c r="F42" s="341"/>
      <c r="G42" s="342"/>
      <c r="H42" s="342"/>
      <c r="I42" s="342"/>
      <c r="J42" s="342"/>
      <c r="K42" s="342"/>
      <c r="L42" s="342"/>
      <c r="M42" s="342"/>
      <c r="N42" s="342"/>
      <c r="O42" s="342"/>
      <c r="P42" s="342"/>
      <c r="Q42" s="342"/>
      <c r="R42" s="342"/>
      <c r="S42" s="342"/>
      <c r="T42" s="342"/>
      <c r="U42" s="343"/>
    </row>
    <row r="43" spans="1:21" ht="20.100000000000001" customHeight="1" x14ac:dyDescent="0.3">
      <c r="A43" s="310" t="s">
        <v>80</v>
      </c>
      <c r="B43" s="311"/>
      <c r="C43" s="311"/>
      <c r="D43" s="311"/>
      <c r="E43" s="311"/>
      <c r="F43" s="312">
        <f>F20</f>
        <v>2200000</v>
      </c>
      <c r="G43" s="312"/>
      <c r="H43" s="312"/>
      <c r="I43" s="313"/>
      <c r="J43" s="349">
        <f>J20</f>
        <v>1205000</v>
      </c>
      <c r="K43" s="350"/>
      <c r="L43" s="350"/>
      <c r="M43" s="350"/>
      <c r="N43" s="351"/>
      <c r="O43" s="314">
        <f>O20</f>
        <v>5</v>
      </c>
      <c r="P43" s="314"/>
      <c r="Q43" s="352">
        <f>Q20</f>
        <v>0</v>
      </c>
      <c r="R43" s="312"/>
      <c r="S43" s="312"/>
      <c r="T43" s="312">
        <f>T20</f>
        <v>1205000</v>
      </c>
      <c r="U43" s="353"/>
    </row>
    <row r="44" spans="1:21" ht="20.100000000000001" customHeight="1" thickBot="1" x14ac:dyDescent="0.35">
      <c r="A44" s="315" t="s">
        <v>90</v>
      </c>
      <c r="B44" s="316"/>
      <c r="C44" s="316"/>
      <c r="D44" s="316"/>
      <c r="E44" s="316"/>
      <c r="F44" s="317">
        <f>F21</f>
        <v>3405000</v>
      </c>
      <c r="G44" s="317"/>
      <c r="H44" s="317"/>
      <c r="I44" s="318"/>
      <c r="J44" s="319" t="s">
        <v>965</v>
      </c>
      <c r="K44" s="316"/>
      <c r="L44" s="344" t="str">
        <f>T27</f>
        <v>장효주</v>
      </c>
      <c r="M44" s="344"/>
      <c r="N44" s="344"/>
      <c r="O44" s="319" t="s">
        <v>64</v>
      </c>
      <c r="P44" s="345"/>
      <c r="Q44" s="346" t="str">
        <f>Q21</f>
        <v>경남오토미션(창원)</v>
      </c>
      <c r="R44" s="347"/>
      <c r="S44" s="347"/>
      <c r="T44" s="347"/>
      <c r="U44" s="34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1150000</v>
      </c>
      <c r="H1" s="107">
        <f>SUM(H2:H4)</f>
        <v>3</v>
      </c>
      <c r="I1" s="107">
        <f>SUM(I2:I4)</f>
        <v>0</v>
      </c>
      <c r="J1" s="107">
        <f>SUM(J2:J4)</f>
        <v>1150000</v>
      </c>
      <c r="K1" s="108" t="s">
        <v>4</v>
      </c>
      <c r="L1" s="96">
        <v>6</v>
      </c>
    </row>
    <row r="2" spans="1:12" x14ac:dyDescent="0.3">
      <c r="A2" s="47">
        <v>1</v>
      </c>
      <c r="B2" s="47" t="s">
        <v>3531</v>
      </c>
      <c r="C2" s="47" t="s">
        <v>1799</v>
      </c>
      <c r="E2" t="s">
        <v>2206</v>
      </c>
      <c r="G2">
        <v>600000</v>
      </c>
      <c r="H2">
        <v>1</v>
      </c>
      <c r="I2" s="226"/>
      <c r="J2" s="226">
        <v>600000</v>
      </c>
    </row>
    <row r="3" spans="1:12" x14ac:dyDescent="0.3">
      <c r="A3" s="47">
        <v>2</v>
      </c>
      <c r="B3" s="47" t="s">
        <v>3531</v>
      </c>
      <c r="C3" s="47" t="s">
        <v>1799</v>
      </c>
      <c r="D3" s="290" t="s">
        <v>1214</v>
      </c>
      <c r="E3" t="s">
        <v>3495</v>
      </c>
      <c r="F3" s="290" t="s">
        <v>1214</v>
      </c>
      <c r="G3">
        <v>540000</v>
      </c>
      <c r="H3">
        <v>1</v>
      </c>
      <c r="I3" s="226"/>
      <c r="J3" s="226">
        <v>540000</v>
      </c>
    </row>
    <row r="4" spans="1:12" x14ac:dyDescent="0.3">
      <c r="A4" s="47">
        <v>3</v>
      </c>
      <c r="B4" s="47" t="s">
        <v>3531</v>
      </c>
      <c r="C4" s="47" t="s">
        <v>1799</v>
      </c>
      <c r="D4" s="290" t="s">
        <v>1833</v>
      </c>
      <c r="E4" t="s">
        <v>2204</v>
      </c>
      <c r="F4" s="290" t="s">
        <v>1833</v>
      </c>
      <c r="G4">
        <v>10000</v>
      </c>
      <c r="H4">
        <v>1</v>
      </c>
      <c r="I4" s="226"/>
      <c r="J4" s="226">
        <v>10000</v>
      </c>
    </row>
    <row r="5" spans="1:12" x14ac:dyDescent="0.3">
      <c r="A5" s="47">
        <v>4</v>
      </c>
      <c r="B5" s="47" t="s">
        <v>3531</v>
      </c>
      <c r="C5" s="47" t="s">
        <v>1799</v>
      </c>
      <c r="D5" s="290" t="s">
        <v>1804</v>
      </c>
      <c r="E5" t="s">
        <v>2203</v>
      </c>
      <c r="F5" s="290" t="s">
        <v>1804</v>
      </c>
      <c r="G5">
        <v>35000</v>
      </c>
      <c r="H5">
        <v>1</v>
      </c>
      <c r="I5" s="226"/>
      <c r="J5" s="226">
        <v>35000</v>
      </c>
    </row>
    <row r="6" spans="1:12" x14ac:dyDescent="0.3">
      <c r="A6" s="47">
        <v>5</v>
      </c>
      <c r="B6" s="47" t="s">
        <v>3531</v>
      </c>
      <c r="C6" s="47" t="s">
        <v>1799</v>
      </c>
      <c r="E6" t="s">
        <v>1527</v>
      </c>
      <c r="G6">
        <v>20000</v>
      </c>
      <c r="H6">
        <v>1</v>
      </c>
      <c r="I6" s="226"/>
      <c r="J6" s="226">
        <v>20000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00"/>
  <sheetViews>
    <sheetView workbookViewId="0">
      <pane xSplit="1" ySplit="1" topLeftCell="B108" activePane="bottomRight" state="frozen"/>
      <selection activeCell="N26" sqref="N26"/>
      <selection pane="topRight" activeCell="N26" sqref="N26"/>
      <selection pane="bottomLeft" activeCell="N26" sqref="N26"/>
      <selection pane="bottomRight" activeCell="L1594" sqref="L1594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1598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3357</v>
      </c>
      <c r="F1261" s="269" t="s">
        <v>3358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3245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3249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3251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3253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3255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3260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3262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3266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3514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3514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3514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3275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3277</v>
      </c>
      <c r="H1318" s="269">
        <v>1</v>
      </c>
      <c r="L1318" s="265">
        <v>-600000</v>
      </c>
      <c r="M1318" s="269" t="s">
        <v>3278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3514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3514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3514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3284</v>
      </c>
      <c r="N1328" t="s">
        <v>3514</v>
      </c>
    </row>
    <row r="1329" spans="1:14" x14ac:dyDescent="0.3">
      <c r="A1329" s="58">
        <v>1327</v>
      </c>
      <c r="B1329" s="264">
        <v>45891</v>
      </c>
      <c r="C1329" s="292" t="s">
        <v>3286</v>
      </c>
      <c r="E1329" s="292" t="s">
        <v>3289</v>
      </c>
      <c r="G1329" s="265">
        <v>200000</v>
      </c>
      <c r="H1329" s="269">
        <v>1</v>
      </c>
      <c r="K1329" s="265">
        <v>200000</v>
      </c>
      <c r="M1329" s="269"/>
      <c r="N1329" t="s">
        <v>3514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3514</v>
      </c>
    </row>
    <row r="1331" spans="1:14" x14ac:dyDescent="0.3">
      <c r="A1331" s="58">
        <v>1329</v>
      </c>
      <c r="B1331" s="264">
        <v>45891</v>
      </c>
      <c r="C1331" s="292" t="s">
        <v>3292</v>
      </c>
      <c r="E1331" s="292" t="s">
        <v>3296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3297</v>
      </c>
      <c r="N1331" t="s">
        <v>3514</v>
      </c>
    </row>
    <row r="1332" spans="1:14" x14ac:dyDescent="0.3">
      <c r="A1332" s="58">
        <v>1330</v>
      </c>
      <c r="B1332" s="264">
        <v>45891</v>
      </c>
      <c r="C1332" s="292" t="s">
        <v>3286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3292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3514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3514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3514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3514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3514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3514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3514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3309</v>
      </c>
      <c r="F1352" s="269" t="s">
        <v>3310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3514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3514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3514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3514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3514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3514</v>
      </c>
    </row>
    <row r="1358" spans="1:14" x14ac:dyDescent="0.3">
      <c r="A1358" s="58">
        <v>1356</v>
      </c>
      <c r="B1358" s="264">
        <v>45894</v>
      </c>
      <c r="C1358" s="292" t="s">
        <v>3317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3514</v>
      </c>
    </row>
    <row r="1359" spans="1:14" x14ac:dyDescent="0.3">
      <c r="A1359" s="58">
        <v>1357</v>
      </c>
      <c r="B1359" s="264">
        <v>45894</v>
      </c>
      <c r="C1359" s="292" t="s">
        <v>3317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3514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3514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3324</v>
      </c>
      <c r="G1361" s="265">
        <v>300000</v>
      </c>
      <c r="H1361" s="269">
        <v>1</v>
      </c>
      <c r="K1361" s="265">
        <v>300000</v>
      </c>
      <c r="M1361" s="269"/>
      <c r="N1361" t="s">
        <v>3514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3514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3514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3514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3514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3514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3514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3514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3514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3514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3514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3514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3330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3331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3317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3514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3514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3336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3514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3514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3514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3514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3514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3514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3514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3344</v>
      </c>
      <c r="F1397" s="269" t="s">
        <v>3345</v>
      </c>
      <c r="M1397" s="269"/>
      <c r="N1397" t="s">
        <v>3514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3347</v>
      </c>
      <c r="N1398" t="s">
        <v>3514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3514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3514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3352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3366</v>
      </c>
      <c r="G1408" s="265">
        <v>2500000</v>
      </c>
      <c r="H1408" s="269">
        <v>1</v>
      </c>
      <c r="J1408" s="266" t="s">
        <v>3367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3514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3514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3514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3514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3514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3514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3514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3514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3514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3514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3391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3514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3514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3514</v>
      </c>
    </row>
    <row r="1430" spans="1:14" x14ac:dyDescent="0.3">
      <c r="A1430" s="58">
        <v>1429</v>
      </c>
      <c r="B1430" s="264">
        <v>45898</v>
      </c>
      <c r="C1430" s="292" t="s">
        <v>3515</v>
      </c>
      <c r="E1430" s="292" t="s">
        <v>3516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3515</v>
      </c>
      <c r="E1431" s="292" t="s">
        <v>3517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3515</v>
      </c>
      <c r="E1432" s="292" t="s">
        <v>3518</v>
      </c>
      <c r="F1432" s="269" t="s">
        <v>3519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3515</v>
      </c>
      <c r="E1433" s="292" t="s">
        <v>3520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3515</v>
      </c>
      <c r="E1434" s="292" t="s">
        <v>3521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3514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3514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3392</v>
      </c>
      <c r="N1438" t="s">
        <v>3514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3514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3515</v>
      </c>
      <c r="E1453" s="292" t="s">
        <v>3522</v>
      </c>
      <c r="F1453" s="269" t="s">
        <v>3523</v>
      </c>
      <c r="G1453" s="265">
        <v>800000</v>
      </c>
      <c r="H1453" s="269">
        <v>1</v>
      </c>
      <c r="K1453" s="265">
        <v>800000</v>
      </c>
      <c r="M1453" s="269" t="s">
        <v>3524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3376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3376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3399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3405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3407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3317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3476</v>
      </c>
      <c r="E1489" s="292" t="s">
        <v>3477</v>
      </c>
      <c r="F1489" s="269" t="s">
        <v>3478</v>
      </c>
      <c r="G1489" s="265">
        <v>1850000</v>
      </c>
      <c r="H1489" s="269">
        <v>1</v>
      </c>
      <c r="J1489" s="266" t="s">
        <v>3479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3425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3514</v>
      </c>
    </row>
    <row r="1497" spans="1:14" x14ac:dyDescent="0.3">
      <c r="A1497" s="58">
        <v>1496</v>
      </c>
      <c r="B1497" s="264">
        <v>45904</v>
      </c>
      <c r="C1497" s="292" t="s">
        <v>3459</v>
      </c>
      <c r="E1497" s="292" t="s">
        <v>3460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3317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3427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3445</v>
      </c>
      <c r="F1505" s="269" t="s">
        <v>3444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3435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3435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3427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3461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3462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3463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3464</v>
      </c>
      <c r="N1519" t="s">
        <v>3514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3467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3470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3481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3481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3435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3488</v>
      </c>
      <c r="E1539" s="292" t="s">
        <v>3495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3488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3488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3488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3498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3491</v>
      </c>
      <c r="E1544" s="292" t="s">
        <v>3500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3488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3491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3502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3495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3495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3495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3555</v>
      </c>
      <c r="E1567" s="292" t="s">
        <v>3556</v>
      </c>
      <c r="G1567" s="265">
        <v>1100000</v>
      </c>
      <c r="H1567" s="269">
        <v>1</v>
      </c>
      <c r="J1567" s="266" t="s">
        <v>3557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3540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3534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3539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3536</v>
      </c>
      <c r="E1581" s="292" t="s">
        <v>3495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3467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3418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3418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3330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3495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1590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1591</v>
      </c>
      <c r="B1594" s="264">
        <v>45910</v>
      </c>
      <c r="C1594" s="292" t="s">
        <v>3418</v>
      </c>
      <c r="E1594" s="292" t="s">
        <v>1130</v>
      </c>
      <c r="L1594" s="265">
        <v>-1705000</v>
      </c>
    </row>
    <row r="1595" spans="1:12" x14ac:dyDescent="0.3">
      <c r="A1595" s="58">
        <v>1592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1593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1594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1595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1596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1597</v>
      </c>
      <c r="B1600" s="264">
        <v>45910</v>
      </c>
      <c r="C1600" s="292" t="s">
        <v>3536</v>
      </c>
      <c r="E1600" s="292" t="s">
        <v>1130</v>
      </c>
      <c r="L1600" s="265">
        <v>-540000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6" workbookViewId="0">
      <selection activeCell="D18" sqref="D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45910</v>
      </c>
      <c r="B3" s="235" t="s">
        <v>1131</v>
      </c>
      <c r="C3" s="286">
        <f>SUMIF($B:$B,A3,I:I)</f>
        <v>12219000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4798000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75221000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75221000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3376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3376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3399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3405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3407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3317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3414</v>
      </c>
      <c r="F55" s="120">
        <v>1850000</v>
      </c>
      <c r="G55" s="85">
        <v>1</v>
      </c>
      <c r="H55" s="126" t="s">
        <v>3479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3418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3317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3427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3445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3435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3435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3427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3461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3462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3463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3467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3470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3480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3480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3435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3488</v>
      </c>
      <c r="D103" s="113" t="s">
        <v>3495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3488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3488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3488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3491</v>
      </c>
      <c r="D108" s="113" t="s">
        <v>3500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3488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3491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3502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3495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3495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3508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3495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I131" s="80">
        <v>1100000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I133" s="80">
        <v>900000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900000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3495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3553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3553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3553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3553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3467</v>
      </c>
      <c r="F144" s="120">
        <v>80000</v>
      </c>
      <c r="G144" s="85">
        <v>1</v>
      </c>
      <c r="I144" s="80">
        <v>80000</v>
      </c>
      <c r="K144" s="69" t="s">
        <v>3553</v>
      </c>
    </row>
    <row r="145" spans="1:11" ht="18" customHeight="1" x14ac:dyDescent="0.3">
      <c r="A145" s="82">
        <v>1575</v>
      </c>
      <c r="B145" s="93">
        <v>45910</v>
      </c>
      <c r="C145" s="83" t="s">
        <v>3536</v>
      </c>
      <c r="D145" s="113" t="s">
        <v>3495</v>
      </c>
      <c r="F145" s="120">
        <v>540000</v>
      </c>
      <c r="G145" s="85">
        <v>1</v>
      </c>
      <c r="I145" s="80">
        <v>540000</v>
      </c>
      <c r="K145" s="69" t="s">
        <v>3553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3467</v>
      </c>
      <c r="F146" s="120">
        <v>80000</v>
      </c>
      <c r="G146" s="85">
        <v>3</v>
      </c>
      <c r="I146" s="80">
        <v>240000</v>
      </c>
      <c r="K146" s="69" t="s">
        <v>3553</v>
      </c>
    </row>
    <row r="147" spans="1:11" ht="18" customHeight="1" x14ac:dyDescent="0.3">
      <c r="A147" s="82">
        <v>1577</v>
      </c>
      <c r="B147" s="93">
        <v>45910</v>
      </c>
      <c r="C147" s="83" t="s">
        <v>3418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3553</v>
      </c>
    </row>
    <row r="148" spans="1:11" ht="18" customHeight="1" x14ac:dyDescent="0.3">
      <c r="A148" s="82">
        <v>1578</v>
      </c>
      <c r="B148" s="93">
        <v>45910</v>
      </c>
      <c r="C148" s="83" t="s">
        <v>3418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3553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3330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3553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3553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3553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3495</v>
      </c>
      <c r="F153" s="120">
        <v>540000</v>
      </c>
      <c r="G153" s="85">
        <v>1</v>
      </c>
      <c r="I153" s="80">
        <v>540000</v>
      </c>
      <c r="K153" s="69" t="s">
        <v>3553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3553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3553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3553</v>
      </c>
    </row>
    <row r="157" spans="1:11" ht="18" customHeight="1" x14ac:dyDescent="0.3">
      <c r="K157" s="69" t="s">
        <v>3553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5400000</v>
      </c>
      <c r="D2">
        <f t="shared" ref="D2:D65" si="0">RANK(C2,C:C,0)</f>
        <v>2</v>
      </c>
    </row>
    <row r="3" spans="1:6" x14ac:dyDescent="0.3">
      <c r="B3" t="s">
        <v>1309</v>
      </c>
      <c r="C3" s="52">
        <f>SUMIF(BTS_매출관리!C:C,B3,BTS_매출관리!I:I)</f>
        <v>4408000</v>
      </c>
      <c r="D3">
        <f t="shared" si="0"/>
        <v>3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4140000</v>
      </c>
      <c r="D5">
        <f t="shared" si="0"/>
        <v>4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7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12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13</v>
      </c>
    </row>
    <row r="9" spans="1:6" x14ac:dyDescent="0.3">
      <c r="B9" t="s">
        <v>1341</v>
      </c>
      <c r="C9" s="52">
        <f>SUMIF(BTS_매출관리!C:C,B9,BTS_매출관리!I:I)</f>
        <v>2614000</v>
      </c>
      <c r="D9">
        <f t="shared" si="0"/>
        <v>8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14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16</v>
      </c>
    </row>
    <row r="12" spans="1:6" x14ac:dyDescent="0.3">
      <c r="B12" t="s">
        <v>1286</v>
      </c>
      <c r="C12" s="52">
        <f>SUMIF(BTS_매출관리!C:C,B12,BTS_매출관리!I:I)</f>
        <v>2755000</v>
      </c>
      <c r="D12">
        <f t="shared" si="0"/>
        <v>6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1485000</v>
      </c>
      <c r="D13">
        <f t="shared" si="0"/>
        <v>18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1250000</v>
      </c>
      <c r="D14">
        <f t="shared" si="0"/>
        <v>21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1200000</v>
      </c>
      <c r="D15">
        <f t="shared" si="0"/>
        <v>23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23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25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9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10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30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31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22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10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32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33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34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40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37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38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39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40</v>
      </c>
    </row>
    <row r="32" spans="2:4" x14ac:dyDescent="0.3">
      <c r="B32" t="s">
        <v>1306</v>
      </c>
      <c r="C32" s="52">
        <f>SUMIF(BTS_매출관리!C:C,B32,BTS_매출관리!I:I)</f>
        <v>0</v>
      </c>
      <c r="D32">
        <f t="shared" si="0"/>
        <v>40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40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20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36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40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40</v>
      </c>
    </row>
    <row r="38" spans="2:4" x14ac:dyDescent="0.3">
      <c r="B38" t="s">
        <v>2373</v>
      </c>
      <c r="C38" s="52">
        <f>SUMIF(BTS_매출관리!C:C,B38,BTS_매출관리!I:I)</f>
        <v>900000</v>
      </c>
      <c r="D38">
        <f t="shared" si="0"/>
        <v>28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40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40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40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15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40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40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40</v>
      </c>
    </row>
    <row r="46" spans="2:4" x14ac:dyDescent="0.3">
      <c r="B46" t="s">
        <v>1337</v>
      </c>
      <c r="C46" s="52">
        <f>SUMIF(BTS_매출관리!C:C,B46,BTS_매출관리!I:I)</f>
        <v>0</v>
      </c>
      <c r="D46">
        <f t="shared" si="0"/>
        <v>40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40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40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40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40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40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40</v>
      </c>
    </row>
    <row r="53" spans="2:4" x14ac:dyDescent="0.3">
      <c r="B53" t="s">
        <v>1625</v>
      </c>
      <c r="C53" s="52">
        <f>SUMIF(BTS_매출관리!C:C,B53,BTS_매출관리!I:I)</f>
        <v>0</v>
      </c>
      <c r="D53">
        <f t="shared" si="0"/>
        <v>40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40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40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40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40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40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40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40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35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40</v>
      </c>
    </row>
    <row r="63" spans="2:4" x14ac:dyDescent="0.3">
      <c r="B63" t="s">
        <v>1679</v>
      </c>
      <c r="C63" s="52">
        <f>SUMIF(BTS_매출관리!C:C,B63,BTS_매출관리!I:I)</f>
        <v>7260000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19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28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16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40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40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40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40</v>
      </c>
    </row>
    <row r="71" spans="2:4" x14ac:dyDescent="0.3">
      <c r="B71" t="s">
        <v>984</v>
      </c>
      <c r="C71" s="52">
        <f>SUMIF(BTS_매출관리!C:C,B71,BTS_매출관리!I:I)</f>
        <v>1100000</v>
      </c>
      <c r="D71">
        <f t="shared" si="1"/>
        <v>26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40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40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40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40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40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40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40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40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40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40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40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40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40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40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40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40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40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40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40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40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40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40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40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40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40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40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40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40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40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26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40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40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40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40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40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40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40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40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40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40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40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40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40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40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40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40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40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40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40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40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40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40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40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40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40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40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40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40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40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40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40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40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40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40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40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40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40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40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40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40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40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40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40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40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40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40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40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40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40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40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40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40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40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40</v>
      </c>
    </row>
    <row r="157" spans="2:4" x14ac:dyDescent="0.3">
      <c r="C157" s="52">
        <f>SUMIF(BTS_매출관리!C:C,B157,BTS_매출관리!I:I)</f>
        <v>0</v>
      </c>
      <c r="D157">
        <f t="shared" si="2"/>
        <v>40</v>
      </c>
    </row>
    <row r="158" spans="2:4" x14ac:dyDescent="0.3">
      <c r="C158" s="52">
        <f>SUMIF(BTS_매출관리!C:C,B158,BTS_매출관리!I:I)</f>
        <v>0</v>
      </c>
      <c r="D158">
        <f t="shared" si="2"/>
        <v>40</v>
      </c>
    </row>
    <row r="159" spans="2:4" x14ac:dyDescent="0.3">
      <c r="C159" s="52">
        <f>SUMIF(BTS_매출관리!C:C,B159,BTS_매출관리!I:I)</f>
        <v>0</v>
      </c>
      <c r="D159">
        <f t="shared" si="2"/>
        <v>40</v>
      </c>
    </row>
    <row r="160" spans="2:4" x14ac:dyDescent="0.3">
      <c r="C160" s="52">
        <f>SUMIF(BTS_매출관리!C:C,B160,BTS_매출관리!I:I)</f>
        <v>0</v>
      </c>
      <c r="D160">
        <f t="shared" si="2"/>
        <v>40</v>
      </c>
    </row>
    <row r="161" spans="3:4" x14ac:dyDescent="0.3">
      <c r="C161" s="52">
        <f>SUMIF(BTS_매출관리!C:C,B161,BTS_매출관리!I:I)</f>
        <v>0</v>
      </c>
      <c r="D161">
        <f t="shared" si="2"/>
        <v>40</v>
      </c>
    </row>
    <row r="162" spans="3:4" x14ac:dyDescent="0.3">
      <c r="C162" s="52">
        <f>SUMIF(BTS_매출관리!C:C,B162,BTS_매출관리!I:I)</f>
        <v>0</v>
      </c>
      <c r="D162">
        <f t="shared" si="2"/>
        <v>40</v>
      </c>
    </row>
    <row r="163" spans="3:4" x14ac:dyDescent="0.3">
      <c r="C163" s="52">
        <f>SUMIF(BTS_매출관리!C:C,B163,BTS_매출관리!I:I)</f>
        <v>0</v>
      </c>
      <c r="D163">
        <f t="shared" si="2"/>
        <v>40</v>
      </c>
    </row>
    <row r="164" spans="3:4" x14ac:dyDescent="0.3">
      <c r="C164" s="52">
        <f>SUMIF(BTS_매출관리!C:C,B164,BTS_매출관리!I:I)</f>
        <v>0</v>
      </c>
      <c r="D164">
        <f t="shared" si="2"/>
        <v>40</v>
      </c>
    </row>
    <row r="165" spans="3:4" x14ac:dyDescent="0.3">
      <c r="C165" s="52">
        <f>SUMIF(BTS_매출관리!C:C,B165,BTS_매출관리!I:I)</f>
        <v>0</v>
      </c>
      <c r="D165">
        <f t="shared" si="2"/>
        <v>40</v>
      </c>
    </row>
    <row r="166" spans="3:4" x14ac:dyDescent="0.3">
      <c r="C166" s="52">
        <f>SUMIF(BTS_매출관리!C:C,B166,BTS_매출관리!I:I)</f>
        <v>0</v>
      </c>
      <c r="D166">
        <f t="shared" si="2"/>
        <v>40</v>
      </c>
    </row>
    <row r="167" spans="3:4" x14ac:dyDescent="0.3">
      <c r="C167" s="52">
        <f>SUMIF(BTS_매출관리!C:C,B167,BTS_매출관리!I:I)</f>
        <v>0</v>
      </c>
      <c r="D167">
        <f t="shared" si="2"/>
        <v>40</v>
      </c>
    </row>
    <row r="168" spans="3:4" x14ac:dyDescent="0.3">
      <c r="C168" s="52">
        <f>SUMIF(BTS_매출관리!C:C,B168,BTS_매출관리!I:I)</f>
        <v>0</v>
      </c>
      <c r="D168">
        <f t="shared" si="2"/>
        <v>40</v>
      </c>
    </row>
    <row r="169" spans="3:4" x14ac:dyDescent="0.3">
      <c r="C169" s="52">
        <f>SUMIF(BTS_매출관리!C:C,B169,BTS_매출관리!I:I)</f>
        <v>0</v>
      </c>
      <c r="D169">
        <f t="shared" si="2"/>
        <v>40</v>
      </c>
    </row>
    <row r="170" spans="3:4" x14ac:dyDescent="0.3">
      <c r="C170" s="52">
        <f>SUMIF(BTS_매출관리!C:C,B170,BTS_매출관리!I:I)</f>
        <v>0</v>
      </c>
      <c r="D170">
        <f t="shared" si="2"/>
        <v>40</v>
      </c>
    </row>
    <row r="171" spans="3:4" x14ac:dyDescent="0.3">
      <c r="C171" s="52">
        <f>SUMIF(BTS_매출관리!C:C,B171,BTS_매출관리!I:I)</f>
        <v>0</v>
      </c>
      <c r="D171">
        <f t="shared" si="2"/>
        <v>40</v>
      </c>
    </row>
    <row r="172" spans="3:4" x14ac:dyDescent="0.3">
      <c r="C172" s="52">
        <f>SUMIF(BTS_매출관리!C:C,B172,BTS_매출관리!I:I)</f>
        <v>0</v>
      </c>
      <c r="D172">
        <f t="shared" si="2"/>
        <v>40</v>
      </c>
    </row>
    <row r="173" spans="3:4" x14ac:dyDescent="0.3">
      <c r="C173" s="52">
        <f>SUMIF(BTS_매출관리!C:C,B173,BTS_매출관리!I:I)</f>
        <v>0</v>
      </c>
      <c r="D173">
        <f t="shared" si="2"/>
        <v>40</v>
      </c>
    </row>
    <row r="174" spans="3:4" x14ac:dyDescent="0.3">
      <c r="C174" s="52">
        <f>SUMIF(BTS_매출관리!C:C,B174,BTS_매출관리!I:I)</f>
        <v>0</v>
      </c>
      <c r="D174">
        <f t="shared" si="2"/>
        <v>40</v>
      </c>
    </row>
    <row r="175" spans="3:4" x14ac:dyDescent="0.3">
      <c r="C175" s="52">
        <f>SUMIF(BTS_매출관리!C:C,B175,BTS_매출관리!I:I)</f>
        <v>0</v>
      </c>
      <c r="D175">
        <f t="shared" si="2"/>
        <v>40</v>
      </c>
    </row>
    <row r="176" spans="3:4" x14ac:dyDescent="0.3">
      <c r="C176" s="52">
        <f>SUMIF(BTS_매출관리!C:C,B176,BTS_매출관리!I:I)</f>
        <v>0</v>
      </c>
      <c r="D176">
        <f t="shared" si="2"/>
        <v>40</v>
      </c>
    </row>
    <row r="177" spans="3:4" x14ac:dyDescent="0.3">
      <c r="C177" s="52">
        <f>SUMIF(BTS_매출관리!C:C,B177,BTS_매출관리!I:I)</f>
        <v>0</v>
      </c>
      <c r="D177">
        <f t="shared" si="2"/>
        <v>40</v>
      </c>
    </row>
    <row r="178" spans="3:4" x14ac:dyDescent="0.3">
      <c r="C178" s="52">
        <f>SUMIF(BTS_매출관리!C:C,B178,BTS_매출관리!I:I)</f>
        <v>0</v>
      </c>
      <c r="D178">
        <f t="shared" si="2"/>
        <v>40</v>
      </c>
    </row>
    <row r="179" spans="3:4" x14ac:dyDescent="0.3">
      <c r="C179" s="52">
        <f>SUMIF(BTS_매출관리!C:C,B179,BTS_매출관리!I:I)</f>
        <v>0</v>
      </c>
      <c r="D179">
        <f t="shared" si="2"/>
        <v>40</v>
      </c>
    </row>
    <row r="180" spans="3:4" x14ac:dyDescent="0.3">
      <c r="C180" s="52">
        <f>SUMIF(BTS_매출관리!C:C,B180,BTS_매출관리!I:I)</f>
        <v>0</v>
      </c>
      <c r="D180">
        <f t="shared" si="2"/>
        <v>40</v>
      </c>
    </row>
    <row r="181" spans="3:4" x14ac:dyDescent="0.3">
      <c r="C181" s="52">
        <f>SUMIF(BTS_매출관리!C:C,B181,BTS_매출관리!I:I)</f>
        <v>0</v>
      </c>
      <c r="D181">
        <f t="shared" si="2"/>
        <v>40</v>
      </c>
    </row>
    <row r="182" spans="3:4" x14ac:dyDescent="0.3">
      <c r="C182" s="52">
        <f>SUMIF(BTS_매출관리!C:C,B182,BTS_매출관리!I:I)</f>
        <v>0</v>
      </c>
      <c r="D182">
        <f t="shared" si="2"/>
        <v>40</v>
      </c>
    </row>
    <row r="183" spans="3:4" x14ac:dyDescent="0.3">
      <c r="C183" s="52">
        <f>SUMIF(BTS_매출관리!C:C,B183,BTS_매출관리!I:I)</f>
        <v>0</v>
      </c>
      <c r="D183">
        <f t="shared" si="2"/>
        <v>40</v>
      </c>
    </row>
    <row r="184" spans="3:4" x14ac:dyDescent="0.3">
      <c r="C184" s="52">
        <f>SUMIF(BTS_매출관리!C:C,B184,BTS_매출관리!I:I)</f>
        <v>0</v>
      </c>
      <c r="D184">
        <f t="shared" si="2"/>
        <v>40</v>
      </c>
    </row>
    <row r="185" spans="3:4" x14ac:dyDescent="0.3">
      <c r="C185" s="52">
        <f>SUMIF(BTS_매출관리!C:C,B185,BTS_매출관리!I:I)</f>
        <v>0</v>
      </c>
      <c r="D185">
        <f t="shared" si="2"/>
        <v>40</v>
      </c>
    </row>
    <row r="186" spans="3:4" x14ac:dyDescent="0.3">
      <c r="C186" s="52">
        <f>SUMIF(BTS_매출관리!C:C,B186,BTS_매출관리!I:I)</f>
        <v>0</v>
      </c>
      <c r="D186">
        <f t="shared" si="2"/>
        <v>40</v>
      </c>
    </row>
    <row r="187" spans="3:4" x14ac:dyDescent="0.3">
      <c r="C187" s="52">
        <f>SUMIF(BTS_매출관리!C:C,B187,BTS_매출관리!I:I)</f>
        <v>0</v>
      </c>
      <c r="D187">
        <f t="shared" si="2"/>
        <v>40</v>
      </c>
    </row>
    <row r="188" spans="3:4" x14ac:dyDescent="0.3">
      <c r="C188" s="52">
        <f>SUMIF(BTS_매출관리!C:C,B188,BTS_매출관리!I:I)</f>
        <v>0</v>
      </c>
      <c r="D188">
        <f t="shared" si="2"/>
        <v>40</v>
      </c>
    </row>
    <row r="189" spans="3:4" x14ac:dyDescent="0.3">
      <c r="C189" s="52">
        <f>SUMIF(BTS_매출관리!C:C,B189,BTS_매출관리!I:I)</f>
        <v>0</v>
      </c>
      <c r="D189">
        <f t="shared" si="2"/>
        <v>40</v>
      </c>
    </row>
    <row r="190" spans="3:4" x14ac:dyDescent="0.3">
      <c r="C190" s="52">
        <f>SUMIF(BTS_매출관리!C:C,B190,BTS_매출관리!I:I)</f>
        <v>0</v>
      </c>
      <c r="D190">
        <f t="shared" si="2"/>
        <v>40</v>
      </c>
    </row>
    <row r="191" spans="3:4" x14ac:dyDescent="0.3">
      <c r="C191" s="52">
        <f>SUMIF(BTS_매출관리!C:C,B191,BTS_매출관리!I:I)</f>
        <v>0</v>
      </c>
      <c r="D191">
        <f t="shared" si="2"/>
        <v>40</v>
      </c>
    </row>
    <row r="192" spans="3:4" x14ac:dyDescent="0.3">
      <c r="C192" s="52">
        <f>SUMIF(BTS_매출관리!C:C,B192,BTS_매출관리!I:I)</f>
        <v>0</v>
      </c>
      <c r="D192">
        <f t="shared" si="2"/>
        <v>40</v>
      </c>
    </row>
    <row r="193" spans="3:4" x14ac:dyDescent="0.3">
      <c r="C193" s="52">
        <f>SUMIF(BTS_매출관리!C:C,B193,BTS_매출관리!I:I)</f>
        <v>0</v>
      </c>
      <c r="D193">
        <f t="shared" si="2"/>
        <v>40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40</v>
      </c>
    </row>
    <row r="195" spans="3:4" x14ac:dyDescent="0.3">
      <c r="C195" s="52">
        <f>SUMIF(BTS_매출관리!C:C,B195,BTS_매출관리!I:I)</f>
        <v>0</v>
      </c>
      <c r="D195">
        <f t="shared" si="3"/>
        <v>40</v>
      </c>
    </row>
    <row r="196" spans="3:4" x14ac:dyDescent="0.3">
      <c r="C196" s="52">
        <f>SUMIF(BTS_매출관리!C:C,B196,BTS_매출관리!I:I)</f>
        <v>0</v>
      </c>
      <c r="D196">
        <f t="shared" si="3"/>
        <v>40</v>
      </c>
    </row>
    <row r="197" spans="3:4" x14ac:dyDescent="0.3">
      <c r="C197" s="52">
        <f>SUMIF(BTS_매출관리!C:C,B197,BTS_매출관리!I:I)</f>
        <v>0</v>
      </c>
      <c r="D197">
        <f t="shared" si="3"/>
        <v>40</v>
      </c>
    </row>
    <row r="198" spans="3:4" x14ac:dyDescent="0.3">
      <c r="C198" s="52">
        <f>SUMIF(BTS_매출관리!C:C,B198,BTS_매출관리!I:I)</f>
        <v>0</v>
      </c>
      <c r="D198">
        <f t="shared" si="3"/>
        <v>40</v>
      </c>
    </row>
    <row r="199" spans="3:4" x14ac:dyDescent="0.3">
      <c r="C199" s="52">
        <f>SUMIF(BTS_매출관리!C:C,B199,BTS_매출관리!I:I)</f>
        <v>0</v>
      </c>
      <c r="D199">
        <f t="shared" si="3"/>
        <v>40</v>
      </c>
    </row>
    <row r="200" spans="3:4" x14ac:dyDescent="0.3">
      <c r="C200" s="52">
        <f>SUMIF(BTS_매출관리!C:C,B200,BTS_매출관리!I:I)</f>
        <v>0</v>
      </c>
      <c r="D200">
        <f t="shared" si="3"/>
        <v>40</v>
      </c>
    </row>
    <row r="201" spans="3:4" x14ac:dyDescent="0.3">
      <c r="C201" s="52">
        <f>SUMIF(BTS_매출관리!C:C,B201,BTS_매출관리!I:I)</f>
        <v>0</v>
      </c>
      <c r="D201">
        <f t="shared" si="3"/>
        <v>40</v>
      </c>
    </row>
    <row r="202" spans="3:4" x14ac:dyDescent="0.3">
      <c r="C202" s="52">
        <f>SUMIF(BTS_매출관리!C:C,B202,BTS_매출관리!I:I)</f>
        <v>0</v>
      </c>
      <c r="D202">
        <f t="shared" si="3"/>
        <v>40</v>
      </c>
    </row>
    <row r="203" spans="3:4" x14ac:dyDescent="0.3">
      <c r="C203" s="52">
        <f>SUMIF(BTS_매출관리!C:C,B203,BTS_매출관리!I:I)</f>
        <v>0</v>
      </c>
      <c r="D203">
        <f t="shared" si="3"/>
        <v>40</v>
      </c>
    </row>
    <row r="204" spans="3:4" x14ac:dyDescent="0.3">
      <c r="C204" s="52">
        <f>SUMIF(BTS_매출관리!C:C,B204,BTS_매출관리!I:I)</f>
        <v>0</v>
      </c>
      <c r="D204">
        <f t="shared" si="3"/>
        <v>40</v>
      </c>
    </row>
    <row r="205" spans="3:4" x14ac:dyDescent="0.3">
      <c r="C205" s="52">
        <f>SUMIF(BTS_매출관리!C:C,B205,BTS_매출관리!I:I)</f>
        <v>0</v>
      </c>
      <c r="D205">
        <f t="shared" si="3"/>
        <v>40</v>
      </c>
    </row>
    <row r="206" spans="3:4" x14ac:dyDescent="0.3">
      <c r="C206" s="52">
        <f>SUMIF(BTS_매출관리!C:C,B206,BTS_매출관리!I:I)</f>
        <v>0</v>
      </c>
      <c r="D206">
        <f t="shared" si="3"/>
        <v>40</v>
      </c>
    </row>
    <row r="207" spans="3:4" x14ac:dyDescent="0.3">
      <c r="C207" s="52">
        <f>SUMIF(BTS_매출관리!C:C,B207,BTS_매출관리!I:I)</f>
        <v>0</v>
      </c>
      <c r="D207">
        <f t="shared" si="3"/>
        <v>40</v>
      </c>
    </row>
    <row r="208" spans="3:4" x14ac:dyDescent="0.3">
      <c r="C208" s="52">
        <f>SUMIF(BTS_매출관리!C:C,B208,BTS_매출관리!I:I)</f>
        <v>0</v>
      </c>
      <c r="D208">
        <f t="shared" si="3"/>
        <v>40</v>
      </c>
    </row>
    <row r="209" spans="3:4" x14ac:dyDescent="0.3">
      <c r="C209" s="52">
        <f>SUMIF(BTS_매출관리!C:C,B209,BTS_매출관리!I:I)</f>
        <v>0</v>
      </c>
      <c r="D209">
        <f t="shared" si="3"/>
        <v>40</v>
      </c>
    </row>
    <row r="210" spans="3:4" x14ac:dyDescent="0.3">
      <c r="C210" s="52">
        <f>SUMIF(BTS_매출관리!C:C,B210,BTS_매출관리!I:I)</f>
        <v>0</v>
      </c>
      <c r="D210">
        <f t="shared" si="3"/>
        <v>40</v>
      </c>
    </row>
    <row r="211" spans="3:4" x14ac:dyDescent="0.3">
      <c r="C211" s="52">
        <f>SUMIF(BTS_매출관리!C:C,B211,BTS_매출관리!I:I)</f>
        <v>0</v>
      </c>
      <c r="D211">
        <f t="shared" si="3"/>
        <v>40</v>
      </c>
    </row>
    <row r="212" spans="3:4" x14ac:dyDescent="0.3">
      <c r="C212" s="52">
        <f>SUMIF(BTS_매출관리!C:C,B212,BTS_매출관리!I:I)</f>
        <v>0</v>
      </c>
      <c r="D212">
        <f t="shared" si="3"/>
        <v>40</v>
      </c>
    </row>
    <row r="213" spans="3:4" x14ac:dyDescent="0.3">
      <c r="C213" s="52">
        <f>SUMIF(BTS_매출관리!C:C,B213,BTS_매출관리!I:I)</f>
        <v>0</v>
      </c>
      <c r="D213">
        <f t="shared" si="3"/>
        <v>40</v>
      </c>
    </row>
    <row r="214" spans="3:4" x14ac:dyDescent="0.3">
      <c r="C214" s="52">
        <f>SUMIF(BTS_매출관리!C:C,B214,BTS_매출관리!I:I)</f>
        <v>0</v>
      </c>
      <c r="D214">
        <f t="shared" si="3"/>
        <v>40</v>
      </c>
    </row>
    <row r="215" spans="3:4" x14ac:dyDescent="0.3">
      <c r="C215" s="52">
        <f>SUMIF(BTS_매출관리!C:C,B215,BTS_매출관리!I:I)</f>
        <v>0</v>
      </c>
      <c r="D215">
        <f t="shared" si="3"/>
        <v>40</v>
      </c>
    </row>
    <row r="216" spans="3:4" x14ac:dyDescent="0.3">
      <c r="C216" s="52">
        <f>SUMIF(BTS_매출관리!C:C,B216,BTS_매출관리!I:I)</f>
        <v>0</v>
      </c>
      <c r="D216">
        <f t="shared" si="3"/>
        <v>40</v>
      </c>
    </row>
    <row r="217" spans="3:4" x14ac:dyDescent="0.3">
      <c r="C217" s="52">
        <f>SUMIF(BTS_매출관리!C:C,B217,BTS_매출관리!I:I)</f>
        <v>0</v>
      </c>
      <c r="D217">
        <f t="shared" si="3"/>
        <v>40</v>
      </c>
    </row>
    <row r="218" spans="3:4" x14ac:dyDescent="0.3">
      <c r="C218" s="52">
        <f>SUMIF(BTS_매출관리!C:C,B218,BTS_매출관리!I:I)</f>
        <v>0</v>
      </c>
      <c r="D218">
        <f t="shared" si="3"/>
        <v>40</v>
      </c>
    </row>
    <row r="219" spans="3:4" x14ac:dyDescent="0.3">
      <c r="C219" s="52">
        <f>SUMIF(BTS_매출관리!C:C,B219,BTS_매출관리!I:I)</f>
        <v>0</v>
      </c>
      <c r="D219">
        <f t="shared" si="3"/>
        <v>40</v>
      </c>
    </row>
    <row r="220" spans="3:4" x14ac:dyDescent="0.3">
      <c r="C220" s="52">
        <f>SUMIF(BTS_매출관리!C:C,B220,BTS_매출관리!I:I)</f>
        <v>0</v>
      </c>
      <c r="D220">
        <f t="shared" si="3"/>
        <v>40</v>
      </c>
    </row>
    <row r="221" spans="3:4" x14ac:dyDescent="0.3">
      <c r="C221" s="52">
        <f>SUMIF(BTS_매출관리!C:C,B221,BTS_매출관리!I:I)</f>
        <v>0</v>
      </c>
      <c r="D221">
        <f t="shared" si="3"/>
        <v>40</v>
      </c>
    </row>
    <row r="222" spans="3:4" x14ac:dyDescent="0.3">
      <c r="C222" s="52">
        <f>SUMIF(BTS_매출관리!C:C,B222,BTS_매출관리!I:I)</f>
        <v>0</v>
      </c>
      <c r="D222">
        <f t="shared" si="3"/>
        <v>40</v>
      </c>
    </row>
    <row r="223" spans="3:4" x14ac:dyDescent="0.3">
      <c r="C223" s="52">
        <f>SUMIF(BTS_매출관리!C:C,B223,BTS_매출관리!I:I)</f>
        <v>0</v>
      </c>
      <c r="D223">
        <f t="shared" si="3"/>
        <v>40</v>
      </c>
    </row>
    <row r="224" spans="3:4" x14ac:dyDescent="0.3">
      <c r="C224" s="52">
        <f>SUMIF(BTS_매출관리!C:C,B224,BTS_매출관리!I:I)</f>
        <v>0</v>
      </c>
      <c r="D224">
        <f t="shared" si="3"/>
        <v>40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2235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76" t="s">
        <v>1172</v>
      </c>
      <c r="B3" s="37" t="s">
        <v>59</v>
      </c>
      <c r="C3" s="498" t="s">
        <v>1549</v>
      </c>
      <c r="D3" s="499"/>
      <c r="E3" s="499"/>
      <c r="F3" s="499"/>
      <c r="G3" s="499"/>
      <c r="H3" s="499"/>
      <c r="I3" s="499"/>
      <c r="J3" s="500"/>
      <c r="K3" s="382" t="s">
        <v>1173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464" t="s">
        <v>73</v>
      </c>
      <c r="U4" s="465"/>
    </row>
    <row r="5" spans="1:21" ht="15.75" customHeight="1" x14ac:dyDescent="0.3">
      <c r="A5" s="377"/>
      <c r="B5" s="38" t="s">
        <v>60</v>
      </c>
      <c r="C5" s="391" t="s">
        <v>1098</v>
      </c>
      <c r="D5" s="392"/>
      <c r="E5" s="392"/>
      <c r="F5" s="392"/>
      <c r="G5" s="392"/>
      <c r="H5" s="392"/>
      <c r="I5" s="392"/>
      <c r="J5" s="393"/>
      <c r="K5" s="383"/>
      <c r="L5" s="38" t="s">
        <v>60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15.75" customHeight="1" x14ac:dyDescent="0.3">
      <c r="A6" s="378"/>
      <c r="B6" s="38" t="s">
        <v>75</v>
      </c>
      <c r="C6" s="391" t="s">
        <v>1097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974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78</v>
      </c>
      <c r="G7" s="311"/>
      <c r="H7" s="311"/>
      <c r="I7" s="373"/>
      <c r="J7" s="374" t="s">
        <v>67</v>
      </c>
      <c r="K7" s="373"/>
      <c r="L7" s="374" t="s">
        <v>42</v>
      </c>
      <c r="M7" s="311"/>
      <c r="N7" s="311"/>
      <c r="O7" s="311"/>
      <c r="P7" s="373"/>
      <c r="Q7" s="374" t="s">
        <v>68</v>
      </c>
      <c r="R7" s="311"/>
      <c r="S7" s="373"/>
      <c r="T7" s="374" t="s">
        <v>69</v>
      </c>
      <c r="U7" s="375"/>
    </row>
    <row r="8" spans="1:21" ht="15" customHeight="1" x14ac:dyDescent="0.3">
      <c r="A8" s="501" t="s">
        <v>1136</v>
      </c>
      <c r="B8" s="502"/>
      <c r="C8" s="502"/>
      <c r="D8" s="502"/>
      <c r="E8" s="503"/>
      <c r="F8" s="504"/>
      <c r="G8" s="502"/>
      <c r="H8" s="502"/>
      <c r="I8" s="503"/>
      <c r="J8" s="420">
        <v>1</v>
      </c>
      <c r="K8" s="419"/>
      <c r="L8" s="505">
        <v>1000000</v>
      </c>
      <c r="M8" s="506"/>
      <c r="N8" s="506"/>
      <c r="O8" s="506"/>
      <c r="P8" s="507"/>
      <c r="Q8" s="505">
        <v>1000000</v>
      </c>
      <c r="R8" s="506"/>
      <c r="S8" s="507"/>
      <c r="T8" s="424"/>
      <c r="U8" s="425"/>
    </row>
    <row r="9" spans="1:21" ht="15" customHeight="1" x14ac:dyDescent="0.3">
      <c r="A9" s="491"/>
      <c r="B9" s="492"/>
      <c r="C9" s="492"/>
      <c r="D9" s="492"/>
      <c r="E9" s="493"/>
      <c r="F9" s="494"/>
      <c r="G9" s="492"/>
      <c r="H9" s="492"/>
      <c r="I9" s="493"/>
      <c r="J9" s="409"/>
      <c r="K9" s="408"/>
      <c r="L9" s="488"/>
      <c r="M9" s="489"/>
      <c r="N9" s="489"/>
      <c r="O9" s="489"/>
      <c r="P9" s="490"/>
      <c r="Q9" s="488"/>
      <c r="R9" s="489"/>
      <c r="S9" s="490"/>
      <c r="T9" s="413"/>
      <c r="U9" s="414"/>
    </row>
    <row r="10" spans="1:21" ht="15" customHeight="1" x14ac:dyDescent="0.3">
      <c r="A10" s="491"/>
      <c r="B10" s="492"/>
      <c r="C10" s="492"/>
      <c r="D10" s="492"/>
      <c r="E10" s="493"/>
      <c r="F10" s="494"/>
      <c r="G10" s="492"/>
      <c r="H10" s="492"/>
      <c r="I10" s="493"/>
      <c r="J10" s="409"/>
      <c r="K10" s="408"/>
      <c r="L10" s="488"/>
      <c r="M10" s="489"/>
      <c r="N10" s="489"/>
      <c r="O10" s="489"/>
      <c r="P10" s="490"/>
      <c r="Q10" s="488"/>
      <c r="R10" s="489"/>
      <c r="S10" s="490"/>
      <c r="T10" s="413"/>
      <c r="U10" s="414"/>
    </row>
    <row r="11" spans="1:21" ht="15" customHeight="1" x14ac:dyDescent="0.3">
      <c r="A11" s="491"/>
      <c r="B11" s="492"/>
      <c r="C11" s="492"/>
      <c r="D11" s="492"/>
      <c r="E11" s="493"/>
      <c r="F11" s="494"/>
      <c r="G11" s="492"/>
      <c r="H11" s="492"/>
      <c r="I11" s="493"/>
      <c r="J11" s="409"/>
      <c r="K11" s="408"/>
      <c r="L11" s="488"/>
      <c r="M11" s="489"/>
      <c r="N11" s="489"/>
      <c r="O11" s="489"/>
      <c r="P11" s="490"/>
      <c r="Q11" s="488"/>
      <c r="R11" s="489"/>
      <c r="S11" s="490"/>
      <c r="T11" s="413"/>
      <c r="U11" s="414"/>
    </row>
    <row r="12" spans="1:21" ht="15" customHeight="1" x14ac:dyDescent="0.3">
      <c r="A12" s="491"/>
      <c r="B12" s="492"/>
      <c r="C12" s="492"/>
      <c r="D12" s="492"/>
      <c r="E12" s="493"/>
      <c r="F12" s="494"/>
      <c r="G12" s="492"/>
      <c r="H12" s="492"/>
      <c r="I12" s="493"/>
      <c r="J12" s="409"/>
      <c r="K12" s="408"/>
      <c r="L12" s="488"/>
      <c r="M12" s="489"/>
      <c r="N12" s="489"/>
      <c r="O12" s="489"/>
      <c r="P12" s="490"/>
      <c r="Q12" s="488"/>
      <c r="R12" s="489"/>
      <c r="S12" s="490"/>
      <c r="T12" s="413"/>
      <c r="U12" s="414"/>
    </row>
    <row r="13" spans="1:21" ht="15" customHeight="1" x14ac:dyDescent="0.3">
      <c r="A13" s="491"/>
      <c r="B13" s="492"/>
      <c r="C13" s="492"/>
      <c r="D13" s="492"/>
      <c r="E13" s="493"/>
      <c r="F13" s="495"/>
      <c r="G13" s="496"/>
      <c r="H13" s="496"/>
      <c r="I13" s="497"/>
      <c r="J13" s="409"/>
      <c r="K13" s="408"/>
      <c r="L13" s="488"/>
      <c r="M13" s="489"/>
      <c r="N13" s="489"/>
      <c r="O13" s="489"/>
      <c r="P13" s="490"/>
      <c r="Q13" s="488"/>
      <c r="R13" s="489"/>
      <c r="S13" s="490"/>
      <c r="T13" s="413"/>
      <c r="U13" s="414"/>
    </row>
    <row r="14" spans="1:21" ht="15" customHeight="1" x14ac:dyDescent="0.3">
      <c r="A14" s="491"/>
      <c r="B14" s="492"/>
      <c r="C14" s="492"/>
      <c r="D14" s="492"/>
      <c r="E14" s="493"/>
      <c r="F14" s="494"/>
      <c r="G14" s="492"/>
      <c r="H14" s="492"/>
      <c r="I14" s="493"/>
      <c r="J14" s="409"/>
      <c r="K14" s="408"/>
      <c r="L14" s="488"/>
      <c r="M14" s="489"/>
      <c r="N14" s="489"/>
      <c r="O14" s="489"/>
      <c r="P14" s="490"/>
      <c r="Q14" s="488"/>
      <c r="R14" s="489"/>
      <c r="S14" s="490"/>
      <c r="T14" s="413"/>
      <c r="U14" s="414"/>
    </row>
    <row r="15" spans="1:21" ht="15" customHeight="1" x14ac:dyDescent="0.3">
      <c r="A15" s="406"/>
      <c r="B15" s="407"/>
      <c r="C15" s="407"/>
      <c r="D15" s="407"/>
      <c r="E15" s="408"/>
      <c r="F15" s="409"/>
      <c r="G15" s="407"/>
      <c r="H15" s="407"/>
      <c r="I15" s="408"/>
      <c r="J15" s="409"/>
      <c r="K15" s="408"/>
      <c r="L15" s="478"/>
      <c r="M15" s="479"/>
      <c r="N15" s="479"/>
      <c r="O15" s="479"/>
      <c r="P15" s="480"/>
      <c r="Q15" s="478"/>
      <c r="R15" s="479"/>
      <c r="S15" s="480"/>
      <c r="T15" s="413"/>
      <c r="U15" s="414"/>
    </row>
    <row r="16" spans="1:21" ht="15" customHeight="1" x14ac:dyDescent="0.3">
      <c r="A16" s="406"/>
      <c r="B16" s="407"/>
      <c r="C16" s="407"/>
      <c r="D16" s="407"/>
      <c r="E16" s="408"/>
      <c r="F16" s="409"/>
      <c r="G16" s="407"/>
      <c r="H16" s="407"/>
      <c r="I16" s="408"/>
      <c r="J16" s="409"/>
      <c r="K16" s="408"/>
      <c r="L16" s="478"/>
      <c r="M16" s="479"/>
      <c r="N16" s="479"/>
      <c r="O16" s="479"/>
      <c r="P16" s="480"/>
      <c r="Q16" s="478"/>
      <c r="R16" s="479"/>
      <c r="S16" s="480"/>
      <c r="T16" s="413"/>
      <c r="U16" s="414"/>
    </row>
    <row r="17" spans="1:21" ht="15" customHeight="1" x14ac:dyDescent="0.3">
      <c r="A17" s="406"/>
      <c r="B17" s="407"/>
      <c r="C17" s="407"/>
      <c r="D17" s="407"/>
      <c r="E17" s="408"/>
      <c r="F17" s="409"/>
      <c r="G17" s="407"/>
      <c r="H17" s="407"/>
      <c r="I17" s="408"/>
      <c r="J17" s="409"/>
      <c r="K17" s="408"/>
      <c r="L17" s="478"/>
      <c r="M17" s="479"/>
      <c r="N17" s="479"/>
      <c r="O17" s="479"/>
      <c r="P17" s="480"/>
      <c r="Q17" s="478"/>
      <c r="R17" s="479"/>
      <c r="S17" s="480"/>
      <c r="T17" s="413"/>
      <c r="U17" s="414"/>
    </row>
    <row r="18" spans="1:21" ht="15" customHeight="1" x14ac:dyDescent="0.3">
      <c r="A18" s="406"/>
      <c r="B18" s="407"/>
      <c r="C18" s="407"/>
      <c r="D18" s="407"/>
      <c r="E18" s="408"/>
      <c r="F18" s="409"/>
      <c r="G18" s="407"/>
      <c r="H18" s="407"/>
      <c r="I18" s="408"/>
      <c r="J18" s="409"/>
      <c r="K18" s="408"/>
      <c r="L18" s="478"/>
      <c r="M18" s="479"/>
      <c r="N18" s="479"/>
      <c r="O18" s="479"/>
      <c r="P18" s="480"/>
      <c r="Q18" s="478"/>
      <c r="R18" s="479"/>
      <c r="S18" s="480"/>
      <c r="T18" s="413"/>
      <c r="U18" s="414"/>
    </row>
    <row r="19" spans="1:21" ht="15" customHeight="1" x14ac:dyDescent="0.3">
      <c r="A19" s="449"/>
      <c r="B19" s="450"/>
      <c r="C19" s="450"/>
      <c r="D19" s="450"/>
      <c r="E19" s="451"/>
      <c r="F19" s="452"/>
      <c r="G19" s="450"/>
      <c r="H19" s="450"/>
      <c r="I19" s="451"/>
      <c r="J19" s="452"/>
      <c r="K19" s="451"/>
      <c r="L19" s="466"/>
      <c r="M19" s="467"/>
      <c r="N19" s="467"/>
      <c r="O19" s="467"/>
      <c r="P19" s="468"/>
      <c r="Q19" s="466"/>
      <c r="R19" s="467"/>
      <c r="S19" s="468"/>
      <c r="T19" s="469"/>
      <c r="U19" s="470"/>
    </row>
    <row r="20" spans="1:21" x14ac:dyDescent="0.3">
      <c r="A20" s="310" t="s">
        <v>80</v>
      </c>
      <c r="B20" s="311"/>
      <c r="C20" s="311"/>
      <c r="D20" s="311"/>
      <c r="E20" s="311"/>
      <c r="F20" s="312">
        <v>2450000</v>
      </c>
      <c r="G20" s="312"/>
      <c r="H20" s="312"/>
      <c r="I20" s="313"/>
      <c r="J20" s="457">
        <f>SUM(J8:K19)</f>
        <v>1</v>
      </c>
      <c r="K20" s="457"/>
      <c r="L20" s="511" t="s">
        <v>959</v>
      </c>
      <c r="M20" s="512"/>
      <c r="N20" s="512"/>
      <c r="O20" s="512"/>
      <c r="P20" s="513"/>
      <c r="Q20" s="352">
        <f>SUM(Q8:S19)</f>
        <v>1000000</v>
      </c>
      <c r="R20" s="312"/>
      <c r="S20" s="312"/>
      <c r="T20" s="312"/>
      <c r="U20" s="353"/>
    </row>
    <row r="21" spans="1:21" ht="17.25" thickBot="1" x14ac:dyDescent="0.35">
      <c r="A21" s="315" t="s">
        <v>90</v>
      </c>
      <c r="B21" s="316"/>
      <c r="C21" s="316"/>
      <c r="D21" s="316"/>
      <c r="E21" s="316"/>
      <c r="F21" s="317">
        <f>F20+Q20</f>
        <v>3450000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45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5">
      <c r="A24" s="461" t="s">
        <v>71</v>
      </c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3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76" t="s">
        <v>1172</v>
      </c>
      <c r="B26" s="37" t="s">
        <v>59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82" t="s">
        <v>1173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77"/>
      <c r="B27" s="37" t="s">
        <v>61</v>
      </c>
      <c r="C27" s="508">
        <f>C4</f>
        <v>0</v>
      </c>
      <c r="D27" s="509"/>
      <c r="E27" s="509"/>
      <c r="F27" s="509"/>
      <c r="G27" s="509"/>
      <c r="H27" s="509"/>
      <c r="I27" s="509"/>
      <c r="J27" s="510"/>
      <c r="K27" s="383"/>
      <c r="L27" s="37" t="s">
        <v>61</v>
      </c>
      <c r="M27" s="391" t="str">
        <f>M4</f>
        <v>259-12-01768</v>
      </c>
      <c r="N27" s="392"/>
      <c r="O27" s="392"/>
      <c r="P27" s="392"/>
      <c r="Q27" s="392"/>
      <c r="R27" s="393"/>
      <c r="S27" s="38" t="s">
        <v>62</v>
      </c>
      <c r="T27" s="464" t="str">
        <f>T4</f>
        <v>장효주</v>
      </c>
      <c r="U27" s="465"/>
    </row>
    <row r="28" spans="1:21" ht="15.75" customHeight="1" x14ac:dyDescent="0.3">
      <c r="A28" s="377"/>
      <c r="B28" s="38" t="s">
        <v>10</v>
      </c>
      <c r="C28" s="391" t="str">
        <f>C5</f>
        <v>대구광역시 서구 가르뱅이로 53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tr">
        <f>M5</f>
        <v>대구 달서구 용산로 28(본리동)</v>
      </c>
      <c r="N28" s="392"/>
      <c r="O28" s="392"/>
      <c r="P28" s="392"/>
      <c r="Q28" s="392"/>
      <c r="R28" s="392"/>
      <c r="S28" s="392"/>
      <c r="T28" s="392"/>
      <c r="U28" s="394"/>
    </row>
    <row r="29" spans="1:21" ht="15.75" customHeight="1" x14ac:dyDescent="0.3">
      <c r="A29" s="378"/>
      <c r="B29" s="38" t="s">
        <v>75</v>
      </c>
      <c r="C29" s="391" t="str">
        <f>C6</f>
        <v>010-5102-8176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tr">
        <f>M6</f>
        <v>010-5168-3542</v>
      </c>
      <c r="N29" s="392"/>
      <c r="O29" s="392"/>
      <c r="P29" s="392"/>
      <c r="Q29" s="392"/>
      <c r="R29" s="393"/>
      <c r="S29" s="38" t="s">
        <v>22</v>
      </c>
      <c r="T29" s="391"/>
      <c r="U29" s="394"/>
    </row>
    <row r="30" spans="1:21" ht="15.75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67</v>
      </c>
      <c r="K30" s="373"/>
      <c r="L30" s="374" t="s">
        <v>42</v>
      </c>
      <c r="M30" s="311"/>
      <c r="N30" s="311"/>
      <c r="O30" s="311"/>
      <c r="P30" s="373"/>
      <c r="Q30" s="374" t="s">
        <v>68</v>
      </c>
      <c r="R30" s="311"/>
      <c r="S30" s="373"/>
      <c r="T30" s="374" t="s">
        <v>69</v>
      </c>
      <c r="U30" s="375"/>
    </row>
    <row r="31" spans="1:21" ht="15" customHeight="1" x14ac:dyDescent="0.3">
      <c r="A31" s="475" t="str">
        <f>A8</f>
        <v>8HP70 VALBEBODY</v>
      </c>
      <c r="B31" s="476"/>
      <c r="C31" s="476"/>
      <c r="D31" s="476"/>
      <c r="E31" s="476"/>
      <c r="F31" s="476">
        <f>F8</f>
        <v>0</v>
      </c>
      <c r="G31" s="476"/>
      <c r="H31" s="476"/>
      <c r="I31" s="476"/>
      <c r="J31" s="476">
        <f>J8</f>
        <v>1</v>
      </c>
      <c r="K31" s="476"/>
      <c r="L31" s="477">
        <f>L8</f>
        <v>1000000</v>
      </c>
      <c r="M31" s="477"/>
      <c r="N31" s="477"/>
      <c r="O31" s="477"/>
      <c r="P31" s="477"/>
      <c r="Q31" s="477">
        <f>Q8</f>
        <v>1000000</v>
      </c>
      <c r="R31" s="477"/>
      <c r="S31" s="477"/>
      <c r="T31" s="476">
        <f>T8</f>
        <v>0</v>
      </c>
      <c r="U31" s="487"/>
    </row>
    <row r="32" spans="1:21" ht="15" customHeight="1" x14ac:dyDescent="0.3">
      <c r="A32" s="456">
        <f t="shared" ref="A32:A42" si="0">A9</f>
        <v>0</v>
      </c>
      <c r="B32" s="453"/>
      <c r="C32" s="453"/>
      <c r="D32" s="453"/>
      <c r="E32" s="453"/>
      <c r="F32" s="453">
        <f t="shared" ref="F32:F42" si="1">F9</f>
        <v>0</v>
      </c>
      <c r="G32" s="453"/>
      <c r="H32" s="453"/>
      <c r="I32" s="453"/>
      <c r="J32" s="453">
        <f t="shared" ref="J32:J42" si="2">J9</f>
        <v>0</v>
      </c>
      <c r="K32" s="453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53">
        <f t="shared" ref="T32:T42" si="5">T9</f>
        <v>0</v>
      </c>
      <c r="U32" s="454"/>
    </row>
    <row r="33" spans="1:21" ht="15" customHeight="1" x14ac:dyDescent="0.3">
      <c r="A33" s="456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53">
        <f t="shared" si="2"/>
        <v>0</v>
      </c>
      <c r="K33" s="453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53">
        <f t="shared" si="5"/>
        <v>0</v>
      </c>
      <c r="U33" s="454"/>
    </row>
    <row r="34" spans="1:21" ht="15" customHeight="1" x14ac:dyDescent="0.3">
      <c r="A34" s="456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53">
        <v>1</v>
      </c>
      <c r="K34" s="453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53">
        <f t="shared" si="5"/>
        <v>0</v>
      </c>
      <c r="U34" s="454"/>
    </row>
    <row r="35" spans="1:21" ht="15" customHeight="1" x14ac:dyDescent="0.3">
      <c r="A35" s="456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53">
        <f t="shared" si="2"/>
        <v>0</v>
      </c>
      <c r="K35" s="453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53">
        <f t="shared" si="5"/>
        <v>0</v>
      </c>
      <c r="U35" s="454"/>
    </row>
    <row r="36" spans="1:21" ht="15" customHeight="1" x14ac:dyDescent="0.3">
      <c r="A36" s="456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53">
        <f t="shared" si="2"/>
        <v>0</v>
      </c>
      <c r="K36" s="453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53">
        <f t="shared" si="5"/>
        <v>0</v>
      </c>
      <c r="U36" s="454"/>
    </row>
    <row r="37" spans="1:21" ht="15" customHeight="1" x14ac:dyDescent="0.3">
      <c r="A37" s="456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53">
        <f t="shared" si="2"/>
        <v>0</v>
      </c>
      <c r="K37" s="453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53">
        <f t="shared" si="5"/>
        <v>0</v>
      </c>
      <c r="U37" s="454"/>
    </row>
    <row r="38" spans="1:21" ht="15" customHeight="1" x14ac:dyDescent="0.3">
      <c r="A38" s="456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3">
        <f t="shared" si="2"/>
        <v>0</v>
      </c>
      <c r="K38" s="453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53">
        <f t="shared" si="5"/>
        <v>0</v>
      </c>
      <c r="U38" s="454"/>
    </row>
    <row r="39" spans="1:21" ht="15" customHeight="1" x14ac:dyDescent="0.3">
      <c r="A39" s="456">
        <f t="shared" si="0"/>
        <v>0</v>
      </c>
      <c r="B39" s="453"/>
      <c r="C39" s="453"/>
      <c r="D39" s="453"/>
      <c r="E39" s="453"/>
      <c r="F39" s="453">
        <f t="shared" si="1"/>
        <v>0</v>
      </c>
      <c r="G39" s="453"/>
      <c r="H39" s="453"/>
      <c r="I39" s="453"/>
      <c r="J39" s="453">
        <f t="shared" si="2"/>
        <v>0</v>
      </c>
      <c r="K39" s="453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53">
        <f t="shared" si="5"/>
        <v>0</v>
      </c>
      <c r="U39" s="454"/>
    </row>
    <row r="40" spans="1:21" ht="15" customHeight="1" x14ac:dyDescent="0.3">
      <c r="A40" s="456">
        <f t="shared" si="0"/>
        <v>0</v>
      </c>
      <c r="B40" s="453"/>
      <c r="C40" s="453"/>
      <c r="D40" s="453"/>
      <c r="E40" s="453"/>
      <c r="F40" s="453">
        <f t="shared" si="1"/>
        <v>0</v>
      </c>
      <c r="G40" s="453"/>
      <c r="H40" s="453"/>
      <c r="I40" s="453"/>
      <c r="J40" s="453">
        <f t="shared" si="2"/>
        <v>0</v>
      </c>
      <c r="K40" s="453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53">
        <f t="shared" si="5"/>
        <v>0</v>
      </c>
      <c r="U40" s="454"/>
    </row>
    <row r="41" spans="1:21" ht="15" customHeight="1" x14ac:dyDescent="0.3">
      <c r="A41" s="456">
        <f t="shared" si="0"/>
        <v>0</v>
      </c>
      <c r="B41" s="453"/>
      <c r="C41" s="453"/>
      <c r="D41" s="453"/>
      <c r="E41" s="453"/>
      <c r="F41" s="453">
        <f t="shared" si="1"/>
        <v>0</v>
      </c>
      <c r="G41" s="453"/>
      <c r="H41" s="453"/>
      <c r="I41" s="453"/>
      <c r="J41" s="453">
        <f t="shared" si="2"/>
        <v>0</v>
      </c>
      <c r="K41" s="453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53">
        <f t="shared" si="5"/>
        <v>0</v>
      </c>
      <c r="U41" s="454"/>
    </row>
    <row r="42" spans="1:21" ht="15" customHeight="1" x14ac:dyDescent="0.3">
      <c r="A42" s="471">
        <f t="shared" si="0"/>
        <v>0</v>
      </c>
      <c r="B42" s="472"/>
      <c r="C42" s="472"/>
      <c r="D42" s="472"/>
      <c r="E42" s="472"/>
      <c r="F42" s="472">
        <f t="shared" si="1"/>
        <v>0</v>
      </c>
      <c r="G42" s="472"/>
      <c r="H42" s="472"/>
      <c r="I42" s="472"/>
      <c r="J42" s="472">
        <f t="shared" si="2"/>
        <v>0</v>
      </c>
      <c r="K42" s="472"/>
      <c r="L42" s="473">
        <f t="shared" si="3"/>
        <v>0</v>
      </c>
      <c r="M42" s="473"/>
      <c r="N42" s="473"/>
      <c r="O42" s="473"/>
      <c r="P42" s="473"/>
      <c r="Q42" s="473">
        <f t="shared" si="4"/>
        <v>0</v>
      </c>
      <c r="R42" s="473"/>
      <c r="S42" s="473"/>
      <c r="T42" s="472">
        <f t="shared" si="5"/>
        <v>0</v>
      </c>
      <c r="U42" s="474"/>
    </row>
    <row r="43" spans="1:21" x14ac:dyDescent="0.3">
      <c r="A43" s="310" t="s">
        <v>80</v>
      </c>
      <c r="B43" s="311"/>
      <c r="C43" s="311"/>
      <c r="D43" s="311"/>
      <c r="E43" s="311"/>
      <c r="F43" s="312">
        <f>F20</f>
        <v>2450000</v>
      </c>
      <c r="G43" s="312"/>
      <c r="H43" s="312"/>
      <c r="I43" s="313"/>
      <c r="J43" s="457">
        <f>J20</f>
        <v>1</v>
      </c>
      <c r="K43" s="457"/>
      <c r="L43" s="511" t="s">
        <v>959</v>
      </c>
      <c r="M43" s="512"/>
      <c r="N43" s="512"/>
      <c r="O43" s="512"/>
      <c r="P43" s="513"/>
      <c r="Q43" s="514">
        <f>Q20</f>
        <v>1000000</v>
      </c>
      <c r="R43" s="515"/>
      <c r="S43" s="515"/>
      <c r="T43" s="515"/>
      <c r="U43" s="516"/>
    </row>
    <row r="44" spans="1:21" ht="17.25" thickBot="1" x14ac:dyDescent="0.35">
      <c r="A44" s="315" t="s">
        <v>90</v>
      </c>
      <c r="B44" s="316"/>
      <c r="C44" s="316"/>
      <c r="D44" s="316"/>
      <c r="E44" s="316"/>
      <c r="F44" s="317">
        <f>F21</f>
        <v>3450000</v>
      </c>
      <c r="G44" s="317"/>
      <c r="H44" s="317"/>
      <c r="I44" s="318"/>
      <c r="J44" s="319" t="s">
        <v>965</v>
      </c>
      <c r="K44" s="316"/>
      <c r="L44" s="320" t="str">
        <f>L21</f>
        <v>장효주</v>
      </c>
      <c r="M44" s="320"/>
      <c r="N44" s="320"/>
      <c r="O44" s="319" t="s">
        <v>64</v>
      </c>
      <c r="P44" s="345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52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877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3241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3242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3243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3246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3247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3248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3250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3252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3254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3256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3257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3258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3259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3261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3263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3264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3265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3267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3268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3270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3271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3272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3273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3274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3276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3279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3280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3283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3285</v>
      </c>
    </row>
    <row r="718" spans="1:4" x14ac:dyDescent="0.3">
      <c r="A718">
        <v>742</v>
      </c>
      <c r="B718" s="13">
        <v>45891</v>
      </c>
      <c r="C718" t="s">
        <v>3286</v>
      </c>
      <c r="D718" t="s">
        <v>3290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3291</v>
      </c>
    </row>
    <row r="720" spans="1:4" x14ac:dyDescent="0.3">
      <c r="A720">
        <v>744</v>
      </c>
      <c r="B720" s="13">
        <v>45891</v>
      </c>
      <c r="C720" t="s">
        <v>3292</v>
      </c>
      <c r="D720" t="s">
        <v>3298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3300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3305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3306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3307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3308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3312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3313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3314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3315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3316</v>
      </c>
    </row>
    <row r="731" spans="1:4" x14ac:dyDescent="0.3">
      <c r="A731">
        <v>755</v>
      </c>
      <c r="B731" s="13">
        <v>45894</v>
      </c>
      <c r="C731" t="s">
        <v>3317</v>
      </c>
      <c r="D731" t="s">
        <v>3321</v>
      </c>
    </row>
    <row r="732" spans="1:4" x14ac:dyDescent="0.3">
      <c r="A732">
        <v>756</v>
      </c>
      <c r="B732" s="13">
        <v>45894</v>
      </c>
      <c r="C732" t="s">
        <v>3317</v>
      </c>
      <c r="D732" t="s">
        <v>3322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3323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3325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3326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3327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3328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3329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3333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3334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3335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3337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3338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3341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3342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3346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3348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3349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3350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3351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3359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3360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3361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3362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3363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3364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3365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3371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3372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3373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3374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3375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3382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3383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3384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3385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3386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3387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3388</v>
      </c>
    </row>
    <row r="771" spans="1:4" x14ac:dyDescent="0.3">
      <c r="A771">
        <v>795</v>
      </c>
      <c r="B771" s="13">
        <v>45901</v>
      </c>
      <c r="C771" t="s">
        <v>3376</v>
      </c>
      <c r="D771" t="s">
        <v>3389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3390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3394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3395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3396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3397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3398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3400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3401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3402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3403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3404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3406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3408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3411</v>
      </c>
    </row>
    <row r="786" spans="1:4" x14ac:dyDescent="0.3">
      <c r="A786">
        <v>810</v>
      </c>
      <c r="B786" s="13">
        <v>45903</v>
      </c>
      <c r="C786" t="s">
        <v>3317</v>
      </c>
      <c r="D786" t="s">
        <v>3412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3416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3417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3421</v>
      </c>
    </row>
    <row r="790" spans="1:4" x14ac:dyDescent="0.3">
      <c r="A790">
        <v>814</v>
      </c>
      <c r="B790" s="13">
        <v>45903</v>
      </c>
      <c r="C790" t="s">
        <v>3418</v>
      </c>
      <c r="D790" t="s">
        <v>3422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3423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3424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3426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3428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3429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3439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3440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3441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3442</v>
      </c>
    </row>
    <row r="800" spans="1:4" x14ac:dyDescent="0.3">
      <c r="A800">
        <v>824</v>
      </c>
      <c r="B800" s="13">
        <v>45904</v>
      </c>
      <c r="C800" t="s">
        <v>3435</v>
      </c>
      <c r="D800" t="s">
        <v>3443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3446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3447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3448</v>
      </c>
    </row>
    <row r="804" spans="1:4" x14ac:dyDescent="0.3">
      <c r="A804">
        <v>828</v>
      </c>
      <c r="B804" s="13">
        <v>45904</v>
      </c>
      <c r="C804" t="s">
        <v>3427</v>
      </c>
      <c r="D804" t="s">
        <v>3449</v>
      </c>
    </row>
    <row r="805" spans="1:4" x14ac:dyDescent="0.3">
      <c r="A805">
        <v>829</v>
      </c>
      <c r="B805" s="13">
        <v>45904</v>
      </c>
      <c r="C805" t="s">
        <v>3427</v>
      </c>
      <c r="D805" t="s">
        <v>3450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3451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3452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3453</v>
      </c>
    </row>
    <row r="809" spans="1:4" x14ac:dyDescent="0.3">
      <c r="A809">
        <v>833</v>
      </c>
      <c r="B809" s="13">
        <v>45904</v>
      </c>
      <c r="C809" t="s">
        <v>3435</v>
      </c>
      <c r="D809" t="s">
        <v>3454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3455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3456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3457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3458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3465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3466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3468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3469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3471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3472</v>
      </c>
    </row>
    <row r="820" spans="1:4" x14ac:dyDescent="0.3">
      <c r="A820">
        <v>844</v>
      </c>
      <c r="B820" s="13">
        <v>45905</v>
      </c>
      <c r="C820" t="s">
        <v>3473</v>
      </c>
      <c r="D820" t="s">
        <v>3474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3475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3487</v>
      </c>
    </row>
    <row r="823" spans="1:4" x14ac:dyDescent="0.3">
      <c r="A823">
        <v>847</v>
      </c>
      <c r="B823" s="13">
        <v>45906</v>
      </c>
      <c r="C823" t="s">
        <v>3488</v>
      </c>
      <c r="D823" t="s">
        <v>3497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3499</v>
      </c>
    </row>
    <row r="825" spans="1:4" x14ac:dyDescent="0.3">
      <c r="A825">
        <v>849</v>
      </c>
      <c r="B825" s="13">
        <v>45906</v>
      </c>
      <c r="C825" t="s">
        <v>3491</v>
      </c>
      <c r="D825" t="s">
        <v>3501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3503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3504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3505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3506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3509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3510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3511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3512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3526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3527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3528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3529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3530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3532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3533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3535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3538</v>
      </c>
    </row>
    <row r="843" spans="1:4" x14ac:dyDescent="0.3">
      <c r="A843">
        <v>867</v>
      </c>
      <c r="B843" s="13">
        <v>45910</v>
      </c>
      <c r="C843" t="s">
        <v>3536</v>
      </c>
      <c r="D843" t="s">
        <v>3542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3543</v>
      </c>
    </row>
    <row r="845" spans="1:4" x14ac:dyDescent="0.3">
      <c r="A845">
        <v>869</v>
      </c>
      <c r="B845" s="13">
        <v>45910</v>
      </c>
      <c r="C845" t="s">
        <v>3418</v>
      </c>
      <c r="D845" t="s">
        <v>3544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3545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3546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3547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3548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3549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3550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3551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7" sqref="E1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184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3554</v>
      </c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  <c r="I5" s="52" t="s">
        <v>3554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3405000</v>
      </c>
      <c r="I10" s="52" t="s">
        <v>3554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3353</v>
      </c>
      <c r="F13" t="s">
        <v>32</v>
      </c>
      <c r="G13" t="s">
        <v>3343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19620000.199999999</v>
      </c>
      <c r="I17" s="52" t="s">
        <v>3554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6615000</v>
      </c>
      <c r="I19" s="52" t="s">
        <v>3554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1484999.6999999993</v>
      </c>
      <c r="I20" s="52" t="s">
        <v>3554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3419</v>
      </c>
      <c r="E24" t="s">
        <v>3420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3558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3299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1210000</v>
      </c>
      <c r="I32" s="52" t="s">
        <v>3554</v>
      </c>
    </row>
    <row r="33" spans="1:9" x14ac:dyDescent="0.3">
      <c r="A33" s="47">
        <v>32</v>
      </c>
      <c r="B33" t="s">
        <v>1306</v>
      </c>
      <c r="C33" t="s">
        <v>3354</v>
      </c>
      <c r="E33" t="s">
        <v>3355</v>
      </c>
      <c r="F33" t="s">
        <v>3356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4408000</v>
      </c>
      <c r="I37" s="52" t="s">
        <v>3554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3513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3558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20000</v>
      </c>
      <c r="I54" s="52" t="s">
        <v>3554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3554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3299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  <c r="I68" s="52" t="s">
        <v>3554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3368</v>
      </c>
      <c r="J73" t="s">
        <v>3393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3554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3558</v>
      </c>
    </row>
    <row r="78" spans="1:10" x14ac:dyDescent="0.3">
      <c r="A78" s="47">
        <v>77</v>
      </c>
      <c r="B78" t="s">
        <v>1342</v>
      </c>
      <c r="C78" t="s">
        <v>3436</v>
      </c>
      <c r="E78" t="s">
        <v>3437</v>
      </c>
      <c r="F78" t="s">
        <v>963</v>
      </c>
      <c r="G78" t="s">
        <v>3438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1250000</v>
      </c>
      <c r="I79" s="52" t="s">
        <v>3554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3409</v>
      </c>
      <c r="E82" t="s">
        <v>3410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3430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1040000</v>
      </c>
      <c r="I84" s="52" t="s">
        <v>3554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3368</v>
      </c>
      <c r="J95" t="s">
        <v>3393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3554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3525</v>
      </c>
      <c r="H99" s="194">
        <f>SUMIF(주문_리스트!C:C,거래처!B99,주문_리스트!K:K)+SUMIF(주문_리스트!C:C,거래처!B99,주문_리스트!L:L)</f>
        <v>0</v>
      </c>
      <c r="I99" s="52" t="s">
        <v>3558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3558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3558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3299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3554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3554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3554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3368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3513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3281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7260000</v>
      </c>
      <c r="I125" s="52" t="s">
        <v>3554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3558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3332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3431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3282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3286</v>
      </c>
      <c r="C175" t="s">
        <v>3287</v>
      </c>
      <c r="E175" t="s">
        <v>3288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3292</v>
      </c>
      <c r="C176" t="s">
        <v>3293</v>
      </c>
      <c r="E176" t="s">
        <v>3294</v>
      </c>
      <c r="F176" t="s">
        <v>1187</v>
      </c>
      <c r="G176" t="s">
        <v>3295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3317</v>
      </c>
      <c r="C177" t="s">
        <v>3318</v>
      </c>
      <c r="E177" t="s">
        <v>3319</v>
      </c>
      <c r="F177" t="s">
        <v>977</v>
      </c>
      <c r="G177" t="s">
        <v>3320</v>
      </c>
      <c r="H177" s="194">
        <f>SUMIF(주문_리스트!C:C,거래처!B177,주문_리스트!K:K)+SUMIF(주문_리스트!C:C,거래처!B177,주문_리스트!L:L)</f>
        <v>0</v>
      </c>
      <c r="K177" t="s">
        <v>3430</v>
      </c>
    </row>
    <row r="178" spans="1:11" x14ac:dyDescent="0.3">
      <c r="A178" s="47">
        <v>177</v>
      </c>
      <c r="B178" t="s">
        <v>3377</v>
      </c>
      <c r="C178" t="s">
        <v>3378</v>
      </c>
      <c r="E178" t="s">
        <v>3379</v>
      </c>
      <c r="F178" t="s">
        <v>3380</v>
      </c>
      <c r="G178" t="s">
        <v>3381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3432</v>
      </c>
      <c r="C179" t="s">
        <v>3433</v>
      </c>
      <c r="E179" t="s">
        <v>3434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3481</v>
      </c>
      <c r="C180" t="s">
        <v>3482</v>
      </c>
      <c r="E180" t="s">
        <v>3483</v>
      </c>
      <c r="F180" t="s">
        <v>3484</v>
      </c>
      <c r="G180" t="s">
        <v>3485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3488</v>
      </c>
      <c r="C181" t="s">
        <v>3489</v>
      </c>
      <c r="E181" t="s">
        <v>3490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3492</v>
      </c>
      <c r="C182" t="s">
        <v>3493</v>
      </c>
      <c r="E182" t="s">
        <v>3494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3536</v>
      </c>
      <c r="C183" t="s">
        <v>3537</v>
      </c>
      <c r="E183" t="s">
        <v>3541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3558</v>
      </c>
    </row>
    <row r="184" spans="1:11" x14ac:dyDescent="0.3"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7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228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-34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-75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-87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3496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-3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-21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-11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-35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-56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-87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-11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-10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-22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0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-3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-1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D208" s="288" t="s">
        <v>2958</v>
      </c>
      <c r="F208" s="52">
        <v>1000000</v>
      </c>
      <c r="H208">
        <f>SUMIF(재고!D:D,제품!D208,재고!G:G)-SUMIF(주문_리스트!E:E,제품!D208,주문_리스트!H:H)</f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3236</v>
      </c>
      <c r="D218" s="288" t="s">
        <v>3237</v>
      </c>
      <c r="E218" s="288" t="s">
        <v>3236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3238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3303</v>
      </c>
      <c r="D220" s="288" t="s">
        <v>3239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3304</v>
      </c>
      <c r="D221" s="288" t="s">
        <v>3301</v>
      </c>
      <c r="E221" s="288">
        <v>501327105</v>
      </c>
      <c r="H221">
        <f>SUMIF(재고!D:D,제품!D221,재고!G:G)-SUMIF(주문_리스트!E:E,제품!D221,주문_리스트!H:H)</f>
        <v>0</v>
      </c>
      <c r="I221" s="52" t="s">
        <v>3302</v>
      </c>
    </row>
    <row r="222" spans="1:9" x14ac:dyDescent="0.3">
      <c r="A222">
        <v>221</v>
      </c>
      <c r="B222">
        <v>4</v>
      </c>
      <c r="C222" s="288" t="s">
        <v>3310</v>
      </c>
      <c r="D222" s="288" t="s">
        <v>3311</v>
      </c>
      <c r="E222" s="288" t="s">
        <v>3310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3339</v>
      </c>
      <c r="D223" s="288" t="s">
        <v>3340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3413</v>
      </c>
      <c r="D224" s="288" t="s">
        <v>3414</v>
      </c>
      <c r="E224" s="288" t="s">
        <v>3413</v>
      </c>
      <c r="H224">
        <f>SUMIF(재고!D:D,제품!D224,재고!G:G)-SUMIF(주문_리스트!E:E,제품!D224,주문_리스트!H:H)</f>
        <v>-1</v>
      </c>
      <c r="I224" s="52" t="s">
        <v>3415</v>
      </c>
    </row>
    <row r="225" spans="1:8" x14ac:dyDescent="0.3">
      <c r="A225">
        <v>224</v>
      </c>
      <c r="B225">
        <v>1</v>
      </c>
      <c r="C225" s="288" t="s">
        <v>3444</v>
      </c>
      <c r="D225" s="288" t="s">
        <v>3445</v>
      </c>
      <c r="E225" s="288" t="s">
        <v>3444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3470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3507</v>
      </c>
      <c r="D227" s="288" t="s">
        <v>3508</v>
      </c>
      <c r="E227" s="288">
        <v>2202701006</v>
      </c>
      <c r="F227" s="52">
        <v>3500000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2025-09-10T00:33:26Z</cp:lastPrinted>
  <dcterms:created xsi:type="dcterms:W3CDTF">2020-10-02T11:51:16Z</dcterms:created>
  <dcterms:modified xsi:type="dcterms:W3CDTF">2025-09-10T09:53:02Z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