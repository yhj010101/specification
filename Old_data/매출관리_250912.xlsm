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56674E7-EE23-4DCE-934A-18AF0EC99F1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<sst xmlns="http://schemas.openxmlformats.org/spreadsheetml/2006/main" count="10479" uniqueCount="3592">
  <si>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</si>
  <si>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</si>
  <si>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</si>
  <si>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</si>
  <si>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</si>
  <si>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</si>
  <si>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</si>
  <si>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</si>
  <si>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</si>
  <si>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</si>
  <si>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</si>
  <si>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</si>
  <si>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</si>
  <si>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</si>
  <si>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</si>
  <si>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</si>
  <si>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</si>
  <si>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</si>
  <si>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</si>
  <si>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</si>
  <si>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</si>
  <si>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</si>
  <si>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</si>
  <si>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</si>
  <si>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</si>
  <si>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</si>
  <si>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</si>
  <si>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</si>
  <si>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</si>
  <si>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</si>
  <si>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</si>
  <si>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</si>
  <si>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</si>
  <si>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</si>
  <si>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</si>
  <si>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</si>
  <si>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</si>
  <si>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</si>
  <si>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</si>
  <si>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</si>
  <si>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</si>
  <si>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</si>
  <si>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</si>
  <si>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</si>
  <si>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</si>
  <si>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</si>
  <si>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</si>
  <si>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</si>
  <si>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</si>
  <si>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</si>
  <si>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</si>
  <si>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</si>
  <si>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</si>
  <si>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</si>
  <si>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</si>
  <si>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</si>
  <si>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</si>
  <si>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</si>
  <si>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</si>
  <si>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</si>
  <si>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</si>
  <si>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</si>
  <si>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</si>
  <si>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</si>
  <si>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</si>
  <si>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</si>
  <si>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</si>
  <si>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</si>
  <si>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</si>
  <si>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</si>
  <si>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</si>
  <si>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</si>
  <si>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</si>
  <si>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</si>
  <si>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</si>
  <si>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</si>
  <si>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</si>
  <si>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</si>
  <si>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</si>
  <si>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</si>
  <si>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</si>
  <si>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</si>
  <si>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</si>
  <si>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</si>
  <si>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</si>
  <si>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</si>
  <si>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</si>
  <si>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</si>
  <si>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</si>
  <si>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</si>
  <si>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</si>
  <si>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</si>
  <si>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</si>
  <si>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</si>
  <si>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</si>
  <si>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</si>
  <si>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</si>
  <si>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</si>
  <si>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</si>
  <si>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</si>
  <si>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</si>
  <si>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</si>
  <si>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</si>
  <si>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</si>
  <si>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</si>
  <si>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</si>
  <si>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</si>
  <si>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</si>
  <si>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</si>
  <si>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</si>
  <si>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</si>
  <si>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</si>
  <si>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</si>
  <si>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</si>
  <si>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</si>
  <si>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</si>
  <si>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</si>
  <si>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</si>
  <si>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</si>
  <si>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</si>
  <si>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</si>
  <si>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</si>
  <si>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</si>
  <si>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</si>
  <si>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</si>
  <si>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</si>
  <si>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</si>
  <si>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</si>
  <si>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</si>
  <si>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</si>
  <si>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</si>
  <si>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</si>
  <si>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</si>
  <si>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</si>
  <si>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</si>
  <si>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</si>
  <si>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</si>
  <si>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</si>
  <si>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</si>
  <si>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</si>
  <si>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</si>
  <si>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</si>
  <si>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</si>
  <si>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</si>
  <si>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</si>
  <si>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</si>
  <si>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</si>
  <si>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</si>
  <si>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</si>
  <si>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</si>
  <si>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</si>
  <si>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</si>
  <si>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</si>
  <si>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</si>
  <si>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</si>
  <si>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</si>
  <si>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</si>
  <si>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</si>
  <si>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</si>
  <si>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</si>
  <si>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</si>
  <si>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</si>
  <si>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</si>
  <si>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</si>
  <si>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</si>
  <si>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</si>
  <si>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</si>
  <si>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</si>
  <si>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</si>
  <si>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</si>
  <si>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</si>
  <si>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</si>
  <si>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</si>
  <si>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</si>
  <si>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</si>
  <si>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</si>
  <si>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</si>
  <si>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</si>
  <si>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</si>
  <si>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</si>
  <si>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</si>
  <si>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</si>
  <si>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</si>
  <si>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</si>
  <si>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</si>
  <si>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</si>
  <si>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</si>
  <si>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</si>
  <si>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</si>
  <si>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</si>
  <si>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</si>
  <si>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</si>
  <si>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</si>
  <si>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</si>
  <si>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</si>
  <si>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</si>
  <si>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</si>
  <si>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</si>
  <si>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</si>
  <si>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</si>
  <si>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</si>
  <si>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</si>
  <si>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</si>
  <si>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</si>
  <si>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</si>
  <si>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</si>
  <si>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</si>
  <si>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</si>
  <si>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</si>
  <si>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</si>
  <si>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</si>
  <si>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</si>
  <si>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</si>
  <si>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</si>
  <si>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</si>
  <si>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</si>
  <si>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</si>
  <si>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</si>
  <si>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</si>
  <si>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</si>
  <si>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</si>
  <si>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</si>
  <si>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</si>
  <si>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</si>
  <si>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</si>
  <si>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</si>
  <si>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</si>
  <si>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</si>
  <si>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</si>
  <si>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</si>
  <si>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</si>
  <si>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</si>
  <si>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</si>
  <si>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</si>
  <si>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</si>
  <si>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</si>
  <si>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</si>
  <si>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</si>
  <si>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</si>
  <si>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</si>
  <si>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</si>
  <si>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</si>
  <si>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</si>
  <si>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</si>
  <si>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</si>
  <si>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</si>
  <si>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</si>
  <si>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</si>
  <si>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</si>
  <si>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</si>
  <si>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</si>
  <si>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</si>
  <si>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</si>
  <si>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</si>
  <si>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</si>
  <si>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</si>
  <si>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</si>
  <si>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</si>
  <si>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</si>
  <si>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</si>
  <si>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</si>
  <si>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</si>
  <si>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</si>
  <si>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</si>
  <si>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</si>
  <si>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</si>
  <si>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</si>
  <si>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</si>
  <si>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</si>
  <si>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</si>
  <si>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</si>
  <si>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</si>
  <si>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</si>
  <si>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</si>
  <si>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</si>
  <si>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</si>
  <si>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</si>
  <si>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</si>
  <si>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</si>
  <si>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</si>
  <si>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</si>
  <si>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</si>
  <si>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</si>
  <si>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</si>
  <si>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</si>
  <si>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</si>
  <si>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</si>
  <si>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</si>
  <si>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</si>
  <si>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</si>
  <si>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</si>
  <si>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</si>
  <si>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</si>
  <si>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</si>
  <si>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</si>
  <si>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</si>
  <si>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</si>
  <si>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</si>
  <si>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</si>
  <si>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</si>
  <si>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</si>
  <si>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</si>
  <si>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</si>
  <si>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</si>
  <si>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</si>
  <si>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</si>
  <si>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</si>
  <si>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</si>
  <si>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</si>
  <si>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</si>
  <si>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</si>
  <si>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</si>
  <si>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</si>
  <si>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</si>
  <si>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</si>
  <si>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</si>
  <si>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</si>
  <si>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</si>
  <si>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</si>
  <si>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</si>
  <si>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</si>
  <si>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</si>
  <si>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</si>
  <si>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</si>
  <si>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</si>
  <si>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</si>
  <si>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</si>
  <si>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</si>
  <si>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</si>
  <si>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</si>
  <si>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</si>
  <si>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</si>
  <si>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</si>
  <si>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</si>
  <si>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</si>
  <si>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</si>
  <si>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</si>
  <si>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</si>
  <si>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</si>
  <si>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</si>
  <si>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</si>
  <si>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</si>
  <si>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</si>
  <si>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</si>
  <si>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</si>
  <si>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</si>
  <si>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</si>
  <si>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</si>
  <si>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</si>
  <si>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</si>
  <si>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</si>
  <si>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</si>
  <si>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</si>
  <si>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</si>
  <si>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</si>
  <si>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</si>
  <si>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</si>
  <si>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</si>
  <si>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</si>
  <si>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</si>
  <si>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</si>
  <si>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</si>
  <si>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</si>
  <si>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</si>
  <si>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</si>
  <si>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</si>
  <si>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</si>
  <si>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</si>
  <si>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</si>
  <si>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</si>
  <si>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</si>
  <si>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</si>
  <si>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</si>
  <si>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</si>
  <si>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</si>
  <si>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</si>
  <si>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</si>
  <si>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</si>
  <si>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</si>
  <si>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</si>
  <si>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</si>
  <si>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</si>
  <si>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</si>
  <si>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</si>
  <si>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</si>
  <si>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</si>
  <si>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</si>
  <si>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</si>
  <si>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</si>
  <si>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</si>
  <si>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</si>
  <si>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</si>
  <si>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</si>
  <si>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</si>
  <si>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</si>
  <si>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</si>
  <si>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</si>
  <si>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</si>
  <si>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</si>
  <si>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</si>
  <si>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</si>
  <si>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</si>
  <si>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</si>
  <si>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</si>
  <si>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</si>
  <si>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</si>
  <si>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</si>
  <si>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</si>
  <si>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</si>
  <si>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</si>
  <si>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</si>
  <si>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</si>
  <si>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</si>
  <si>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</si>
  <si>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</si>
  <si>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</si>
  <si>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</si>
  <si>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</si>
  <si>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</si>
  <si>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</si>
  <si>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</si>
  <si>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</si>
  <si>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</si>
  <si>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</si>
  <si>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</si>
  <si>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</si>
  <si>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</si>
  <si>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</si>
  <si>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</si>
  <si>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</si>
  <si>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</si>
  <si>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</si>
  <si>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</si>
  <si>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</si>
  <si>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</si>
  <si>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</si>
  <si>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</si>
  <si>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</si>
  <si>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</si>
  <si>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</si>
  <si>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</si>
  <si>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</si>
  <si>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</si>
  <si>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</si>
  <si>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</si>
  <si>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</si>
  <si>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</si>
  <si>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</si>
  <si>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</si>
  <si>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</si>
  <si>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</si>
  <si>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</si>
  <si>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</si>
  <si>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</si>
  <si>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</si>
  <si>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</si>
  <si>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</si>
  <si>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</si>
  <si>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</si>
  <si>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</si>
  <si>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</si>
  <si>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</si>
  <si>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</si>
  <si>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</si>
  <si>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</si>
  <si>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</si>
  <si>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</si>
  <si>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</si>
  <si>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</si>
  <si>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</si>
  <si>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</si>
  <si>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</si>
  <si>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</si>
  <si>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</si>
  <si>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</si>
  <si>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</si>
  <si>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</si>
  <si>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</si>
  <si>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</si>
  <si>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</si>
  <si>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</si>
  <si>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</si>
  <si>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</si>
  <si>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</si>
  <si>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</si>
  <si>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</si>
  <si>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</si>
  <si>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</si>
  <si>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</si>
  <si>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</si>
  <si>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</si>
  <si>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</si>
  <si>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</si>
  <si>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</si>
  <si>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</si>
  <si>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</si>
  <si>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</si>
  <si>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</si>
  <si>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</si>
  <si>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</si>
  <si>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</si>
  <si>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</si>
  <si>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</si>
  <si>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</si>
  <si>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</si>
  <si>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</si>
  <si>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</si>
  <si>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</si>
  <si>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</si>
  <si>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</si>
  <si>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</si>
  <si>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</si>
  <si>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</si>
  <si>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</si>
  <si>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</si>
  <si>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</si>
  <si>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</si>
  <si>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</si>
  <si>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</si>
  <si>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</si>
  <si>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</si>
  <si>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</si>
  <si>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</si>
  <si>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</si>
  <si>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</si>
  <si>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</si>
  <si>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</si>
  <si>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</si>
  <si>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</si>
  <si>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</si>
  <si>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</si>
  <si>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</si>
  <si>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</si>
  <si>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</si>
  <si>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</si>
  <si>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</si>
  <si>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</si>
  <si>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</si>
  <si>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</si>
  <si>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</si>
  <si>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</si>
  <si>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</si>
  <si>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</si>
  <si>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</si>
  <si>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</si>
  <si>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</si>
  <si>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</si>
  <si>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</si>
  <si>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</si>
  <si>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</si>
  <si>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</si>
  <si>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</si>
  <si>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</si>
  <si>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</si>
  <si>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</si>
  <si>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</si>
  <si>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</si>
  <si>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</si>
  <si>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</si>
  <si>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</si>
  <si>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</si>
  <si>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</si>
  <si>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</si>
  <si>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</si>
  <si>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</si>
  <si>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</si>
  <si>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</si>
  <si>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</si>
  <si>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</si>
  <si>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</si>
  <si>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</si>
  <si>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</si>
  <si>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</si>
  <si>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</si>
  <si>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</si>
  <si>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</si>
  <si>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</si>
  <si>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</si>
  <si>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</si>
  <si>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</si>
  <si>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</si>
  <si>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</si>
  <si>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</si>
  <si>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</si>
  <si>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</si>
  <si>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</si>
  <si>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</si>
  <si>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</si>
  <si>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</si>
  <si>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</si>
  <si>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</si>
  <si>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</si>
  <si>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</si>
  <si>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</si>
  <si>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</si>
  <si>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</si>
  <si>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</si>
  <si>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</si>
  <si>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</si>
  <si>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</si>
  <si>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</si>
  <si>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</si>
  <si>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</si>
  <si>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</si>
  <si>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</si>
  <si>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</si>
  <si>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</si>
  <si>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</si>
  <si>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</si>
  <si>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</si>
  <si>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</si>
  <si>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</si>
  <si>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</si>
  <si>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</si>
  <si>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</si>
  <si>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</si>
  <si>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</si>
  <si>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</si>
  <si>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</si>
  <si>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</si>
  <si>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</si>
  <si>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</si>
  <si>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</si>
  <si>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</si>
  <si>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</si>
  <si>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</si>
  <si>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</si>
  <si>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</si>
  <si>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</si>
  <si>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</si>
  <si>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</si>
  <si>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</si>
  <si>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</si>
  <si>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</si>
  <si>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</si>
  <si>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</si>
  <si>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</si>
  <si>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</si>
  <si>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</si>
  <si>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</si>
  <si>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</si>
  <si>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</si>
  <si>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</si>
  <si>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</si>
  <si>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</si>
  <si>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</si>
  <si>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</si>
  <si>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</si>
  <si>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</si>
  <si>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</si>
  <si>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</si>
  <si>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</si>
  <si>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</si>
  <si>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</si>
  <si>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</si>
  <si>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</si>
  <si>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</si>
  <si>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</si>
  <si>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</si>
  <si>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</si>
  <si>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</si>
  <si>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</si>
  <si>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</si>
  <si>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</si>
  <si>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</si>
  <si>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</si>
  <si>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</si>
  <si>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</si>
  <si>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</si>
  <si>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</si>
  <si>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</si>
  <si>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</si>
  <si>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</si>
  <si>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</si>
  <si>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</si>
  <si>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</si>
  <si>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</si>
  <si>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</si>
  <si>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</si>
  <si>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</si>
  <si>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</si>
  <si>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</si>
  <si>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</si>
  <si>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</si>
  <si>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</si>
  <si>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</si>
  <si>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</si>
  <si>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</si>
  <si>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</si>
  <si>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</si>
  <si>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</si>
  <si>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</si>
  <si>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</si>
  <si>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</si>
  <si>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</si>
  <si>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</si>
  <si>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</si>
  <si>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</si>
  <si>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</si>
  <si>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</si>
  <si>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</si>
  <si>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</si>
  <si>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</si>
  <si>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</si>
  <si>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</si>
  <si>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</si>
  <si>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</si>
  <si>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</si>
  <si>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</si>
  <si>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</si>
  <si>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</si>
  <si>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</si>
  <si>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</si>
  <si>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</si>
  <si>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</si>
  <si>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</si>
  <si>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</si>
  <si>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</si>
  <si>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</si>
  <si>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</si>
  <si>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</si>
  <si>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</si>
  <si>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</si>
  <si>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</si>
  <si>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</si>
  <si>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</si>
  <si>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</si>
  <si>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</si>
  <si>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</si>
  <si>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</si>
  <si>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</si>
  <si>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</si>
  <si>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</si>
  <si>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</si>
  <si>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</si>
  <si>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</si>
  <si>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</si>
  <si>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</si>
  <si>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</si>
  <si>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</si>
  <si>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</si>
  <si>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</si>
  <si>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</si>
  <si>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</si>
  <si>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</si>
  <si>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</si>
  <si>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</si>
  <si>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</si>
  <si>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</si>
  <si>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</si>
  <si>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</si>
  <si>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</si>
  <si>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</si>
  <si>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</si>
  <si>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</si>
  <si>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</si>
  <si>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</si>
  <si>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</si>
  <si>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</si>
  <si>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</si>
  <si>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</si>
  <si>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</si>
  <si>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</si>
  <si>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</si>
  <si>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</si>
  <si>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</si>
  <si>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</si>
  <si>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</si>
  <si>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</si>
  <si>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</si>
  <si>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</si>
  <si>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</si>
  <si>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</si>
  <si>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</si>
  <si>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</si>
  <si>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</si>
  <si>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</si>
  <si>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</si>
  <si>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</si>
  <si>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</si>
  <si>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</si>
  <si>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</si>
  <si>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</si>
  <si>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</si>
  <si>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</si>
  <si>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</si>
  <si>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</si>
  <si>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</si>
  <si>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</si>
  <si>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</si>
  <si>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</si>
  <si>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</si>
  <si>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</si>
  <si>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</si>
  <si>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</si>
  <si>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</si>
  <si>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</si>
  <si>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</si>
  <si>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</si>
  <si>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</si>
  <si>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</si>
  <si>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</si>
  <si>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</si>
  <si>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</si>
  <si>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</si>
  <si>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</si>
  <si>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</si>
  <si>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</si>
  <si>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</si>
  <si>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</si>
  <si>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</si>
  <si>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</si>
  <si>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</si>
  <si>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</si>
  <si>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</si>
  <si>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</si>
  <si>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</si>
  <si>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</si>
  <si>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</si>
  <si>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</si>
  <si>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</si>
  <si>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</si>
  <si>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</si>
  <si>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</si>
  <si>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</si>
  <si>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</si>
  <si>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</si>
  <si>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</si>
  <si>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</si>
  <si>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</si>
  <si>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</si>
  <si>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</si>
  <si>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</si>
  <si>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</si>
  <si>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</si>
  <si>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</si>
  <si>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</si>
  <si>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</si>
  <si>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</si>
  <si>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</si>
  <si>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</si>
  <si>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</si>
  <si>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</si>
  <si>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</si>
  <si>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</si>
  <si>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</si>
  <si>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</si>
  <si>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</si>
  <si>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</si>
  <si>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</si>
  <si>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</si>
  <si>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</si>
  <si>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</si>
  <si>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</si>
  <si>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</si>
  <si>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</si>
  <si>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</si>
  <si>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</si>
  <si>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</si>
  <si>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</si>
  <si>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</si>
  <si>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</si>
  <si>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</si>
  <si>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</si>
  <si>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</si>
  <si>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</si>
  <si>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</si>
  <si>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</si>
  <si>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</si>
  <si>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</si>
  <si>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</si>
  <si>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</si>
  <si>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</si>
  <si>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</si>
  <si>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</si>
  <si>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</si>
  <si>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</si>
  <si>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</si>
  <si>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</si>
  <si>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</si>
  <si>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</si>
  <si>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</si>
  <si>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</si>
  <si>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</si>
  <si>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</si>
  <si>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</si>
  <si>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</si>
  <si>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</si>
  <si>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</si>
  <si>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</si>
  <si>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</si>
  <si>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</si>
  <si>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</si>
  <si>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</si>
  <si>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</si>
  <si>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</si>
  <si>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</si>
  <si>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</si>
  <si>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</si>
  <si>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</si>
  <si>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</si>
  <si>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</si>
  <si>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</si>
  <si>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</si>
  <si>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</si>
  <si>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</si>
  <si>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</si>
  <si>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</si>
  <si>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</si>
  <si>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</si>
  <si>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</si>
  <si>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</si>
  <si>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</si>
  <si>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</si>
  <si>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</si>
  <si>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</si>
  <si>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</si>
  <si>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</si>
  <si>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</si>
  <si>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</si>
  <si>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</si>
  <si>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</si>
  <si>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</si>
  <si>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</si>
  <si>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</si>
  <si>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</si>
  <si>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</si>
  <si>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</si>
  <si>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</si>
  <si>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</si>
  <si>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</si>
  <si>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</si>
  <si>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</si>
  <si>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</si>
  <si>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</si>
  <si>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</si>
  <si>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</si>
  <si>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</si>
  <si>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</si>
  <si>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</si>
  <si>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</si>
  <si>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</si>
  <si>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</si>
  <si>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</si>
  <si>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</si>
  <si>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</si>
  <si>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</si>
  <si>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</si>
  <si>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</si>
  <si>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</si>
  <si>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</si>
  <si>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</si>
  <si>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</si>
  <si>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</si>
  <si>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</si>
  <si>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</si>
  <si>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</si>
  <si>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</si>
  <si>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</si>
  <si>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</si>
  <si>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</si>
  <si>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</si>
  <si>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</si>
  <si>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</si>
  <si>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</si>
  <si>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</si>
  <si>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</si>
  <si>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</si>
  <si>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</si>
  <si>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</si>
  <si>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</si>
  <si>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</si>
  <si>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</si>
  <si>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</si>
  <si>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</si>
  <si>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</si>
  <si>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</si>
  <si>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</si>
  <si>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</si>
  <si>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</si>
  <si>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</si>
  <si>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</si>
  <si>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</si>
  <si>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</si>
  <si>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</si>
  <si>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</si>
  <si>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</si>
  <si>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</si>
  <si>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</si>
  <si>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</si>
  <si>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</si>
  <si>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</si>
  <si>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</si>
  <si>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</si>
  <si>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</si>
  <si>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</si>
  <si>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</si>
  <si>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</si>
  <si>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</si>
  <si>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</si>
  <si>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</si>
  <si>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</si>
  <si>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</si>
  <si>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</si>
  <si>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</si>
  <si>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</si>
  <si>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</si>
  <si>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</si>
  <si>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</si>
  <si>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</si>
  <si>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</si>
  <si>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</si>
  <si>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</si>
  <si>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</si>
  <si>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</si>
  <si>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</si>
  <si>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</si>
  <si>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</si>
  <si>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</si>
  <si>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</si>
  <si>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</si>
  <si>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</si>
  <si>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</si>
  <si>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</si>
  <si>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</si>
  <si>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</si>
  <si>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</si>
  <si>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</si>
  <si>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</si>
  <si>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</si>
  <si>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</si>
  <si>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</si>
  <si>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</si>
  <si>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</si>
  <si>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</si>
  <si>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</si>
  <si>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</si>
  <si>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</si>
  <si>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</si>
  <si>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</si>
  <si>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</si>
  <si>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</si>
  <si>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</si>
  <si>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</si>
  <si>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</si>
  <si>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</si>
  <si>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</si>
  <si>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</si>
  <si>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</si>
  <si>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</si>
  <si>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</si>
  <si>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</si>
  <si>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</si>
  <si>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</si>
  <si>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</si>
  <si>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</si>
  <si>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</si>
  <si>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</si>
  <si>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</si>
  <si>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</si>
  <si>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</si>
  <si>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</si>
  <si>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</si>
  <si>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</si>
  <si>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</si>
  <si>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</si>
  <si>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</si>
  <si>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</si>
  <si>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</si>
  <si>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</si>
  <si>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</si>
  <si>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</si>
  <si>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</si>
  <si>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</si>
  <si>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</si>
  <si>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</si>
  <si>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</si>
  <si>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</si>
  <si>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</si>
  <si>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</si>
  <si>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</si>
  <si>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</si>
  <si>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</si>
  <si>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</si>
  <si>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</si>
  <si>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</si>
  <si>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</si>
  <si>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</si>
  <si>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</si>
  <si>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</si>
  <si>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</si>
  <si>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</si>
  <si>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</si>
  <si>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</si>
  <si>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</si>
  <si>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</si>
  <si>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</si>
  <si>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</si>
  <si>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</si>
  <si>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</si>
  <si>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</si>
  <si>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</si>
  <si>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</si>
  <si>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</si>
  <si>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</si>
  <si>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</si>
  <si>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</si>
  <si>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</si>
  <si>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</si>
  <si>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</si>
  <si>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</si>
  <si>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</si>
  <si>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</si>
  <si>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</si>
  <si>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</si>
  <si>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</si>
  <si>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</si>
  <si>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</si>
  <si>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</si>
  <si>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</si>
  <si>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</si>
  <si>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</si>
  <si>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</si>
  <si>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</si>
  <si>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</si>
  <si>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</si>
  <si>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</si>
  <si>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</si>
  <si>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</si>
  <si>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</si>
  <si>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</si>
  <si>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</si>
  <si>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</si>
  <si>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</si>
  <si>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</si>
  <si>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</si>
  <si>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</si>
  <si>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</si>
  <si>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</si>
  <si>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</si>
  <si>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</si>
  <si>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</si>
  <si>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</si>
  <si>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</si>
  <si>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</si>
  <si>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</si>
  <si>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</si>
  <si>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</si>
  <si>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</si>
  <si>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</si>
  <si>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</si>
  <si>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</si>
  <si>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</si>
  <si>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</si>
  <si>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</si>
  <si>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</si>
  <si>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</si>
  <si>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</si>
  <si>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</si>
  <si>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</si>
  <si>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</si>
  <si>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</si>
  <si>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</si>
  <si>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</si>
  <si>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</si>
  <si>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</si>
  <si>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</si>
  <si>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</si>
  <si>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</si>
  <si>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</si>
  <si>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</si>
  <si>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</si>
  <si>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</si>
  <si>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</si>
  <si>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</si>
  <si>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</si>
  <si>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</si>
  <si>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</si>
  <si>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</si>
  <si>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</si>
  <si>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</si>
  <si>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</si>
  <si>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</si>
  <si>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</si>
  <si>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</si>
  <si>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</si>
  <si>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</si>
  <si>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</si>
  <si>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</si>
  <si>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</si>
  <si>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</si>
  <si>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</si>
  <si>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</si>
  <si>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</si>
  <si>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</si>
  <si>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</si>
  <si>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</si>
  <si>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</si>
  <si>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</si>
  <si>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</si>
  <si>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</si>
  <si>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</si>
  <si>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</si>
  <si>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</si>
  <si>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</si>
  <si>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</si>
  <si>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</si>
  <si>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</si>
  <si>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</si>
  <si>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</si>
  <si>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</si>
  <si>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</si>
  <si>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</si>
  <si>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</si>
  <si>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</si>
  <si>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</si>
  <si>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</si>
  <si>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</si>
  <si>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</si>
  <si>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</si>
  <si>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</si>
  <si>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</si>
  <si>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</si>
  <si>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</si>
  <si>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</si>
  <si>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</si>
  <si>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</si>
  <si>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</si>
  <si>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</si>
  <si>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</si>
  <si>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</si>
  <si>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</si>
  <si>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</si>
  <si>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</si>
  <si>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</si>
  <si>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</si>
  <si>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</si>
  <si>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</si>
  <si>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</si>
  <si>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</si>
  <si>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</si>
  <si>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</si>
  <si>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</si>
  <si>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</si>
  <si>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</si>
  <si>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</si>
  <si>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</si>
  <si>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</si>
  <si>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</si>
  <si>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</si>
  <si>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</si>
  <si>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</si>
  <si>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</si>
  <si>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</si>
  <si>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</si>
  <si>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</si>
  <si>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</si>
  <si>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</si>
  <si>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</si>
  <si>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</si>
  <si>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</si>
  <si>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</si>
  <si>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</si>
  <si>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</si>
  <si>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</si>
  <si>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</si>
  <si>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</si>
  <si>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</si>
  <si>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</si>
  <si>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</si>
  <si>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</si>
  <si>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</si>
  <si>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</si>
  <si>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</si>
  <si>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</si>
  <si>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</si>
  <si>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</si>
  <si>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</si>
  <si>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</si>
  <si>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</si>
  <si>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</si>
  <si>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</si>
  <si>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</si>
  <si>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</si>
  <si>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</si>
  <si>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</si>
  <si>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</si>
  <si>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</si>
  <si>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</si>
  <si>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</si>
  <si>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</si>
  <si>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</si>
  <si>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</si>
  <si>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</si>
  <si>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</si>
  <si>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</si>
  <si>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</si>
  <si>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</si>
  <si>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</si>
  <si>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</si>
  <si>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</si>
  <si>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</si>
  <si>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</si>
  <si>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</si>
  <si>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</si>
  <si>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</si>
  <si>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</si>
  <si>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</si>
  <si>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</si>
  <si>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</si>
  <si>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</si>
  <si>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</si>
  <si>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</si>
  <si>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</si>
  <si>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</si>
  <si>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</si>
  <si>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</si>
  <si>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</si>
  <si>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</si>
  <si>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</si>
  <si>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</si>
  <si>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</si>
  <si>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</si>
  <si>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</si>
  <si>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</si>
  <si>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</si>
  <si>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</si>
  <si>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</si>
  <si>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</si>
  <si>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</si>
  <si>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</si>
  <si>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</si>
  <si>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</si>
  <si>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</si>
  <si>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</si>
  <si>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</si>
  <si>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</si>
  <si>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</si>
  <si>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</si>
  <si>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</si>
  <si>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</si>
  <si>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</si>
  <si>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</si>
  <si>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</si>
  <si>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</si>
  <si>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</si>
  <si>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</si>
  <si>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</si>
  <si>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</si>
  <si>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</si>
  <si>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</si>
  <si>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</si>
  <si>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</si>
  <si>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</si>
  <si>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</si>
  <si>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</si>
  <si>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</si>
  <si>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</si>
  <si>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</si>
  <si>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</si>
  <si>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</si>
  <si>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</si>
  <si>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</si>
  <si>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</si>
  <si>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</si>
  <si>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</si>
  <si>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</si>
  <si>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</si>
  <si>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</si>
  <si>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</si>
  <si>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</si>
  <si>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</si>
  <si>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</si>
  <si>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</si>
  <si>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</si>
  <si>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</si>
  <si>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</si>
  <si>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</si>
  <si>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</si>
  <si>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</si>
  <si>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</si>
  <si>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</si>
  <si>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</si>
  <si>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</si>
  <si>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</si>
  <si>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</si>
  <si>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</si>
  <si>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</si>
  <si>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</si>
  <si>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</si>
  <si>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</si>
  <si>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</si>
  <si>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</si>
  <si>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</si>
  <si>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</si>
  <si>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</si>
  <si>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</si>
  <si>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</si>
  <si>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</si>
  <si>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</si>
  <si>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</si>
  <si>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</si>
  <si>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</si>
  <si>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</si>
  <si>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</si>
  <si>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</si>
  <si>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</si>
  <si>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</si>
  <si>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</si>
  <si>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</si>
  <si>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</si>
  <si>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</si>
  <si>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</si>
  <si>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</si>
  <si>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</si>
  <si>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</si>
  <si>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</si>
  <si>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</si>
  <si>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</si>
  <si>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</si>
  <si>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</si>
  <si>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</si>
  <si>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</si>
  <si>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</si>
  <si>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</si>
  <si>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</si>
  <si>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</si>
  <si>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</si>
  <si>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</si>
  <si>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</si>
  <si>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</si>
  <si>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</si>
  <si>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</si>
  <si>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</si>
  <si>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</si>
  <si>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</si>
  <si>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</si>
  <si>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</si>
  <si>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</si>
  <si>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</si>
  <si>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</si>
  <si>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</si>
  <si>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</si>
  <si>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</si>
  <si>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</si>
  <si>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</si>
  <si>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</si>
  <si>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</si>
  <si>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</si>
  <si>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</si>
  <si>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</si>
  <si>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</si>
  <si>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</si>
  <si>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</si>
  <si>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</si>
  <si>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</si>
  <si>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</si>
  <si>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</si>
  <si>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</si>
  <si>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</si>
  <si>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</si>
  <si>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</si>
  <si>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</si>
  <si>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</si>
  <si>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</si>
  <si>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</si>
  <si>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</si>
  <si>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</si>
  <si>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</si>
  <si>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</si>
  <si>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</si>
  <si>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</si>
  <si>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</si>
  <si>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</si>
  <si>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</si>
  <si>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</si>
  <si>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</si>
  <si>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</si>
  <si>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</si>
  <si>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</si>
  <si>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</si>
  <si>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</si>
  <si>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</si>
  <si>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</si>
  <si>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</si>
  <si>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</si>
  <si>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</si>
  <si>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</si>
  <si>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</si>
  <si>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</si>
  <si>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</si>
  <si>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</si>
  <si>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</si>
  <si>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</si>
  <si>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</si>
  <si>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</si>
  <si>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</si>
  <si>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</si>
  <si>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</si>
  <si>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</si>
  <si>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</si>
  <si>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</si>
  <si>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</si>
  <si>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</si>
  <si>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</si>
  <si>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</si>
  <si>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</si>
  <si>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</si>
  <si>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</si>
  <si>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</si>
  <si>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</si>
  <si>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</si>
  <si>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</si>
  <si>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</si>
  <si>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</si>
  <si>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</si>
  <si>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</si>
  <si>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</si>
  <si>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</si>
  <si>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</si>
  <si>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</si>
  <si>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</si>
  <si>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</si>
  <si>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</si>
  <si>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</si>
  <si>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</si>
  <si>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</si>
  <si>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</si>
  <si>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</si>
  <si>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</si>
  <si>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</si>
  <si>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</si>
  <si>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</si>
  <si>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</si>
  <si>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</si>
  <si>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</si>
  <si>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</si>
  <si>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</si>
  <si>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</si>
  <si>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</si>
  <si>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</si>
  <si>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</si>
  <si>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</si>
  <si>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</si>
  <si>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</si>
  <si>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</si>
  <si>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</si>
  <si>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</si>
  <si>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</si>
  <si>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</si>
  <si>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</si>
  <si>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</si>
  <si>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</si>
  <si>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</si>
  <si>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</si>
  <si>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</si>
  <si>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</si>
  <si>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</si>
  <si>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</si>
  <si>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</si>
  <si>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</si>
  <si>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</si>
  <si>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</si>
  <si>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</si>
  <si>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</si>
  <si>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</si>
  <si>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</si>
  <si>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</si>
  <si>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</si>
  <si>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</si>
  <si>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</si>
  <si>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</si>
  <si>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</si>
  <si>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</si>
  <si>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</si>
  <si>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</si>
  <si>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</si>
  <si>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</si>
  <si>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</si>
  <si>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</si>
  <si>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</si>
  <si>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</si>
  <si>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</si>
  <si>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</si>
  <si>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</si>
  <si>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</si>
  <si>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</si>
  <si>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</si>
  <si>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</si>
  <si>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</si>
  <si>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</si>
  <si>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</si>
  <si>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</si>
  <si>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</si>
  <si>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</si>
  <si>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</si>
  <si>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</si>
  <si>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</si>
  <si>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</si>
  <si>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</si>
  <si>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</si>
  <si>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</si>
  <si>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</si>
  <si>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</si>
  <si>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</si>
  <si>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</si>
  <si>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</si>
  <si>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</si>
  <si>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</si>
  <si>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</si>
  <si>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</si>
  <si>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</si>
  <si>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</si>
  <si>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</si>
  <si>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</si>
  <si>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</si>
  <si>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</si>
  <si>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</si>
  <si>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</si>
  <si>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</si>
  <si>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</si>
  <si>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</si>
  <si>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</si>
  <si>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</si>
  <si>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</si>
  <si>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</si>
  <si>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</si>
  <si>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</si>
  <si>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</si>
  <si>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</si>
  <si>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</si>
  <si>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</si>
  <si>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</si>
  <si>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</si>
  <si>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</si>
  <si>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</si>
  <si>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</si>
  <si>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</si>
  <si>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</si>
  <si>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</si>
  <si>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</si>
  <si>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</si>
  <si>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</si>
  <si>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</si>
  <si>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</si>
  <si>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</si>
  <si>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</si>
  <si>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</si>
  <si>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</si>
  <si>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</si>
  <si>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</si>
  <si>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</si>
  <si>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</si>
  <si>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</si>
  <si>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</si>
  <si>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</si>
  <si>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</si>
  <si>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</si>
  <si>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</si>
  <si>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</si>
  <si>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</si>
  <si>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</si>
  <si>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</si>
  <si>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</si>
  <si>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</si>
  <si>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</si>
  <si>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</si>
  <si>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</si>
  <si>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</si>
  <si>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</si>
  <si>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</si>
  <si>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</si>
  <si>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</si>
  <si>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</si>
  <si>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</si>
  <si>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</si>
  <si>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</si>
  <si>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</si>
  <si>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</si>
  <si>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</si>
  <si>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</si>
  <si>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</si>
  <si>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</si>
  <si>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</si>
  <si>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</si>
  <si>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</si>
  <si>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</si>
  <si>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</si>
  <si>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</si>
  <si>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</si>
  <si>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</si>
  <si>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</si>
  <si>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</si>
  <si>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</si>
  <si>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</si>
  <si>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</si>
  <si>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</si>
  <si>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</si>
  <si>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</si>
  <si>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</si>
  <si>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</si>
  <si>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</si>
  <si>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</si>
  <si>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</si>
  <si>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</si>
  <si>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</si>
  <si>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</si>
  <si>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</si>
  <si>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</si>
  <si>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</si>
  <si>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</si>
  <si>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</si>
  <si>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</si>
  <si>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</si>
  <si>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</si>
  <si>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</si>
  <si>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</si>
  <si>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</si>
  <si>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</si>
  <si>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</si>
  <si>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</si>
  <si>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</si>
  <si>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</si>
  <si>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</si>
  <si>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</si>
  <si>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</si>
  <si>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</si>
  <si>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</si>
  <si>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</si>
  <si>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</si>
  <si>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</si>
  <si>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</si>
  <si>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</si>
  <si>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</si>
  <si>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</si>
  <si>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</si>
  <si>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</si>
  <si>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</si>
  <si>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</si>
  <si>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</si>
  <si>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</si>
  <si>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</si>
  <si>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</si>
  <si>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</si>
  <si>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</si>
  <si>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</si>
  <si>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</si>
  <si>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</si>
  <si>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</si>
  <si>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</si>
  <si>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</si>
  <si>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</si>
  <si>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</si>
  <si>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</si>
  <si>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</si>
  <si>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</si>
  <si>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</si>
  <si>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</si>
  <si>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</si>
  <si>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</si>
  <si>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</si>
  <si>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</si>
  <si>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</si>
  <si>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</si>
  <si>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</si>
  <si>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</si>
  <si>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</si>
  <si>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</si>
  <si>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</si>
  <si>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</si>
  <si>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</si>
  <si>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</si>
  <si>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</si>
  <si>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</si>
  <si>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</si>
  <si>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</si>
  <si>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</si>
  <si>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</si>
  <si>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</si>
  <si>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</si>
  <si>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</si>
  <si>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</si>
  <si>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</si>
  <si>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</si>
  <si>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</si>
  <si>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</si>
  <si>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</si>
  <si>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</si>
  <si>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</si>
  <si>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</si>
  <si>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</si>
  <si>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</si>
  <si>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</si>
  <si>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</si>
  <si>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</si>
  <si>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</si>
  <si>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</si>
  <si>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</si>
  <si>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</si>
  <si>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</si>
  <si>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</si>
  <si>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</si>
  <si>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</si>
  <si>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</si>
  <si>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</si>
  <si>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</si>
  <si>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</si>
  <si>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</si>
  <si>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</si>
  <si>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</si>
  <si>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</si>
  <si>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</si>
  <si>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</si>
  <si>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</si>
  <si>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</si>
  <si>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</si>
  <si>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</si>
  <si>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</si>
  <si>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</si>
  <si>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</si>
  <si>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</si>
  <si>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</si>
  <si>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</si>
  <si>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</si>
  <si>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</si>
  <si>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</si>
  <si>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</si>
  <si>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</si>
  <si>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</si>
  <si>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</si>
  <si>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</si>
  <si>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</si>
  <si>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</si>
  <si>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</si>
  <si>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</si>
  <si>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</si>
  <si>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</si>
  <si>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</si>
  <si>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</si>
  <si>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</si>
  <si>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</si>
  <si>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</si>
  <si>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</si>
  <si>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</si>
  <si>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</si>
  <si>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</si>
  <si>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</si>
  <si>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</si>
  <si>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</si>
  <si>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</si>
  <si>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</si>
  <si>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</si>
  <si>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</si>
  <si>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</si>
  <si>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</si>
  <si>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</si>
  <si>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</si>
  <si>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</si>
  <si>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</si>
  <si>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</si>
  <si>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</si>
  <si>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</si>
  <si>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</si>
  <si>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</si>
  <si>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</si>
  <si>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</si>
  <si>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</si>
  <si>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</si>
  <si>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</si>
  <si>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</si>
  <si>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</si>
  <si>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</si>
  <si>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</si>
  <si>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</si>
  <si>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</si>
  <si>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</si>
  <si>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</si>
  <si>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</si>
  <si>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</si>
  <si>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</si>
  <si>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</si>
  <si>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</si>
  <si>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</si>
  <si>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</si>
  <si>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</si>
  <si>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</si>
  <si>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</si>
  <si>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</si>
  <si>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</si>
  <si>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</si>
  <si>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</si>
  <si>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</si>
  <si>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</si>
  <si>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</si>
  <si>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</si>
  <si>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</si>
  <si>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</si>
  <si>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</si>
  <si>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</si>
  <si>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</si>
  <si>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</si>
  <si>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</si>
  <si>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</si>
  <si>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</si>
  <si>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</si>
  <si>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</si>
  <si>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</si>
  <si>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</si>
  <si>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</si>
  <si>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</si>
  <si>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</si>
  <si>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</si>
  <si>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</si>
  <si>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</si>
  <si>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</si>
  <si>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</si>
  <si>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</si>
  <si>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</si>
  <si>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</si>
  <si>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</si>
  <si>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</si>
  <si>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</si>
  <si>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</si>
  <si>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</si>
  <si>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</si>
  <si>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</si>
  <si>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</si>
  <si>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</si>
  <si>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</si>
  <si>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</si>
  <si>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</si>
  <si>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</si>
  <si>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</si>
  <si>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</si>
  <si>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</si>
  <si>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</si>
  <si>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</si>
  <si>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</si>
  <si>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</si>
  <si>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</si>
  <si>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</si>
  <si>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</si>
  <si>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</si>
  <si>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</si>
  <si>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</si>
  <si>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</si>
  <si>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</si>
  <si>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</si>
  <si>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</si>
  <si>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</si>
  <si>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</si>
  <si>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</si>
  <si>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</si>
  <si>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</si>
  <si>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</si>
  <si>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</si>
  <si>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</si>
  <si>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</si>
  <si>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</si>
  <si>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</si>
  <si>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</si>
  <si>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</si>
  <si>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</si>
  <si>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</si>
  <si>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</si>
  <si>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</si>
  <si>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</si>
  <si>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</si>
  <si>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</si>
  <si>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</si>
  <si>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</si>
  <si>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</si>
  <si>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</si>
  <si>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</si>
  <si>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</si>
  <si>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</si>
  <si>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</si>
  <si>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</si>
  <si>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</si>
  <si>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</si>
  <si>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</si>
  <si>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</si>
  <si>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</si>
  <si>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</si>
  <si>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</si>
  <si>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</si>
  <si>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</si>
  <si>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</si>
  <si>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</si>
  <si>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</si>
  <si>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</si>
  <si>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</si>
  <si>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</si>
  <si>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</si>
  <si>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</si>
  <si>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</si>
  <si>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</si>
  <si>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</si>
  <si>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</si>
  <si>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</si>
  <si>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</si>
  <si>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</si>
  <si>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</si>
  <si>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</si>
  <si>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</si>
  <si>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</si>
  <si>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</si>
  <si>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</si>
  <si>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</si>
  <si>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</si>
  <si>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</si>
  <si>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</si>
  <si>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</si>
  <si>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</si>
  <si>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</si>
  <si>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</si>
  <si>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</si>
  <si>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</si>
  <si>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</si>
  <si>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</si>
  <si>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</si>
  <si>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</si>
  <si>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</si>
  <si>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</si>
  <si>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</si>
  <si>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</si>
  <si>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</si>
  <si>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</si>
  <si>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</si>
  <si>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</si>
  <si>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</si>
  <si>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</si>
  <si>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</si>
  <si>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</si>
  <si>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</si>
  <si>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</si>
  <si>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</si>
  <si>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</si>
  <si>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</si>
  <si>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</si>
  <si>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</si>
  <si>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</si>
  <si>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</si>
  <si>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</si>
  <si>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</si>
  <si>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</si>
  <si>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</si>
  <si>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</si>
  <si>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</si>
  <si>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</si>
  <si>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</si>
  <si>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</si>
  <si>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</si>
  <si>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</si>
  <si>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</si>
  <si>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</si>
  <si>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</si>
  <si>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</si>
  <si>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</si>
  <si>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</si>
  <si>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</si>
  <si>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</si>
  <si>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</si>
  <si>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</si>
  <si>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</si>
  <si>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</si>
  <si>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</si>
  <si>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</si>
  <si>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</si>
  <si>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</si>
  <si>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</si>
  <si>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</si>
  <si>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</si>
  <si>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</si>
  <si>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</si>
  <si>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</si>
  <si>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</si>
  <si>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</si>
  <si>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</si>
  <si>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</si>
  <si>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</si>
  <si>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</si>
  <si>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</si>
  <si>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</si>
  <si>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</si>
  <si>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</si>
  <si>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</si>
  <si>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</si>
  <si>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</si>
  <si>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</si>
  <si>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</si>
  <si>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</si>
  <si>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</si>
  <si>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</si>
  <si>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</si>
  <si>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</si>
  <si>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</si>
  <si>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</si>
  <si>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</si>
  <si>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</si>
  <si>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</si>
  <si>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</si>
  <si>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</si>
  <si>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</si>
  <si>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</si>
  <si>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</si>
  <si>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</si>
  <si>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</si>
  <si>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</si>
  <si>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</si>
  <si>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</si>
  <si>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</si>
  <si>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</si>
  <si>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</si>
  <si>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</si>
  <si>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</si>
  <si>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</si>
  <si>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</si>
  <si>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</si>
  <si>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</si>
  <si>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</si>
  <si>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</si>
  <si>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</si>
  <si>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</si>
  <si>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</si>
  <si>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</si>
  <si>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</si>
  <si>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</si>
  <si>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</si>
  <si>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</si>
  <si>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</si>
  <si>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</si>
  <si>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</si>
  <si>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</si>
  <si>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</si>
  <si>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</si>
  <si>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</si>
  <si>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</si>
  <si>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</si>
  <si>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</si>
  <si>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</si>
  <si>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</si>
  <si>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</si>
  <si>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</si>
  <si>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</si>
  <si>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</si>
  <si>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</si>
  <si>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</si>
  <si>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</si>
  <si>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</si>
  <si>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</si>
  <si>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</si>
  <si>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</si>
  <si>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</si>
  <si>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</si>
  <si>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</si>
  <si>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</si>
  <si>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</si>
  <si>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</si>
  <si>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</si>
  <si>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</si>
  <si>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</si>
  <si>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</si>
  <si>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</si>
  <si>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</si>
  <si>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</si>
  <si>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</si>
  <si>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</si>
  <si>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</si>
  <si>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</si>
  <si>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</si>
  <si>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</si>
  <si>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</si>
  <si>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</si>
  <si>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</si>
  <si>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</si>
  <si>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</si>
  <si>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</si>
  <si>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</si>
  <si>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</si>
  <si>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</si>
  <si>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</si>
  <si>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</si>
  <si>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</si>
  <si>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</si>
  <si>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</si>
  <si>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</si>
  <si>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</si>
  <si>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</si>
  <si>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</si>
  <si>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</si>
  <si>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</si>
  <si>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</si>
  <si>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</si>
  <si>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</si>
  <si>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</si>
  <si>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</si>
  <si>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</si>
  <si>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</si>
  <si>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</si>
  <si>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</si>
  <si>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</si>
  <si>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</si>
  <si>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</si>
  <si>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</si>
  <si>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</si>
  <si>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</si>
  <si>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</si>
  <si>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</si>
  <si>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</si>
  <si>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</si>
  <si>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</si>
  <si>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</si>
  <si>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</si>
  <si>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</si>
  <si>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</si>
  <si>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</si>
  <si>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</si>
  <si>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</si>
  <si>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</si>
  <si>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</si>
  <si>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</si>
  <si>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</si>
  <si>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</si>
  <si>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</si>
  <si>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</si>
  <si>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</si>
  <si>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</si>
  <si>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</si>
  <si>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</si>
  <si>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</si>
  <si>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</si>
  <si>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</si>
  <si>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</si>
  <si>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</si>
  <si>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</si>
  <si>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</si>
  <si>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</si>
  <si>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</si>
  <si>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</si>
  <si>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</si>
  <si>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</si>
  <si>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</si>
  <si>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</si>
  <si>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</si>
  <si>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</si>
  <si>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</si>
  <si>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</si>
  <si>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</si>
  <si>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</si>
  <si>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</si>
  <si>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</si>
  <si>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</si>
  <si>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</si>
  <si>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</si>
  <si>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</si>
  <si>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</si>
  <si>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</si>
  <si>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</si>
  <si>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</si>
  <si>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</si>
  <si>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</si>
  <si>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</si>
  <si>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</si>
  <si>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</si>
  <si>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</si>
  <si>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</si>
  <si>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</si>
  <si>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</si>
  <si>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</si>
  <si>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</si>
  <si>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</si>
  <si>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</si>
  <si>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</si>
  <si>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</si>
  <si>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</si>
  <si>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</si>
  <si>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</si>
  <si>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</si>
  <si>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</si>
  <si>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</si>
  <si>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</si>
  <si>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</si>
  <si>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</si>
  <si>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</si>
  <si>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</si>
  <si>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</si>
  <si>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</si>
  <si>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</si>
  <si>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</si>
  <si>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</si>
  <si>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</si>
  <si>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</si>
  <si>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</si>
  <si>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</si>
  <si>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</si>
  <si>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</si>
  <si>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</si>
  <si>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</si>
  <si>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</si>
  <si>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</si>
  <si>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</si>
  <si>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</si>
  <si>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</si>
  <si>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</si>
  <si>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</si>
  <si>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</si>
  <si>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</si>
  <si>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</si>
  <si>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</si>
  <si>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</si>
  <si>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</si>
  <si>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</si>
  <si>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</si>
  <si>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</si>
  <si>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</si>
  <si>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</si>
  <si>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</si>
  <si>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</si>
  <si>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</si>
  <si>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</si>
  <si>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</si>
  <si>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</si>
  <si>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</si>
  <si>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</si>
  <si>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</si>
  <si>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</si>
  <si>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</si>
  <si>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</si>
  <si>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</si>
  <si>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</si>
  <si>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</si>
  <si>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</si>
  <si>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</si>
  <si>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</si>
  <si>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</si>
  <si>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</si>
  <si>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</si>
  <si>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</si>
  <si>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</si>
  <si>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</si>
  <si>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</si>
  <si>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</si>
  <si>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</si>
  <si>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</si>
  <si>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</si>
  <si>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</si>
  <si>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</si>
  <si>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</si>
  <si>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</si>
  <si>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</si>
  <si>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</si>
  <si>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</si>
  <si>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</si>
  <si>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</si>
  <si>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</si>
  <si>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</si>
  <si>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</si>
  <si>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</si>
  <si>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</si>
  <si>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</si>
  <si>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</si>
  <si>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</si>
  <si>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</si>
  <si>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</si>
  <si>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</si>
  <si>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</si>
  <si>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</si>
  <si>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</si>
  <si>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</si>
  <si>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</si>
  <si>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</si>
  <si>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</si>
  <si>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</si>
  <si>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</si>
  <si>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</si>
  <si>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</si>
  <si>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</si>
  <si>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</si>
  <si>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</si>
  <si>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</si>
  <si>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</si>
  <si>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</si>
  <si>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</si>
  <si>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</si>
  <si>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</si>
  <si>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</si>
  <si>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</si>
  <si>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</si>
  <si>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</si>
  <si>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</si>
  <si>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</si>
  <si>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</si>
  <si>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</si>
  <si>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</si>
  <si>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</si>
  <si>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</si>
  <si>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</si>
  <si>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</si>
  <si>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</si>
  <si>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</si>
  <si>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</si>
  <si>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</si>
  <si>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</si>
  <si>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</si>
  <si>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</si>
  <si>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</si>
  <si>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</si>
  <si>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</si>
  <si>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</si>
  <si>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</si>
  <si>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</si>
  <si>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</si>
  <si>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</si>
  <si>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</si>
  <si>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</si>
  <si>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</si>
  <si>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</si>
  <si>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</si>
  <si>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</si>
  <si>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</si>
  <si>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</si>
  <si>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</si>
  <si>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</si>
  <si>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</si>
  <si>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</si>
  <si>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</si>
  <si>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</si>
  <si>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</si>
  <si>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</si>
  <si>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</si>
  <si>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</si>
  <si>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</si>
  <si>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</si>
  <si>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</si>
  <si>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</si>
  <si>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</si>
  <si>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</si>
  <si>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</si>
  <si>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</si>
  <si>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</si>
  <si>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</si>
  <si>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</si>
  <si>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</si>
  <si>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</si>
  <si>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</si>
  <si>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</si>
  <si>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</si>
  <si>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</si>
  <si>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</si>
  <si>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</si>
  <si>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</si>
  <si>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</si>
  <si>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</si>
  <si>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</si>
  <si>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</si>
  <si>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</si>
  <si>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</si>
  <si>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</si>
  <si>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</si>
  <si>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</si>
  <si>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</si>
  <si>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</si>
  <si>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</si>
  <si>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</si>
  <si>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</si>
  <si>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</si>
  <si>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</si>
  <si>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</si>
  <si>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</si>
  <si>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</si>
  <si>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</si>
  <si>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</si>
  <si>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</si>
  <si>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</si>
  <si>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</si>
  <si>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</si>
  <si>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</si>
  <si>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</si>
  <si>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</si>
  <si>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</si>
  <si>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</si>
  <si>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</si>
  <si>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</si>
  <si>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</si>
  <si>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</si>
  <si>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</si>
  <si>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</si>
  <si>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</si>
  <si>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</si>
  <si>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</si>
  <si>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</si>
  <si>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</si>
  <si>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</si>
  <si>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</si>
  <si>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</si>
  <si>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</si>
  <si>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</si>
  <si>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</si>
  <si>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</si>
  <si>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</si>
  <si>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</si>
  <si>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</si>
  <si>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</si>
  <si>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</si>
  <si>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</si>
  <si>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</si>
  <si>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</si>
  <si>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</si>
  <si>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</si>
  <si>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</si>
  <si>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</si>
  <si>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</si>
  <si>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</si>
  <si>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</si>
  <si>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</si>
  <si>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</si>
  <si>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</si>
  <si>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</si>
  <si>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</si>
  <si>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</si>
  <si>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</si>
  <si>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</si>
  <si>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</si>
  <si>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</si>
  <si>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</si>
  <si>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</si>
  <si>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</si>
  <si>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</si>
  <si>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</si>
  <si>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</si>
  <si>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</si>
  <si>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</si>
  <si>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</si>
  <si>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</si>
  <si>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</si>
  <si>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</si>
  <si>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</si>
  <si>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</si>
  <si>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</si>
  <si>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</si>
  <si>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</si>
  <si>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</si>
  <si>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</si>
  <si>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</si>
  <si>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</si>
  <si>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</si>
  <si>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</si>
  <si>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</si>
  <si>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</si>
  <si>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</si>
  <si>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</si>
  <si>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</si>
  <si>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</si>
  <si>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</si>
  <si>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</si>
  <si>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</si>
  <si>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</si>
  <si>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</si>
  <si>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</si>
  <si>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</si>
  <si>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</si>
  <si>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</si>
  <si>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</si>
  <si>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</si>
  <si>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</si>
  <si>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</si>
  <si>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</si>
  <si>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</si>
  <si>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</si>
  <si>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</si>
  <si>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</si>
  <si>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</si>
  <si>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</si>
  <si>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</si>
  <si>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</si>
  <si>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</si>
  <si>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</si>
  <si>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</si>
  <si>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</si>
  <si>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</si>
  <si>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</si>
  <si>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</si>
  <si>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</si>
  <si>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</si>
  <si>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</si>
  <si>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</si>
  <si>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</si>
  <si>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</si>
  <si>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</si>
  <si>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</si>
  <si>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</si>
  <si>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</si>
  <si>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</si>
  <si>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</si>
  <si>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</si>
  <si>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</si>
  <si>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</si>
  <si>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</si>
  <si>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</si>
  <si>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</si>
  <si>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</si>
  <si>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</si>
  <si>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</si>
  <si>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</si>
  <si>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</si>
  <si>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</si>
  <si>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</si>
  <si>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</si>
  <si>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</si>
  <si>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</si>
  <si>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</si>
  <si>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</si>
  <si>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</si>
  <si>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</si>
  <si>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</si>
  <si>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</si>
  <si>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</si>
  <si>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</si>
  <si>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</si>
  <si>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</si>
  <si>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</si>
  <si>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</si>
  <si>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</si>
  <si>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</si>
  <si>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</si>
  <si>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</si>
  <si>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</si>
  <si>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</si>
  <si>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</si>
  <si>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</si>
  <si>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</si>
  <si>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</si>
  <si>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</si>
  <si>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</si>
  <si>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</si>
  <si>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</si>
  <si>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</si>
  <si>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</si>
  <si>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</si>
  <si>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</si>
  <si>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</si>
  <si>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</si>
  <si>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</si>
  <si>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</si>
  <si>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</si>
  <si>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</si>
  <si>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</si>
  <si>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</si>
  <si>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</si>
  <si>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</si>
  <si>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</si>
  <si>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</si>
  <si>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</si>
  <si>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</si>
  <si>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</si>
  <si>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</si>
  <si>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</si>
  <si>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</si>
  <si>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</si>
  <si>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</si>
  <si>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</si>
  <si>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</si>
  <si>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</si>
  <si>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</si>
  <si>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</si>
  <si>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</si>
  <si>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</si>
  <si>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</si>
  <si>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</si>
  <si>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</si>
  <si>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</si>
  <si>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</si>
  <si>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</si>
  <si>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</si>
  <si>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</si>
  <si>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</si>
  <si>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</si>
  <si>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</si>
  <si>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</si>
  <si>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</si>
  <si>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</si>
  <si>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</si>
  <si>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</si>
  <si>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</si>
  <si>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</si>
  <si>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</si>
  <si>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</si>
  <si>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</si>
  <si>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</si>
  <si>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</si>
  <si>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</si>
  <si>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</si>
  <si>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</si>
  <si>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</si>
  <si>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</si>
  <si>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</si>
  <si>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</si>
  <si>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</si>
  <si>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</si>
  <si>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</si>
  <si>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</si>
  <si>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</si>
  <si>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</si>
  <si>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</si>
  <si>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</si>
  <si>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</si>
  <si>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</si>
  <si>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</si>
  <si>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</si>
  <si>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</si>
  <si>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</si>
  <si>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</si>
  <si>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</si>
  <si>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</si>
  <si>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</si>
  <si>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</si>
  <si>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</si>
  <si>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</si>
  <si>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</si>
  <si>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</si>
  <si>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</si>
  <si>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</si>
  <si>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</si>
  <si>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</si>
  <si>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</si>
  <si>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</si>
  <si>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</si>
  <si>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</si>
  <si>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</si>
  <si>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</si>
  <si>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</si>
  <si>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</si>
  <si>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</si>
  <si>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</si>
  <si>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</si>
  <si>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</si>
  <si>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</si>
  <si>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</si>
  <si>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</si>
  <si>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</si>
  <si>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</si>
  <si>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</si>
  <si>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</si>
  <si>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</si>
  <si>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</si>
  <si>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</si>
  <si>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</si>
  <si>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</si>
  <si>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</si>
  <si>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</si>
  <si>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</si>
  <si>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</si>
  <si>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</si>
  <si>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</si>
  <si>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</si>
  <si>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</si>
  <si>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</si>
  <si>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</si>
  <si>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</si>
  <si>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</si>
  <si>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</si>
  <si>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</si>
  <si>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</si>
  <si>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</si>
  <si>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</si>
  <si>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</si>
  <si>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</si>
  <si>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</si>
  <si>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</si>
  <si>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</si>
  <si>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</si>
  <si>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</si>
  <si>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</si>
  <si>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</si>
  <si>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</si>
  <si>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</si>
  <si>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</si>
  <si>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</si>
  <si>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</si>
  <si>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</si>
  <si>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</si>
  <si>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</si>
  <si>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</si>
  <si>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</si>
  <si>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</si>
  <si>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</si>
  <si>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</si>
  <si>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</si>
  <si>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</si>
  <si>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</si>
  <si>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</si>
  <si>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</si>
  <si>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</si>
  <si>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</si>
  <si>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</si>
  <si>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</si>
  <si>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</si>
  <si>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</si>
  <si>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</si>
  <si>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</si>
  <si>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</si>
  <si>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</si>
  <si>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</si>
  <si>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</si>
  <si>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</si>
  <si>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</si>
  <si>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</si>
  <si>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</si>
  <si>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</si>
  <si>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</si>
  <si>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</si>
  <si>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</si>
  <si>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</si>
  <si>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</si>
  <si>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</si>
  <si>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</si>
  <si>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</si>
  <si>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</si>
  <si>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</si>
  <si>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</si>
  <si>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</si>
  <si>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</si>
  <si>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</si>
  <si>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</si>
  <si>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</si>
  <si>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</si>
  <si>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</si>
  <si>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</si>
  <si>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</si>
  <si>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</si>
  <si>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</si>
  <si>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</si>
  <si>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</si>
  <si>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</si>
  <si>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</si>
  <si>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</si>
  <si>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</si>
  <si>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</si>
  <si>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</si>
  <si>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</si>
  <si>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</si>
  <si>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</si>
  <si>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</si>
  <si>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</si>
  <si>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</si>
  <si>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</si>
  <si>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</si>
  <si>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</si>
  <si>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</si>
  <si>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</si>
  <si>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</si>
  <si>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</si>
  <si>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</si>
  <si>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</si>
  <si>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</si>
  <si>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</si>
  <si>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</si>
  <si>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</si>
  <si>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</si>
  <si>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</si>
  <si>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</si>
  <si>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</si>
  <si>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</si>
  <si>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</si>
  <si>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</si>
  <si>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</si>
  <si>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</si>
  <si>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</si>
  <si>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</si>
  <si>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</si>
  <si>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</si>
  <si>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</si>
  <si>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</si>
  <si>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</si>
  <si>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</si>
  <si>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</si>
  <si>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</si>
  <si>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</si>
  <si>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</si>
  <si>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</si>
  <si>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</si>
  <si>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</si>
  <si>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</si>
  <si>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</si>
  <si>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</si>
  <si>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</si>
  <si>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</si>
  <si>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</si>
  <si>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</si>
  <si>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</si>
  <si>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</si>
  <si>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</si>
  <si>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</si>
  <si>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</si>
  <si>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</si>
  <si>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</si>
  <si>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</si>
  <si>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</si>
  <si>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</si>
  <si>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</si>
  <si>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</si>
  <si>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</si>
  <si>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</si>
  <si>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</si>
  <si>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</si>
  <si>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</si>
  <si>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</si>
  <si>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</si>
  <si>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</si>
  <si>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</si>
  <si>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</si>
  <si>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</si>
  <si>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</si>
  <si>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</si>
  <si>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</si>
  <si>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</si>
  <si>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</si>
  <si>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</si>
  <si>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</si>
  <si>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</si>
  <si>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</si>
  <si>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</si>
  <si>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</si>
  <si>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</si>
  <si>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</si>
  <si>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</si>
  <si>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</si>
  <si>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</si>
  <si>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</si>
  <si>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</si>
  <si>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</si>
  <si>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</si>
  <si>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</si>
  <si>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</si>
  <si>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</si>
  <si>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</si>
  <si>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</si>
  <si>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</si>
  <si>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</si>
  <si>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</si>
  <si>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</si>
  <si>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</si>
  <si>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</si>
  <si>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</si>
  <si>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</si>
  <si>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</si>
  <si>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</si>
  <si>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</si>
  <si>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</si>
  <si>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</si>
  <si>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</si>
  <si>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</si>
  <si>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</si>
  <si>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</si>
  <si>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</si>
  <si>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</si>
  <si>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</si>
  <si>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</si>
  <si>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</si>
  <si>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</si>
  <si>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</si>
  <si>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</si>
  <si>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</si>
  <si>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</si>
  <si>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</si>
  <si>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</si>
  <si>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</si>
  <si>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</si>
  <si>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</si>
  <si>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</si>
  <si>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</si>
  <si>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</si>
  <si>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</si>
  <si>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</si>
  <si>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</si>
  <si>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</si>
  <si>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</si>
  <si>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</si>
  <si>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</si>
  <si>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</si>
  <si>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</si>
  <si>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</si>
  <si>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</si>
  <si>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</si>
  <si>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</si>
  <si>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</si>
  <si>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</si>
  <si>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</si>
  <si>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</si>
  <si>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</si>
  <si>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</si>
  <si>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</si>
  <si>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</si>
  <si>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</si>
  <si>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</si>
  <si>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</si>
  <si>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</si>
  <si>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</si>
  <si>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</si>
  <si>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</si>
  <si>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</si>
  <si>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</si>
  <si>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</si>
  <si>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</si>
  <si>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</si>
  <si>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</si>
  <si>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</si>
  <si>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</si>
  <si>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</si>
  <si>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</si>
  <si>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</si>
  <si>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</si>
  <si>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</si>
  <si>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</si>
  <si>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</si>
  <si>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</si>
  <si>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</si>
  <si>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</si>
  <si>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</si>
  <si>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</si>
  <si>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</si>
  <si>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</si>
  <si>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</si>
  <si>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</si>
  <si>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</si>
  <si>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</si>
  <si>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</si>
  <si>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</si>
  <si>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</si>
  <si>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</si>
  <si>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</si>
  <si>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</si>
  <si>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</si>
  <si>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</si>
  <si>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</si>
  <si>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</si>
  <si>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</si>
  <si>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</si>
  <si>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</si>
  <si>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</si>
  <si>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</si>
  <si>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</si>
  <si>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</si>
  <si>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</si>
  <si>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</si>
  <si>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</si>
  <si>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</si>
  <si>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</si>
  <si>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</si>
  <si>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</si>
  <si>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</si>
  <si>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</si>
  <si>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</si>
  <si>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</si>
  <si>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</si>
  <si>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</si>
  <si>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</si>
  <si>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</si>
  <si>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</si>
  <si>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</si>
  <si>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</si>
  <si>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</si>
  <si>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</si>
  <si>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</si>
  <si>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</si>
  <si>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</si>
  <si>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</si>
  <si>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</si>
  <si>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</si>
  <si>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</si>
  <si>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</si>
  <si>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</si>
  <si>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</si>
  <si>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</si>
  <si>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</si>
  <si>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</si>
  <si>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</si>
  <si>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</si>
  <si>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</si>
  <si>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</si>
  <si>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</si>
  <si>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</si>
  <si>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</si>
  <si>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</si>
  <si>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</si>
  <si>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</si>
  <si>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</si>
  <si>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</si>
  <si>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</si>
  <si>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</si>
  <si>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</si>
  <si>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</si>
  <si>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</si>
  <si>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</si>
  <si>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</si>
  <si>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</si>
  <si>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</si>
  <si>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</si>
  <si>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</si>
  <si>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</si>
  <si>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</si>
  <si>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</si>
  <si>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</si>
  <si>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</si>
  <si>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</si>
  <si>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</si>
  <si>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</si>
  <si>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</si>
  <si>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</si>
  <si>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</si>
  <si>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</si>
  <si>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</si>
  <si>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</si>
  <si>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</si>
  <si>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</si>
  <si>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</si>
  <si>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</si>
  <si>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</si>
  <si>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</si>
  <si>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</si>
  <si>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</si>
  <si>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</si>
  <si>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</si>
  <si>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</si>
  <si>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</si>
  <si>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</si>
  <si>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</si>
  <si>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</si>
  <si>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</si>
  <si>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</si>
  <si>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</si>
  <si>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</si>
  <si>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</si>
  <si>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</si>
  <si>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</si>
  <si>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</si>
  <si>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</si>
  <si>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</si>
  <si>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</si>
  <si>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</si>
  <si>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</si>
  <si>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</si>
  <si>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</si>
  <si>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</si>
  <si>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</si>
  <si>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</si>
  <si>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</si>
  <si>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</si>
  <si>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</si>
  <si>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</si>
  <si>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</si>
  <si>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</si>
  <si>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</si>
  <si>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</si>
  <si>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</si>
  <si>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</si>
  <si>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</si>
  <si>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</si>
  <si>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</si>
  <si>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</si>
  <si>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</si>
  <si>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</si>
  <si>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</si>
  <si>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</si>
  <si>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</si>
  <si>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</si>
  <si>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</si>
  <si>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</si>
  <si>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</si>
  <si>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</si>
  <si>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</si>
  <si>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</si>
  <si>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</si>
  <si>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</si>
  <si>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</si>
  <si>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</si>
  <si>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</si>
  <si>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</si>
  <si>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</si>
  <si>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</si>
  <si>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</si>
  <si>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</si>
  <si>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</si>
  <si>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</si>
  <si>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</si>
  <si>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</si>
  <si>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</si>
  <si>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</si>
  <si>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</si>
  <si>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</si>
  <si>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</si>
  <si>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</si>
  <si>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</si>
  <si>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</si>
  <si>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</si>
  <si>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</si>
  <si>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</si>
  <si>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</si>
  <si>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</si>
  <si>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</si>
  <si>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</si>
  <si>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</si>
  <si>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</si>
  <si>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</si>
  <si>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</si>
  <si>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</si>
  <si>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</si>
  <si>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</si>
  <si>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</si>
  <si>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</si>
  <si>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</si>
  <si>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</si>
  <si>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</si>
  <si>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</si>
  <si>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</si>
  <si>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</si>
  <si>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</si>
  <si>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</si>
  <si>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</si>
  <si>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</si>
  <si>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</si>
  <si>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</si>
  <si>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</si>
  <si>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</si>
  <si>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</si>
  <si>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</si>
  <si>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</si>
  <si>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</si>
  <si>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</si>
  <si>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</si>
  <si>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</si>
  <si>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</si>
  <si>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</si>
  <si>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</si>
  <si>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</si>
  <si>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</si>
  <si>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</si>
  <si>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</si>
  <si>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</si>
  <si>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</si>
  <si>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</si>
  <si>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</si>
  <si>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</si>
  <si>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</si>
  <si>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</si>
  <si>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</si>
  <si>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</si>
  <si>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</si>
  <si>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</si>
  <si>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</si>
  <si>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</si>
  <si>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</si>
  <si>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</si>
  <si>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</si>
  <si>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</si>
  <si>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</si>
  <si>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</si>
  <si>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</si>
  <si>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</si>
  <si>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</si>
  <si>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</si>
  <si>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</si>
  <si>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</si>
  <si>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</si>
  <si>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</si>
  <si>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</si>
  <si>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</si>
  <si>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</si>
  <si>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</si>
  <si>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</si>
  <si>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</si>
  <si>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</si>
  <si>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</si>
  <si>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</si>
  <si>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</si>
  <si>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</si>
  <si>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</si>
  <si>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</si>
  <si>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</si>
  <si>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</si>
  <si>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</si>
  <si>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</si>
  <si>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</si>
  <si>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</si>
  <si>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</si>
  <si>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</si>
  <si>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</si>
  <si>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</si>
  <si>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</si>
  <si>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</si>
  <si>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</si>
  <si>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</si>
  <si>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</si>
  <si>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</si>
  <si>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</si>
  <si>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</si>
  <si>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</si>
  <si>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</si>
  <si>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</si>
  <si>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</si>
  <si>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</si>
  <si>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</si>
  <si>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</si>
  <si>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</si>
  <si>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</si>
  <si>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</si>
  <si>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</si>
  <si>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</si>
  <si>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</si>
  <si>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</si>
  <si>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</si>
  <si>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</si>
  <si>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</si>
  <si>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</si>
  <si>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</si>
  <si>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</si>
  <si>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</si>
  <si>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</si>
  <si>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</si>
  <si>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</si>
  <si>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</si>
  <si>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</si>
  <si>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</si>
  <si>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</si>
  <si>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</si>
  <si>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</si>
  <si>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</si>
  <si>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</si>
  <si>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</si>
  <si>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</si>
  <si>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</si>
  <si>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</si>
  <si>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</si>
  <si>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</si>
  <si>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</si>
  <si>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</si>
  <si>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</si>
  <si>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</si>
  <si>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</si>
  <si>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</si>
  <si>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</si>
  <si>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</si>
  <si>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</si>
  <si>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</si>
  <si>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</si>
  <si>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</si>
  <si>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</si>
  <si>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</si>
  <si>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</si>
  <si>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</si>
  <si>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</si>
  <si>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</si>
  <si>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</si>
  <si>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</si>
  <si>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</si>
  <si>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</si>
  <si>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</si>
  <si>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</si>
  <si>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</si>
  <si>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</si>
  <si>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</si>
  <si>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</si>
  <si>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</si>
  <si>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</si>
  <si>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</si>
  <si>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</si>
  <si>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</si>
  <si>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</si>
  <si>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</si>
  <si>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</si>
  <si>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</si>
  <si>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</si>
  <si>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</si>
  <si>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</si>
  <si>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</si>
  <si>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</si>
  <si>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</si>
  <si>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</si>
  <si>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</si>
  <si>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</si>
  <si>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</si>
  <si>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</si>
  <si>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</si>
  <si>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</si>
  <si>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</si>
  <si>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</si>
  <si>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</si>
  <si>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</si>
  <si>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</si>
  <si>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</si>
  <si>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</si>
  <si>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</si>
  <si>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</si>
  <si>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</si>
  <si>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</si>
  <si>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</si>
  <si>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</si>
  <si>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</si>
  <si>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</si>
  <si>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</si>
  <si>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</si>
  <si>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</si>
  <si>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</si>
  <si>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</si>
  <si>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</si>
  <si>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</si>
  <si>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</si>
  <si>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</si>
  <si>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</si>
  <si>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</si>
  <si>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</si>
  <si>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</si>
  <si>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</si>
  <si>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</si>
  <si>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</si>
  <si>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</si>
  <si>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</si>
  <si>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</si>
  <si>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</si>
  <si>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</si>
  <si>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</si>
  <si>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</si>
  <si>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</si>
  <si>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</si>
  <si>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</si>
  <si>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</si>
  <si>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</si>
  <si>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</si>
  <si>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</si>
  <si>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</si>
  <si>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</si>
  <si>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</si>
  <si>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</si>
  <si>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</si>
  <si>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</si>
  <si>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</si>
  <si>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</si>
  <si>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</si>
  <si>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</si>
  <si>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</si>
  <si>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</si>
  <si>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</si>
  <si>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</si>
  <si>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</si>
  <si>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</si>
  <si>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</si>
  <si>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</si>
  <si>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</si>
  <si>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</si>
  <si>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</si>
  <si>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</si>
  <si>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</si>
  <si>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</si>
  <si>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</si>
  <si>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</si>
  <si>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</si>
  <si>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</si>
  <si>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</si>
  <si>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</si>
  <si>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</si>
  <si>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</si>
  <si>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</si>
  <si>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</si>
  <si>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</si>
  <si>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</si>
  <si>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</si>
  <si>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</si>
  <si>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</si>
  <si>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</si>
  <si>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</si>
  <si>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</si>
  <si>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</si>
  <si>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</si>
  <si>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</si>
  <si>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</si>
  <si>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</si>
  <si>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</si>
  <si>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</si>
  <si>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</si>
  <si>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</si>
  <si>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</si>
  <si>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</si>
  <si>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</si>
  <si>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</si>
  <si>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</si>
  <si>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</si>
  <si>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</si>
  <si>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</si>
  <si>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</si>
  <si>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</si>
  <si>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</si>
  <si>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</si>
  <si>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</si>
  <si>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</si>
  <si>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</si>
  <si>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</si>
  <si>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</si>
  <si>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</si>
  <si>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</si>
  <si>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</si>
  <si>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</si>
  <si>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</si>
  <si>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</si>
  <si>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</si>
  <si>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</si>
  <si>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</si>
  <si>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</si>
  <si>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</si>
  <si>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</si>
  <si>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</si>
  <si>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</si>
  <si>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</si>
  <si>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</si>
  <si>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</si>
  <si>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</si>
  <si>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</si>
  <si>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</si>
  <si>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</si>
  <si>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</si>
  <si>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</si>
  <si>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</si>
  <si>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</si>
  <si>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</si>
  <si>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</si>
  <si>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</si>
  <si>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</si>
  <si>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</si>
  <si>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</si>
  <si>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</si>
  <si>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</si>
  <si>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</si>
  <si>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</si>
  <si>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</si>
  <si>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</si>
  <si>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</si>
  <si>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</si>
  <si>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</si>
  <si>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</si>
  <si>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</si>
  <si>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</si>
  <si>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</si>
  <si>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</si>
  <si>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</si>
  <si>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</si>
  <si>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</si>
  <si>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</si>
  <si>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</si>
  <si>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</si>
  <si>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</si>
  <si>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</si>
  <si>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</si>
  <si>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</si>
  <si>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</si>
  <si>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</si>
  <si>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</si>
  <si>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</si>
  <si>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</si>
  <si>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</si>
  <si>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</si>
  <si>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</si>
  <si>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</si>
  <si>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</si>
  <si>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</si>
  <si>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</si>
  <si>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</si>
  <si>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</si>
  <si>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</si>
  <si>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</si>
  <si>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</si>
  <si>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</si>
  <si>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2025-09-12</t>
  </si>
  <si>
    <t>진영오토(남양주)_250912_201252.xlsx</t>
  </si>
  <si>
    <t>농협 3520106511413</t>
    <phoneticPr fontId="2" type="noConversion"/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</si>
  <si>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</si>
  <si>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</si>
  <si>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</si>
  <si>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</si>
  <si>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</si>
  <si>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</si>
  <si>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</si>
  <si>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</si>
  <si>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</si>
  <si>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0501327105</t>
  </si>
  <si>
    <t>501327105</t>
  </si>
  <si>
    <t>한일오토(영등포)</t>
    <phoneticPr fontId="2" type="noConversion"/>
  </si>
  <si>
    <t>서울시 영등포구 문래복로 50</t>
    <phoneticPr fontId="2" type="noConversion"/>
  </si>
  <si>
    <t>010-3700-9070</t>
    <phoneticPr fontId="2" type="noConversion"/>
  </si>
  <si>
    <t>PDK_Position_sensor</t>
    <phoneticPr fontId="2" type="noConversion"/>
  </si>
  <si>
    <t>BRAND NEW_x000D_
ORIGINAL</t>
    <phoneticPr fontId="2" type="noConversion"/>
  </si>
  <si>
    <t>한일오토(영등포)_250912_201835.xlsx</t>
  </si>
  <si>
    <t>한일오토(영등포)_250912_201835.xlsx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</si>
</sst>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5400000</c:v>
                </c:pt>
                <c:pt idx="1">
                  <c:v>4443000</c:v>
                </c:pt>
                <c:pt idx="2">
                  <c:v>3520000</c:v>
                </c:pt>
                <c:pt idx="3">
                  <c:v>5640000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3186000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2</c:v>
                      </c:pt>
                      <c:pt idx="4">
                        <c:v>8</c:v>
                      </c:pt>
                      <c:pt idx="5">
                        <c:v>15</c:v>
                      </c:pt>
                      <c:pt idx="6">
                        <c:v>16</c:v>
                      </c:pt>
                      <c:pt idx="7">
                        <c:v>7</c:v>
                      </c:pt>
                      <c:pt idx="8">
                        <c:v>17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0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3573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45912</v>
      </c>
      <c r="U2" s="312"/>
    </row>
    <row r="3" spans="1:21" ht="24.95" customHeight="1" x14ac:dyDescent="0.3">
      <c r="A3" s="322" t="s">
        <v>1172</v>
      </c>
      <c r="B3" s="37" t="s">
        <v>59</v>
      </c>
      <c r="C3" s="325" t="s">
        <v>3585</v>
      </c>
      <c r="D3" s="326"/>
      <c r="E3" s="326"/>
      <c r="F3" s="326"/>
      <c r="G3" s="326"/>
      <c r="H3" s="326"/>
      <c r="I3" s="326"/>
      <c r="J3" s="327"/>
      <c r="K3" s="328" t="s">
        <v>1173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3586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3587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33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3588</v>
      </c>
      <c r="B8" s="347"/>
      <c r="C8" s="347"/>
      <c r="D8" s="347"/>
      <c r="E8" s="348"/>
      <c r="F8" s="349" t="s">
        <v>3584</v>
      </c>
      <c r="G8" s="347"/>
      <c r="H8" s="347"/>
      <c r="I8" s="348"/>
      <c r="J8" s="355">
        <v>3500000</v>
      </c>
      <c r="K8" s="355"/>
      <c r="L8" s="355"/>
      <c r="M8" s="355"/>
      <c r="N8" s="355"/>
      <c r="O8" s="356">
        <v>1</v>
      </c>
      <c r="P8" s="356"/>
      <c r="Q8" s="350">
        <v>350000</v>
      </c>
      <c r="R8" s="351"/>
      <c r="S8" s="352"/>
      <c r="T8" s="353">
        <v>3850000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2329</v>
      </c>
      <c r="B16" s="371"/>
      <c r="C16" s="371"/>
      <c r="D16" s="371"/>
      <c r="E16" s="372"/>
      <c r="F16" s="379" t="s">
        <v>3589</v>
      </c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0</v>
      </c>
      <c r="G20" s="394"/>
      <c r="H20" s="394"/>
      <c r="I20" s="395"/>
      <c r="J20" s="390">
        <f>SUM(J8:N19)</f>
        <v>3500000</v>
      </c>
      <c r="K20" s="391"/>
      <c r="L20" s="391"/>
      <c r="M20" s="391"/>
      <c r="N20" s="392"/>
      <c r="O20" s="428">
        <f>SUM(O8:P19)</f>
        <v>1</v>
      </c>
      <c r="P20" s="428"/>
      <c r="Q20" s="393">
        <f>SUM(Q8:S19)</f>
        <v>350000</v>
      </c>
      <c r="R20" s="394"/>
      <c r="S20" s="395"/>
      <c r="T20" s="394">
        <f>SUM(T8:U15)</f>
        <v>3850000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3850000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한일오토(영등포)</v>
      </c>
      <c r="R21" s="388"/>
      <c r="S21" s="388"/>
      <c r="T21" s="388"/>
      <c r="U21" s="389"/>
    </row>
    <row r="22" spans="1:21" ht="20.100000000000001" customHeight="1" x14ac:dyDescent="0.3">
      <c r="A22" s="429" t="s">
        <v>3591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1204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농협 3520106511413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45912</v>
      </c>
      <c r="U25" s="312"/>
    </row>
    <row r="26" spans="1:21" ht="24.95" customHeight="1" x14ac:dyDescent="0.3">
      <c r="A26" s="322" t="s">
        <v>1172</v>
      </c>
      <c r="B26" s="37" t="s">
        <v>59</v>
      </c>
      <c r="C26" s="325" t="str">
        <f>C3</f>
        <v>한일오토(영등포)</v>
      </c>
      <c r="D26" s="326"/>
      <c r="E26" s="326"/>
      <c r="F26" s="326"/>
      <c r="G26" s="326"/>
      <c r="H26" s="326"/>
      <c r="I26" s="326"/>
      <c r="J26" s="327"/>
      <c r="K26" s="328" t="s">
        <v>1173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서울시 영등포구 문래복로 50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010-3700-9070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경동(택배)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PDK_Position_sensor</v>
      </c>
      <c r="B31" s="406"/>
      <c r="C31" s="406"/>
      <c r="D31" s="406"/>
      <c r="E31" s="406"/>
      <c r="F31" s="406" t="str">
        <f>F8</f>
        <v>501327105</v>
      </c>
      <c r="G31" s="406"/>
      <c r="H31" s="406"/>
      <c r="I31" s="406"/>
      <c r="J31" s="410">
        <f>J8</f>
        <v>3500000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350000</v>
      </c>
      <c r="R31" s="407"/>
      <c r="S31" s="407"/>
      <c r="T31" s="408">
        <f>T8</f>
        <v>3850000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2329</v>
      </c>
      <c r="B39" s="371"/>
      <c r="C39" s="371"/>
      <c r="D39" s="371"/>
      <c r="E39" s="372"/>
      <c r="F39" s="379" t="str">
        <f>F16</f>
        <v>BRAND NEW_x000D_
ORIGINAL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0</v>
      </c>
      <c r="G43" s="394"/>
      <c r="H43" s="394"/>
      <c r="I43" s="395"/>
      <c r="J43" s="390">
        <f>J20</f>
        <v>3500000</v>
      </c>
      <c r="K43" s="391"/>
      <c r="L43" s="391"/>
      <c r="M43" s="391"/>
      <c r="N43" s="392"/>
      <c r="O43" s="428">
        <f>O20</f>
        <v>1</v>
      </c>
      <c r="P43" s="428"/>
      <c r="Q43" s="393">
        <f>Q20</f>
        <v>350000</v>
      </c>
      <c r="R43" s="394"/>
      <c r="S43" s="394"/>
      <c r="T43" s="394">
        <f>T20</f>
        <v>3850000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3850000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한일오토(영등포)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3500000</v>
      </c>
      <c r="H1" s="107">
        <f>SUM(H2:H4)</f>
        <v>1</v>
      </c>
      <c r="I1" s="107">
        <f>SUM(I2:I4)</f>
        <v>350000</v>
      </c>
      <c r="J1" s="107">
        <f>SUM(J2:J4)</f>
        <v>3850000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3571</v>
      </c>
      <c r="C2" s="47" t="s">
        <v>3580</v>
      </c>
      <c r="D2" s="290" t="s">
        <v>3583</v>
      </c>
      <c r="E2" t="s">
        <v>3301</v>
      </c>
      <c r="F2" s="290" t="s">
        <v>3584</v>
      </c>
      <c r="G2">
        <v>3500000</v>
      </c>
      <c r="H2">
        <v>1</v>
      </c>
      <c r="I2" s="226">
        <v>350000</v>
      </c>
      <c r="J2" s="226">
        <v>3850000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25"/>
  <sheetViews>
    <sheetView workbookViewId="0">
      <pane xSplit="1" ySplit="1" topLeftCell="B1581" activePane="bottomRight" state="frozen"/>
      <selection activeCell="N26" sqref="N26"/>
      <selection pane="topRight" activeCell="N26" sqref="N26"/>
      <selection pane="bottomLeft" activeCell="N26" sqref="N26"/>
      <selection pane="bottomRight" activeCell="A1612" sqref="A161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1620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3357</v>
      </c>
      <c r="F1261" s="269" t="s">
        <v>3358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3245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3249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3251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3253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3255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3260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3262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3266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3514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3514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3514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3275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3277</v>
      </c>
      <c r="H1318" s="269">
        <v>1</v>
      </c>
      <c r="L1318" s="265">
        <v>-600000</v>
      </c>
      <c r="M1318" s="269" t="s">
        <v>3278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3514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3514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3514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3284</v>
      </c>
      <c r="N1328" t="s">
        <v>3514</v>
      </c>
    </row>
    <row r="1329" spans="1:14" x14ac:dyDescent="0.3">
      <c r="A1329" s="58">
        <v>1327</v>
      </c>
      <c r="B1329" s="264">
        <v>45891</v>
      </c>
      <c r="C1329" s="292" t="s">
        <v>3286</v>
      </c>
      <c r="E1329" s="292" t="s">
        <v>3289</v>
      </c>
      <c r="G1329" s="265">
        <v>200000</v>
      </c>
      <c r="H1329" s="269">
        <v>1</v>
      </c>
      <c r="K1329" s="265">
        <v>200000</v>
      </c>
      <c r="M1329" s="269"/>
      <c r="N1329" t="s">
        <v>3514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3514</v>
      </c>
    </row>
    <row r="1331" spans="1:14" x14ac:dyDescent="0.3">
      <c r="A1331" s="58">
        <v>1329</v>
      </c>
      <c r="B1331" s="264">
        <v>45891</v>
      </c>
      <c r="C1331" s="292" t="s">
        <v>3292</v>
      </c>
      <c r="E1331" s="292" t="s">
        <v>3296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3297</v>
      </c>
      <c r="N1331" t="s">
        <v>3514</v>
      </c>
    </row>
    <row r="1332" spans="1:14" x14ac:dyDescent="0.3">
      <c r="A1332" s="58">
        <v>1330</v>
      </c>
      <c r="B1332" s="264">
        <v>45891</v>
      </c>
      <c r="C1332" s="292" t="s">
        <v>3286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3292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3514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3514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3514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3514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3514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3514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3514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3309</v>
      </c>
      <c r="F1352" s="269" t="s">
        <v>3310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3514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3514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3514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3514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3514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3514</v>
      </c>
    </row>
    <row r="1358" spans="1:14" x14ac:dyDescent="0.3">
      <c r="A1358" s="58">
        <v>1356</v>
      </c>
      <c r="B1358" s="264">
        <v>45894</v>
      </c>
      <c r="C1358" s="292" t="s">
        <v>3317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3514</v>
      </c>
    </row>
    <row r="1359" spans="1:14" x14ac:dyDescent="0.3">
      <c r="A1359" s="58">
        <v>1357</v>
      </c>
      <c r="B1359" s="264">
        <v>45894</v>
      </c>
      <c r="C1359" s="292" t="s">
        <v>3317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3514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3514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3324</v>
      </c>
      <c r="G1361" s="265">
        <v>300000</v>
      </c>
      <c r="H1361" s="269">
        <v>1</v>
      </c>
      <c r="K1361" s="265">
        <v>300000</v>
      </c>
      <c r="M1361" s="269"/>
      <c r="N1361" t="s">
        <v>3514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3514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3514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3514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3514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3514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3514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3514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3514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3514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3514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3514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3330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3331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3317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3514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3514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3336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3514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3514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3514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3514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3514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3514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3514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3344</v>
      </c>
      <c r="F1397" s="269" t="s">
        <v>3345</v>
      </c>
      <c r="M1397" s="269"/>
      <c r="N1397" t="s">
        <v>3514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3347</v>
      </c>
      <c r="N1398" t="s">
        <v>3514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3514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3514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3352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3366</v>
      </c>
      <c r="G1408" s="265">
        <v>2500000</v>
      </c>
      <c r="H1408" s="269">
        <v>1</v>
      </c>
      <c r="J1408" s="266" t="s">
        <v>3367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3514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3514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3514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3514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3514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3514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3514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3514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3514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3514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3391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3514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3514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3514</v>
      </c>
    </row>
    <row r="1430" spans="1:14" x14ac:dyDescent="0.3">
      <c r="A1430" s="58">
        <v>1429</v>
      </c>
      <c r="B1430" s="264">
        <v>45898</v>
      </c>
      <c r="C1430" s="292" t="s">
        <v>3515</v>
      </c>
      <c r="E1430" s="292" t="s">
        <v>3516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3515</v>
      </c>
      <c r="E1431" s="292" t="s">
        <v>3517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3515</v>
      </c>
      <c r="E1432" s="292" t="s">
        <v>3518</v>
      </c>
      <c r="F1432" s="269" t="s">
        <v>3519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3515</v>
      </c>
      <c r="E1433" s="292" t="s">
        <v>3520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3515</v>
      </c>
      <c r="E1434" s="292" t="s">
        <v>3521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3514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3514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3392</v>
      </c>
      <c r="N1438" t="s">
        <v>3514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3514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3515</v>
      </c>
      <c r="E1453" s="292" t="s">
        <v>3522</v>
      </c>
      <c r="F1453" s="269" t="s">
        <v>3523</v>
      </c>
      <c r="G1453" s="265">
        <v>800000</v>
      </c>
      <c r="H1453" s="269">
        <v>1</v>
      </c>
      <c r="K1453" s="265">
        <v>800000</v>
      </c>
      <c r="M1453" s="269" t="s">
        <v>3524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3376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3376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3399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3405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3407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3317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3476</v>
      </c>
      <c r="E1489" s="292" t="s">
        <v>3477</v>
      </c>
      <c r="F1489" s="269" t="s">
        <v>3478</v>
      </c>
      <c r="G1489" s="265">
        <v>1850000</v>
      </c>
      <c r="H1489" s="269">
        <v>1</v>
      </c>
      <c r="J1489" s="266" t="s">
        <v>3479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3425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3514</v>
      </c>
    </row>
    <row r="1497" spans="1:14" x14ac:dyDescent="0.3">
      <c r="A1497" s="58">
        <v>1496</v>
      </c>
      <c r="B1497" s="264">
        <v>45904</v>
      </c>
      <c r="C1497" s="292" t="s">
        <v>3459</v>
      </c>
      <c r="E1497" s="292" t="s">
        <v>3460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3317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3427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3445</v>
      </c>
      <c r="F1505" s="269" t="s">
        <v>3444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3435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3435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3427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3461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3462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3463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3464</v>
      </c>
      <c r="N1519" t="s">
        <v>3514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3467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3470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3481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3481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3435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3488</v>
      </c>
      <c r="E1539" s="292" t="s">
        <v>3495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3488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3488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3488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3498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3491</v>
      </c>
      <c r="E1544" s="292" t="s">
        <v>3500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3488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3491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3502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3495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3495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3495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3553</v>
      </c>
      <c r="E1567" s="292" t="s">
        <v>3554</v>
      </c>
      <c r="G1567" s="265">
        <v>1100000</v>
      </c>
      <c r="H1567" s="269">
        <v>1</v>
      </c>
      <c r="J1567" s="266" t="s">
        <v>3555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3539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3533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3535</v>
      </c>
      <c r="E1581" s="292" t="s">
        <v>3495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3467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3418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3418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3330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3495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3418</v>
      </c>
      <c r="E1594" s="292" t="s">
        <v>1130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3535</v>
      </c>
      <c r="E1600" s="292" t="s">
        <v>1130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1475</v>
      </c>
      <c r="E1601" s="292" t="s">
        <v>3244</v>
      </c>
      <c r="F1601" s="269" t="s">
        <v>3557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1087</v>
      </c>
      <c r="E1602" s="292" t="s">
        <v>2192</v>
      </c>
      <c r="F1602" s="269" t="s">
        <v>1208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1087</v>
      </c>
      <c r="E1603" s="292" t="s">
        <v>2193</v>
      </c>
      <c r="F1603" s="269" t="s">
        <v>1812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1821</v>
      </c>
      <c r="E1604" s="292" t="s">
        <v>1212</v>
      </c>
      <c r="F1604" s="269" t="s">
        <v>1211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2408</v>
      </c>
      <c r="F1605" s="269" t="s">
        <v>2905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1457</v>
      </c>
      <c r="E1606" s="292" t="s">
        <v>3407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1457</v>
      </c>
      <c r="E1607" s="292" t="s">
        <v>1557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1457</v>
      </c>
      <c r="E1608" s="292" t="s">
        <v>3564</v>
      </c>
      <c r="F1608" s="269" t="s">
        <v>3563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1407</v>
      </c>
      <c r="E1609" s="292" t="s">
        <v>2425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1799</v>
      </c>
      <c r="E1610" s="292" t="s">
        <v>3407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1799</v>
      </c>
      <c r="E1611" s="292" t="s">
        <v>1527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3134</v>
      </c>
      <c r="E1612" s="292" t="s">
        <v>1752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1588</v>
      </c>
      <c r="E1613" s="292" t="s">
        <v>1130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1130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3134</v>
      </c>
      <c r="E1615" s="292" t="s">
        <v>1130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1481</v>
      </c>
      <c r="E1616" s="292" t="s">
        <v>2208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1679</v>
      </c>
      <c r="E1617" s="292" t="s">
        <v>2430</v>
      </c>
      <c r="F1617" s="269" t="s">
        <v>2766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1730</v>
      </c>
      <c r="E1618" s="292" t="s">
        <v>1543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2934</v>
      </c>
      <c r="E1619" s="292" t="s">
        <v>2958</v>
      </c>
      <c r="F1619" s="269" t="s">
        <v>3136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1730</v>
      </c>
      <c r="E1620" s="292" t="s">
        <v>3577</v>
      </c>
      <c r="F1620" s="269" t="s">
        <v>2339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1477</v>
      </c>
      <c r="E1621" s="292" t="s">
        <v>2201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3580</v>
      </c>
      <c r="E1622" s="292" t="s">
        <v>3301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1481</v>
      </c>
      <c r="E1623" s="292" t="s">
        <v>1130</v>
      </c>
      <c r="L1623" s="265">
        <v>1040000</v>
      </c>
    </row>
    <row r="1624" spans="1:12" x14ac:dyDescent="0.3">
      <c r="A1624" s="58">
        <v>1618</v>
      </c>
      <c r="B1624" s="264">
        <v>45912</v>
      </c>
      <c r="C1624" s="292" t="s">
        <v>1457</v>
      </c>
      <c r="E1624" s="292" t="s">
        <v>1130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3580</v>
      </c>
      <c r="E1625" s="292" t="s">
        <v>1130</v>
      </c>
      <c r="L1625" s="265">
        <v>-3850000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72" workbookViewId="0">
      <selection activeCell="E189" sqref="E18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45912</v>
      </c>
      <c r="B3" s="235" t="s">
        <v>1131</v>
      </c>
      <c r="C3" s="286">
        <f>SUMIF($B:$B,A3,I:I)</f>
        <v>9110000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5698000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90723000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90723000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3376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3376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3399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3405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3407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3317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3414</v>
      </c>
      <c r="F55" s="120">
        <v>1850000</v>
      </c>
      <c r="G55" s="85">
        <v>1</v>
      </c>
      <c r="H55" s="126" t="s">
        <v>3479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3418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3317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3427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3445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3435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3435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3427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3461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3462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3463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3467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3470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3480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3480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3435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3488</v>
      </c>
      <c r="D103" s="113" t="s">
        <v>3495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3488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3488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3488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3491</v>
      </c>
      <c r="D108" s="113" t="s">
        <v>3500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3488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3491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3502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3495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3495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3508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3495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H131" s="126" t="s">
        <v>3555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3495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3551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3551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3551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3551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3467</v>
      </c>
      <c r="F144" s="120">
        <v>80000</v>
      </c>
      <c r="G144" s="85">
        <v>1</v>
      </c>
      <c r="I144" s="80">
        <v>80000</v>
      </c>
      <c r="K144" s="69" t="s">
        <v>3551</v>
      </c>
    </row>
    <row r="145" spans="1:11" ht="18" customHeight="1" x14ac:dyDescent="0.3">
      <c r="A145" s="82">
        <v>1575</v>
      </c>
      <c r="B145" s="93">
        <v>45910</v>
      </c>
      <c r="C145" s="83" t="s">
        <v>3535</v>
      </c>
      <c r="D145" s="113" t="s">
        <v>3495</v>
      </c>
      <c r="F145" s="120">
        <v>540000</v>
      </c>
      <c r="G145" s="85">
        <v>1</v>
      </c>
      <c r="I145" s="80">
        <v>540000</v>
      </c>
      <c r="K145" s="69" t="s">
        <v>3551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3467</v>
      </c>
      <c r="F146" s="120">
        <v>80000</v>
      </c>
      <c r="G146" s="85">
        <v>3</v>
      </c>
      <c r="I146" s="80">
        <v>240000</v>
      </c>
      <c r="K146" s="69" t="s">
        <v>3551</v>
      </c>
    </row>
    <row r="147" spans="1:11" ht="18" customHeight="1" x14ac:dyDescent="0.3">
      <c r="A147" s="82">
        <v>1577</v>
      </c>
      <c r="B147" s="93">
        <v>45910</v>
      </c>
      <c r="C147" s="83" t="s">
        <v>3418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3551</v>
      </c>
    </row>
    <row r="148" spans="1:11" ht="18" customHeight="1" x14ac:dyDescent="0.3">
      <c r="A148" s="82">
        <v>1578</v>
      </c>
      <c r="B148" s="93">
        <v>45910</v>
      </c>
      <c r="C148" s="83" t="s">
        <v>3418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3551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3330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3551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3551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3551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3495</v>
      </c>
      <c r="F153" s="120">
        <v>540000</v>
      </c>
      <c r="G153" s="85">
        <v>1</v>
      </c>
      <c r="I153" s="80">
        <v>540000</v>
      </c>
      <c r="K153" s="69" t="s">
        <v>3551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3551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3551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3551</v>
      </c>
    </row>
    <row r="157" spans="1:11" ht="18" customHeight="1" x14ac:dyDescent="0.3">
      <c r="A157" s="82">
        <v>1587</v>
      </c>
      <c r="B157" s="93">
        <v>45910</v>
      </c>
      <c r="C157" s="83" t="s">
        <v>1475</v>
      </c>
      <c r="D157" s="113" t="s">
        <v>1130</v>
      </c>
      <c r="J157" s="80">
        <v>-3080000</v>
      </c>
      <c r="K157" s="69" t="s">
        <v>3551</v>
      </c>
    </row>
    <row r="158" spans="1:11" ht="18" customHeight="1" x14ac:dyDescent="0.3">
      <c r="A158" s="82">
        <v>1588</v>
      </c>
      <c r="B158" s="93">
        <v>45910</v>
      </c>
      <c r="C158" s="83" t="s">
        <v>3418</v>
      </c>
      <c r="D158" s="113" t="s">
        <v>1130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1313</v>
      </c>
      <c r="D159" s="113" t="s">
        <v>1130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1457</v>
      </c>
      <c r="D160" s="113" t="s">
        <v>1130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2422</v>
      </c>
      <c r="D161" s="113" t="s">
        <v>1130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1594</v>
      </c>
      <c r="D162" s="113" t="s">
        <v>1130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2801</v>
      </c>
      <c r="D163" s="113" t="s">
        <v>1130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3535</v>
      </c>
      <c r="D164" s="113" t="s">
        <v>1130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1475</v>
      </c>
      <c r="D165" s="113" t="s">
        <v>3244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1087</v>
      </c>
      <c r="D166" s="113" t="s">
        <v>2192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1087</v>
      </c>
      <c r="D167" s="113" t="s">
        <v>2193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1821</v>
      </c>
      <c r="D168" s="113" t="s">
        <v>1212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2408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1457</v>
      </c>
      <c r="D170" s="113" t="s">
        <v>3407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1457</v>
      </c>
      <c r="D171" s="113" t="s">
        <v>1557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1457</v>
      </c>
      <c r="D172" s="113" t="s">
        <v>3564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1407</v>
      </c>
      <c r="D173" s="113" t="s">
        <v>2425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1799</v>
      </c>
      <c r="D174" s="113" t="s">
        <v>3407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1799</v>
      </c>
      <c r="D175" s="113" t="s">
        <v>1527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3134</v>
      </c>
      <c r="D176" s="113" t="s">
        <v>1752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1588</v>
      </c>
      <c r="D177" s="113" t="s">
        <v>1130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1130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3134</v>
      </c>
      <c r="D179" s="113" t="s">
        <v>1130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1481</v>
      </c>
      <c r="D180" s="113" t="s">
        <v>2208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1679</v>
      </c>
      <c r="D181" s="113" t="s">
        <v>2430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1730</v>
      </c>
      <c r="D182" s="113" t="s">
        <v>1543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2934</v>
      </c>
      <c r="D183" s="113" t="s">
        <v>2958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1730</v>
      </c>
      <c r="D184" s="113" t="s">
        <v>3577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1477</v>
      </c>
      <c r="D185" s="113" t="s">
        <v>2201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3580</v>
      </c>
      <c r="D186" s="113" t="s">
        <v>3301</v>
      </c>
      <c r="F186" s="120">
        <v>3500000</v>
      </c>
      <c r="G186" s="85">
        <v>1</v>
      </c>
      <c r="H186" s="126">
        <v>350000</v>
      </c>
      <c r="I186" s="80">
        <v>3850000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5400000</v>
      </c>
      <c r="D2">
        <f t="shared" ref="D2:D65" si="0">RANK(C2,C:C,0)</f>
        <v>3</v>
      </c>
    </row>
    <row r="3" spans="1:6" x14ac:dyDescent="0.3">
      <c r="B3" t="s">
        <v>1309</v>
      </c>
      <c r="C3" s="52">
        <f>SUMIF(BTS_매출관리!C:C,B3,BTS_매출관리!I:I)</f>
        <v>4443000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5640000</v>
      </c>
      <c r="D5">
        <f t="shared" si="0"/>
        <v>2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8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15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16</v>
      </c>
    </row>
    <row r="9" spans="1:6" x14ac:dyDescent="0.3">
      <c r="B9" t="s">
        <v>1341</v>
      </c>
      <c r="C9" s="52">
        <f>SUMIF(BTS_매출관리!C:C,B9,BTS_매출관리!I:I)</f>
        <v>3186000</v>
      </c>
      <c r="D9">
        <f t="shared" si="0"/>
        <v>7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17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19</v>
      </c>
    </row>
    <row r="12" spans="1:6" x14ac:dyDescent="0.3">
      <c r="B12" t="s">
        <v>1286</v>
      </c>
      <c r="C12" s="52">
        <f>SUMIF(BTS_매출관리!C:C,B12,BTS_매출관리!I:I)</f>
        <v>3225000</v>
      </c>
      <c r="D12">
        <f t="shared" si="0"/>
        <v>6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2695000</v>
      </c>
      <c r="D13">
        <f t="shared" si="0"/>
        <v>9</v>
      </c>
      <c r="F13">
        <f>IF(D13 &lt; 10,,"")</f>
        <v>0</v>
      </c>
    </row>
    <row r="14" spans="1:6" x14ac:dyDescent="0.3">
      <c r="B14" t="s">
        <v>1343</v>
      </c>
      <c r="C14" s="52">
        <f>SUMIF(BTS_매출관리!C:C,B14,BTS_매출관리!I:I)</f>
        <v>2600000</v>
      </c>
      <c r="D14">
        <f t="shared" si="0"/>
        <v>10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2410000</v>
      </c>
      <c r="D15">
        <f t="shared" si="0"/>
        <v>12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27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28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11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13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31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32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25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13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34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35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36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43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40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41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42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43</v>
      </c>
    </row>
    <row r="32" spans="2:4" x14ac:dyDescent="0.3">
      <c r="B32" t="s">
        <v>1306</v>
      </c>
      <c r="C32" s="52">
        <f>SUMIF(BTS_매출관리!C:C,B32,BTS_매출관리!I:I)</f>
        <v>650000</v>
      </c>
      <c r="D32">
        <f t="shared" si="0"/>
        <v>33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43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24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39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43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43</v>
      </c>
    </row>
    <row r="38" spans="2:4" x14ac:dyDescent="0.3">
      <c r="B38" t="s">
        <v>2373</v>
      </c>
      <c r="C38" s="52">
        <f>SUMIF(BTS_매출관리!C:C,B38,BTS_매출관리!I:I)</f>
        <v>1485000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43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43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43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18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43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43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43</v>
      </c>
    </row>
    <row r="46" spans="2:4" x14ac:dyDescent="0.3">
      <c r="B46" t="s">
        <v>1337</v>
      </c>
      <c r="C46" s="52">
        <f>SUMIF(BTS_매출관리!C:C,B46,BTS_매출관리!I:I)</f>
        <v>300000</v>
      </c>
      <c r="D46">
        <f t="shared" si="0"/>
        <v>37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43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43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43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43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43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43</v>
      </c>
    </row>
    <row r="53" spans="2:4" x14ac:dyDescent="0.3">
      <c r="B53" t="s">
        <v>1625</v>
      </c>
      <c r="C53" s="52">
        <f>SUMIF(BTS_매출관리!C:C,B53,BTS_매출관리!I:I)</f>
        <v>1550000</v>
      </c>
      <c r="D53">
        <f t="shared" si="0"/>
        <v>21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43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43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43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43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43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43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43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38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43</v>
      </c>
    </row>
    <row r="63" spans="2:4" x14ac:dyDescent="0.3">
      <c r="B63" t="s">
        <v>1679</v>
      </c>
      <c r="C63" s="52">
        <f>SUMIF(BTS_매출관리!C:C,B63,BTS_매출관리!I:I)</f>
        <v>8470000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23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30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19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43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43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43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43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26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43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43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43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43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43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43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43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43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43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43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43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43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43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43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43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43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43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43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43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43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43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43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43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43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43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29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43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43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43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43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43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43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43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43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43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43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43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43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43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43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43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43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43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43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43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43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43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43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43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43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43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C157" s="52">
        <f>SUMIF(BTS_매출관리!C:C,B157,BTS_매출관리!I:I)</f>
        <v>0</v>
      </c>
      <c r="D157">
        <f t="shared" si="2"/>
        <v>43</v>
      </c>
    </row>
    <row r="158" spans="2:4" x14ac:dyDescent="0.3">
      <c r="C158" s="52">
        <f>SUMIF(BTS_매출관리!C:C,B158,BTS_매출관리!I:I)</f>
        <v>0</v>
      </c>
      <c r="D158">
        <f t="shared" si="2"/>
        <v>43</v>
      </c>
    </row>
    <row r="159" spans="2:4" x14ac:dyDescent="0.3">
      <c r="C159" s="52">
        <f>SUMIF(BTS_매출관리!C:C,B159,BTS_매출관리!I:I)</f>
        <v>0</v>
      </c>
      <c r="D159">
        <f t="shared" si="2"/>
        <v>43</v>
      </c>
    </row>
    <row r="160" spans="2:4" x14ac:dyDescent="0.3">
      <c r="C160" s="52">
        <f>SUMIF(BTS_매출관리!C:C,B160,BTS_매출관리!I:I)</f>
        <v>0</v>
      </c>
      <c r="D160">
        <f t="shared" si="2"/>
        <v>43</v>
      </c>
    </row>
    <row r="161" spans="3:4" x14ac:dyDescent="0.3">
      <c r="C161" s="52">
        <f>SUMIF(BTS_매출관리!C:C,B161,BTS_매출관리!I:I)</f>
        <v>0</v>
      </c>
      <c r="D161">
        <f t="shared" si="2"/>
        <v>43</v>
      </c>
    </row>
    <row r="162" spans="3:4" x14ac:dyDescent="0.3">
      <c r="C162" s="52">
        <f>SUMIF(BTS_매출관리!C:C,B162,BTS_매출관리!I:I)</f>
        <v>0</v>
      </c>
      <c r="D162">
        <f t="shared" si="2"/>
        <v>43</v>
      </c>
    </row>
    <row r="163" spans="3:4" x14ac:dyDescent="0.3">
      <c r="C163" s="52">
        <f>SUMIF(BTS_매출관리!C:C,B163,BTS_매출관리!I:I)</f>
        <v>0</v>
      </c>
      <c r="D163">
        <f t="shared" si="2"/>
        <v>43</v>
      </c>
    </row>
    <row r="164" spans="3:4" x14ac:dyDescent="0.3">
      <c r="C164" s="52">
        <f>SUMIF(BTS_매출관리!C:C,B164,BTS_매출관리!I:I)</f>
        <v>0</v>
      </c>
      <c r="D164">
        <f t="shared" si="2"/>
        <v>43</v>
      </c>
    </row>
    <row r="165" spans="3:4" x14ac:dyDescent="0.3">
      <c r="C165" s="52">
        <f>SUMIF(BTS_매출관리!C:C,B165,BTS_매출관리!I:I)</f>
        <v>0</v>
      </c>
      <c r="D165">
        <f t="shared" si="2"/>
        <v>43</v>
      </c>
    </row>
    <row r="166" spans="3:4" x14ac:dyDescent="0.3">
      <c r="C166" s="52">
        <f>SUMIF(BTS_매출관리!C:C,B166,BTS_매출관리!I:I)</f>
        <v>0</v>
      </c>
      <c r="D166">
        <f t="shared" si="2"/>
        <v>43</v>
      </c>
    </row>
    <row r="167" spans="3:4" x14ac:dyDescent="0.3">
      <c r="C167" s="52">
        <f>SUMIF(BTS_매출관리!C:C,B167,BTS_매출관리!I:I)</f>
        <v>0</v>
      </c>
      <c r="D167">
        <f t="shared" si="2"/>
        <v>43</v>
      </c>
    </row>
    <row r="168" spans="3:4" x14ac:dyDescent="0.3">
      <c r="C168" s="52">
        <f>SUMIF(BTS_매출관리!C:C,B168,BTS_매출관리!I:I)</f>
        <v>0</v>
      </c>
      <c r="D168">
        <f t="shared" si="2"/>
        <v>43</v>
      </c>
    </row>
    <row r="169" spans="3:4" x14ac:dyDescent="0.3">
      <c r="C169" s="52">
        <f>SUMIF(BTS_매출관리!C:C,B169,BTS_매출관리!I:I)</f>
        <v>0</v>
      </c>
      <c r="D169">
        <f t="shared" si="2"/>
        <v>43</v>
      </c>
    </row>
    <row r="170" spans="3:4" x14ac:dyDescent="0.3">
      <c r="C170" s="52">
        <f>SUMIF(BTS_매출관리!C:C,B170,BTS_매출관리!I:I)</f>
        <v>0</v>
      </c>
      <c r="D170">
        <f t="shared" si="2"/>
        <v>43</v>
      </c>
    </row>
    <row r="171" spans="3:4" x14ac:dyDescent="0.3">
      <c r="C171" s="52">
        <f>SUMIF(BTS_매출관리!C:C,B171,BTS_매출관리!I:I)</f>
        <v>0</v>
      </c>
      <c r="D171">
        <f t="shared" si="2"/>
        <v>43</v>
      </c>
    </row>
    <row r="172" spans="3:4" x14ac:dyDescent="0.3">
      <c r="C172" s="52">
        <f>SUMIF(BTS_매출관리!C:C,B172,BTS_매출관리!I:I)</f>
        <v>0</v>
      </c>
      <c r="D172">
        <f t="shared" si="2"/>
        <v>43</v>
      </c>
    </row>
    <row r="173" spans="3:4" x14ac:dyDescent="0.3">
      <c r="C173" s="52">
        <f>SUMIF(BTS_매출관리!C:C,B173,BTS_매출관리!I:I)</f>
        <v>0</v>
      </c>
      <c r="D173">
        <f t="shared" si="2"/>
        <v>43</v>
      </c>
    </row>
    <row r="174" spans="3:4" x14ac:dyDescent="0.3">
      <c r="C174" s="52">
        <f>SUMIF(BTS_매출관리!C:C,B174,BTS_매출관리!I:I)</f>
        <v>0</v>
      </c>
      <c r="D174">
        <f t="shared" si="2"/>
        <v>43</v>
      </c>
    </row>
    <row r="175" spans="3:4" x14ac:dyDescent="0.3">
      <c r="C175" s="52">
        <f>SUMIF(BTS_매출관리!C:C,B175,BTS_매출관리!I:I)</f>
        <v>0</v>
      </c>
      <c r="D175">
        <f t="shared" si="2"/>
        <v>43</v>
      </c>
    </row>
    <row r="176" spans="3:4" x14ac:dyDescent="0.3">
      <c r="C176" s="52">
        <f>SUMIF(BTS_매출관리!C:C,B176,BTS_매출관리!I:I)</f>
        <v>0</v>
      </c>
      <c r="D176">
        <f t="shared" si="2"/>
        <v>43</v>
      </c>
    </row>
    <row r="177" spans="3:4" x14ac:dyDescent="0.3">
      <c r="C177" s="52">
        <f>SUMIF(BTS_매출관리!C:C,B177,BTS_매출관리!I:I)</f>
        <v>0</v>
      </c>
      <c r="D177">
        <f t="shared" si="2"/>
        <v>43</v>
      </c>
    </row>
    <row r="178" spans="3:4" x14ac:dyDescent="0.3">
      <c r="C178" s="52">
        <f>SUMIF(BTS_매출관리!C:C,B178,BTS_매출관리!I:I)</f>
        <v>0</v>
      </c>
      <c r="D178">
        <f t="shared" si="2"/>
        <v>43</v>
      </c>
    </row>
    <row r="179" spans="3:4" x14ac:dyDescent="0.3">
      <c r="C179" s="52">
        <f>SUMIF(BTS_매출관리!C:C,B179,BTS_매출관리!I:I)</f>
        <v>0</v>
      </c>
      <c r="D179">
        <f t="shared" si="2"/>
        <v>43</v>
      </c>
    </row>
    <row r="180" spans="3:4" x14ac:dyDescent="0.3">
      <c r="C180" s="52">
        <f>SUMIF(BTS_매출관리!C:C,B180,BTS_매출관리!I:I)</f>
        <v>0</v>
      </c>
      <c r="D180">
        <f t="shared" si="2"/>
        <v>43</v>
      </c>
    </row>
    <row r="181" spans="3:4" x14ac:dyDescent="0.3">
      <c r="C181" s="52">
        <f>SUMIF(BTS_매출관리!C:C,B181,BTS_매출관리!I:I)</f>
        <v>0</v>
      </c>
      <c r="D181">
        <f t="shared" si="2"/>
        <v>43</v>
      </c>
    </row>
    <row r="182" spans="3:4" x14ac:dyDescent="0.3">
      <c r="C182" s="52">
        <f>SUMIF(BTS_매출관리!C:C,B182,BTS_매출관리!I:I)</f>
        <v>0</v>
      </c>
      <c r="D182">
        <f t="shared" si="2"/>
        <v>43</v>
      </c>
    </row>
    <row r="183" spans="3:4" x14ac:dyDescent="0.3">
      <c r="C183" s="52">
        <f>SUMIF(BTS_매출관리!C:C,B183,BTS_매출관리!I:I)</f>
        <v>0</v>
      </c>
      <c r="D183">
        <f t="shared" si="2"/>
        <v>43</v>
      </c>
    </row>
    <row r="184" spans="3:4" x14ac:dyDescent="0.3">
      <c r="C184" s="52">
        <f>SUMIF(BTS_매출관리!C:C,B184,BTS_매출관리!I:I)</f>
        <v>0</v>
      </c>
      <c r="D184">
        <f t="shared" si="2"/>
        <v>43</v>
      </c>
    </row>
    <row r="185" spans="3:4" x14ac:dyDescent="0.3">
      <c r="C185" s="52">
        <f>SUMIF(BTS_매출관리!C:C,B185,BTS_매출관리!I:I)</f>
        <v>0</v>
      </c>
      <c r="D185">
        <f t="shared" si="2"/>
        <v>43</v>
      </c>
    </row>
    <row r="186" spans="3:4" x14ac:dyDescent="0.3">
      <c r="C186" s="52">
        <f>SUMIF(BTS_매출관리!C:C,B186,BTS_매출관리!I:I)</f>
        <v>0</v>
      </c>
      <c r="D186">
        <f t="shared" si="2"/>
        <v>43</v>
      </c>
    </row>
    <row r="187" spans="3:4" x14ac:dyDescent="0.3">
      <c r="C187" s="52">
        <f>SUMIF(BTS_매출관리!C:C,B187,BTS_매출관리!I:I)</f>
        <v>0</v>
      </c>
      <c r="D187">
        <f t="shared" si="2"/>
        <v>43</v>
      </c>
    </row>
    <row r="188" spans="3:4" x14ac:dyDescent="0.3">
      <c r="C188" s="52">
        <f>SUMIF(BTS_매출관리!C:C,B188,BTS_매출관리!I:I)</f>
        <v>0</v>
      </c>
      <c r="D188">
        <f t="shared" si="2"/>
        <v>43</v>
      </c>
    </row>
    <row r="189" spans="3:4" x14ac:dyDescent="0.3">
      <c r="C189" s="52">
        <f>SUMIF(BTS_매출관리!C:C,B189,BTS_매출관리!I:I)</f>
        <v>0</v>
      </c>
      <c r="D189">
        <f t="shared" si="2"/>
        <v>43</v>
      </c>
    </row>
    <row r="190" spans="3:4" x14ac:dyDescent="0.3">
      <c r="C190" s="52">
        <f>SUMIF(BTS_매출관리!C:C,B190,BTS_매출관리!I:I)</f>
        <v>0</v>
      </c>
      <c r="D190">
        <f t="shared" si="2"/>
        <v>43</v>
      </c>
    </row>
    <row r="191" spans="3:4" x14ac:dyDescent="0.3">
      <c r="C191" s="52">
        <f>SUMIF(BTS_매출관리!C:C,B191,BTS_매출관리!I:I)</f>
        <v>0</v>
      </c>
      <c r="D191">
        <f t="shared" si="2"/>
        <v>43</v>
      </c>
    </row>
    <row r="192" spans="3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1172</v>
      </c>
      <c r="B3" s="37" t="s">
        <v>59</v>
      </c>
      <c r="C3" s="480" t="s">
        <v>1549</v>
      </c>
      <c r="D3" s="481"/>
      <c r="E3" s="481"/>
      <c r="F3" s="481"/>
      <c r="G3" s="481"/>
      <c r="H3" s="481"/>
      <c r="I3" s="481"/>
      <c r="J3" s="482"/>
      <c r="K3" s="328" t="s">
        <v>1173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1098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1136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1173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69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894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3241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3242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3243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3246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3247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3248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3250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3252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3254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3256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3257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3258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3259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3261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3263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3264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3265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3267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3268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3270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3271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3272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3273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3274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3276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3279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3280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3283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3285</v>
      </c>
    </row>
    <row r="718" spans="1:4" x14ac:dyDescent="0.3">
      <c r="A718">
        <v>742</v>
      </c>
      <c r="B718" s="13">
        <v>45891</v>
      </c>
      <c r="C718" t="s">
        <v>3286</v>
      </c>
      <c r="D718" t="s">
        <v>3290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3291</v>
      </c>
    </row>
    <row r="720" spans="1:4" x14ac:dyDescent="0.3">
      <c r="A720">
        <v>744</v>
      </c>
      <c r="B720" s="13">
        <v>45891</v>
      </c>
      <c r="C720" t="s">
        <v>3292</v>
      </c>
      <c r="D720" t="s">
        <v>3298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3300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3305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3306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3307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3308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3312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3313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3314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3315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3316</v>
      </c>
    </row>
    <row r="731" spans="1:4" x14ac:dyDescent="0.3">
      <c r="A731">
        <v>755</v>
      </c>
      <c r="B731" s="13">
        <v>45894</v>
      </c>
      <c r="C731" t="s">
        <v>3317</v>
      </c>
      <c r="D731" t="s">
        <v>3321</v>
      </c>
    </row>
    <row r="732" spans="1:4" x14ac:dyDescent="0.3">
      <c r="A732">
        <v>756</v>
      </c>
      <c r="B732" s="13">
        <v>45894</v>
      </c>
      <c r="C732" t="s">
        <v>3317</v>
      </c>
      <c r="D732" t="s">
        <v>3322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3323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3325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3326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3327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3328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3329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3333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3334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3335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3337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3338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3341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3342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3346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3348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3349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3350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3351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3359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3360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3361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3362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3363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3364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3365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3371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3372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3373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3374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3375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3382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3383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3384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3385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3386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3387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3388</v>
      </c>
    </row>
    <row r="771" spans="1:4" x14ac:dyDescent="0.3">
      <c r="A771">
        <v>795</v>
      </c>
      <c r="B771" s="13">
        <v>45901</v>
      </c>
      <c r="C771" t="s">
        <v>3376</v>
      </c>
      <c r="D771" t="s">
        <v>3389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3390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3394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3395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3396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3397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3398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3400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3401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3402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3403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3404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3406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3408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3411</v>
      </c>
    </row>
    <row r="786" spans="1:4" x14ac:dyDescent="0.3">
      <c r="A786">
        <v>810</v>
      </c>
      <c r="B786" s="13">
        <v>45903</v>
      </c>
      <c r="C786" t="s">
        <v>3317</v>
      </c>
      <c r="D786" t="s">
        <v>3412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3416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3417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3421</v>
      </c>
    </row>
    <row r="790" spans="1:4" x14ac:dyDescent="0.3">
      <c r="A790">
        <v>814</v>
      </c>
      <c r="B790" s="13">
        <v>45903</v>
      </c>
      <c r="C790" t="s">
        <v>3418</v>
      </c>
      <c r="D790" t="s">
        <v>3422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3423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3424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3426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3428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3429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3439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3440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3441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3442</v>
      </c>
    </row>
    <row r="800" spans="1:4" x14ac:dyDescent="0.3">
      <c r="A800">
        <v>824</v>
      </c>
      <c r="B800" s="13">
        <v>45904</v>
      </c>
      <c r="C800" t="s">
        <v>3435</v>
      </c>
      <c r="D800" t="s">
        <v>3443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3446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3447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3448</v>
      </c>
    </row>
    <row r="804" spans="1:4" x14ac:dyDescent="0.3">
      <c r="A804">
        <v>828</v>
      </c>
      <c r="B804" s="13">
        <v>45904</v>
      </c>
      <c r="C804" t="s">
        <v>3427</v>
      </c>
      <c r="D804" t="s">
        <v>3449</v>
      </c>
    </row>
    <row r="805" spans="1:4" x14ac:dyDescent="0.3">
      <c r="A805">
        <v>829</v>
      </c>
      <c r="B805" s="13">
        <v>45904</v>
      </c>
      <c r="C805" t="s">
        <v>3427</v>
      </c>
      <c r="D805" t="s">
        <v>3450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3451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3452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3453</v>
      </c>
    </row>
    <row r="809" spans="1:4" x14ac:dyDescent="0.3">
      <c r="A809">
        <v>833</v>
      </c>
      <c r="B809" s="13">
        <v>45904</v>
      </c>
      <c r="C809" t="s">
        <v>3435</v>
      </c>
      <c r="D809" t="s">
        <v>3454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3455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3456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3457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3458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3465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3466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3468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3469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3471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3472</v>
      </c>
    </row>
    <row r="820" spans="1:4" x14ac:dyDescent="0.3">
      <c r="A820">
        <v>844</v>
      </c>
      <c r="B820" s="13">
        <v>45905</v>
      </c>
      <c r="C820" t="s">
        <v>3473</v>
      </c>
      <c r="D820" t="s">
        <v>3474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3475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3487</v>
      </c>
    </row>
    <row r="823" spans="1:4" x14ac:dyDescent="0.3">
      <c r="A823">
        <v>847</v>
      </c>
      <c r="B823" s="13">
        <v>45906</v>
      </c>
      <c r="C823" t="s">
        <v>3488</v>
      </c>
      <c r="D823" t="s">
        <v>3497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3499</v>
      </c>
    </row>
    <row r="825" spans="1:4" x14ac:dyDescent="0.3">
      <c r="A825">
        <v>849</v>
      </c>
      <c r="B825" s="13">
        <v>45906</v>
      </c>
      <c r="C825" t="s">
        <v>3491</v>
      </c>
      <c r="D825" t="s">
        <v>3501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3503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3504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3505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3506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3509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3510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3511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3512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3526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3527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3528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3529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3530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3531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3532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3534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3537</v>
      </c>
    </row>
    <row r="843" spans="1:4" x14ac:dyDescent="0.3">
      <c r="A843">
        <v>867</v>
      </c>
      <c r="B843" s="13">
        <v>45910</v>
      </c>
      <c r="C843" t="s">
        <v>3535</v>
      </c>
      <c r="D843" t="s">
        <v>3541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3542</v>
      </c>
    </row>
    <row r="845" spans="1:4" x14ac:dyDescent="0.3">
      <c r="A845">
        <v>869</v>
      </c>
      <c r="B845" s="13">
        <v>45910</v>
      </c>
      <c r="C845" t="s">
        <v>3418</v>
      </c>
      <c r="D845" t="s">
        <v>3543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3544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3545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3546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3547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3548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3549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3550</v>
      </c>
    </row>
    <row r="853" spans="1:4" x14ac:dyDescent="0.3">
      <c r="A853">
        <v>877</v>
      </c>
      <c r="B853" s="13">
        <v>45911</v>
      </c>
      <c r="C853" t="s">
        <v>1475</v>
      </c>
      <c r="D853" t="s">
        <v>3558</v>
      </c>
    </row>
    <row r="854" spans="1:4" x14ac:dyDescent="0.3">
      <c r="A854">
        <v>878</v>
      </c>
      <c r="B854" s="13">
        <v>45911</v>
      </c>
      <c r="C854" t="s">
        <v>1087</v>
      </c>
      <c r="D854" t="s">
        <v>3559</v>
      </c>
    </row>
    <row r="855" spans="1:4" x14ac:dyDescent="0.3">
      <c r="A855">
        <v>879</v>
      </c>
      <c r="B855" s="13">
        <v>45911</v>
      </c>
      <c r="C855" t="s">
        <v>1087</v>
      </c>
      <c r="D855" t="s">
        <v>3560</v>
      </c>
    </row>
    <row r="856" spans="1:4" x14ac:dyDescent="0.3">
      <c r="A856">
        <v>880</v>
      </c>
      <c r="B856" s="13">
        <v>45911</v>
      </c>
      <c r="C856" t="s">
        <v>1821</v>
      </c>
      <c r="D856" t="s">
        <v>3561</v>
      </c>
    </row>
    <row r="857" spans="1:4" x14ac:dyDescent="0.3">
      <c r="A857">
        <v>881</v>
      </c>
      <c r="B857" s="13">
        <v>45911</v>
      </c>
      <c r="C857" t="s">
        <v>988</v>
      </c>
      <c r="D857" t="s">
        <v>3562</v>
      </c>
    </row>
    <row r="858" spans="1:4" x14ac:dyDescent="0.3">
      <c r="A858">
        <v>882</v>
      </c>
      <c r="B858" s="13">
        <v>45911</v>
      </c>
      <c r="C858" t="s">
        <v>1457</v>
      </c>
      <c r="D858" t="s">
        <v>3565</v>
      </c>
    </row>
    <row r="859" spans="1:4" x14ac:dyDescent="0.3">
      <c r="A859">
        <v>883</v>
      </c>
      <c r="B859" s="13">
        <v>45911</v>
      </c>
      <c r="C859" t="s">
        <v>1407</v>
      </c>
      <c r="D859" t="s">
        <v>3566</v>
      </c>
    </row>
    <row r="860" spans="1:4" x14ac:dyDescent="0.3">
      <c r="A860">
        <v>884</v>
      </c>
      <c r="B860" s="13">
        <v>45911</v>
      </c>
      <c r="C860" t="s">
        <v>1407</v>
      </c>
      <c r="D860" t="s">
        <v>3567</v>
      </c>
    </row>
    <row r="861" spans="1:4" x14ac:dyDescent="0.3">
      <c r="A861">
        <v>885</v>
      </c>
      <c r="B861" s="13">
        <v>45911</v>
      </c>
      <c r="C861" t="s">
        <v>1799</v>
      </c>
      <c r="D861" t="s">
        <v>3568</v>
      </c>
    </row>
    <row r="862" spans="1:4" x14ac:dyDescent="0.3">
      <c r="A862">
        <v>886</v>
      </c>
      <c r="B862" s="13">
        <v>45911</v>
      </c>
      <c r="C862" t="s">
        <v>3134</v>
      </c>
      <c r="D862" t="s">
        <v>3569</v>
      </c>
    </row>
    <row r="863" spans="1:4" x14ac:dyDescent="0.3">
      <c r="A863">
        <v>887</v>
      </c>
      <c r="B863" s="13">
        <v>45912</v>
      </c>
      <c r="C863" t="s">
        <v>1481</v>
      </c>
      <c r="D863" t="s">
        <v>3572</v>
      </c>
    </row>
    <row r="864" spans="1:4" x14ac:dyDescent="0.3">
      <c r="A864">
        <v>888</v>
      </c>
      <c r="B864" s="13">
        <v>45912</v>
      </c>
      <c r="C864" t="s">
        <v>1679</v>
      </c>
      <c r="D864" t="s">
        <v>3574</v>
      </c>
    </row>
    <row r="865" spans="1:4" x14ac:dyDescent="0.3">
      <c r="A865">
        <v>889</v>
      </c>
      <c r="B865" s="13">
        <v>45912</v>
      </c>
      <c r="C865" t="s">
        <v>1730</v>
      </c>
      <c r="D865" t="s">
        <v>3575</v>
      </c>
    </row>
    <row r="866" spans="1:4" x14ac:dyDescent="0.3">
      <c r="A866">
        <v>890</v>
      </c>
      <c r="B866" s="13">
        <v>45912</v>
      </c>
      <c r="C866" t="s">
        <v>2934</v>
      </c>
      <c r="D866" t="s">
        <v>3576</v>
      </c>
    </row>
    <row r="867" spans="1:4" x14ac:dyDescent="0.3">
      <c r="A867">
        <v>891</v>
      </c>
      <c r="B867" s="13">
        <v>45912</v>
      </c>
      <c r="C867" t="s">
        <v>1730</v>
      </c>
      <c r="D867" t="s">
        <v>3578</v>
      </c>
    </row>
    <row r="868" spans="1:4" x14ac:dyDescent="0.3">
      <c r="A868">
        <v>892</v>
      </c>
      <c r="B868" s="13">
        <v>45912</v>
      </c>
      <c r="C868" t="s">
        <v>1477</v>
      </c>
      <c r="D868" t="s">
        <v>3579</v>
      </c>
    </row>
    <row r="869" spans="1:4" x14ac:dyDescent="0.3">
      <c r="A869">
        <v>893</v>
      </c>
      <c r="B869" s="13">
        <v>45912</v>
      </c>
      <c r="C869" t="s">
        <v>3580</v>
      </c>
      <c r="D869" t="s">
        <v>3590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7" sqref="E1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185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3552</v>
      </c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  <c r="I5" s="52" t="s">
        <v>3552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3875000</v>
      </c>
      <c r="I10" s="52" t="s">
        <v>3552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3353</v>
      </c>
      <c r="F13" t="s">
        <v>32</v>
      </c>
      <c r="G13" t="s">
        <v>3343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17970000.199999999</v>
      </c>
      <c r="I17" s="52" t="s">
        <v>3552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6615000</v>
      </c>
      <c r="I19" s="52" t="s">
        <v>3552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2694999.6999999993</v>
      </c>
      <c r="I20" s="52" t="s">
        <v>3552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3419</v>
      </c>
      <c r="E24" t="s">
        <v>3420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3556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3299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1210000</v>
      </c>
      <c r="I32" s="52" t="s">
        <v>3552</v>
      </c>
    </row>
    <row r="33" spans="1:9" x14ac:dyDescent="0.3">
      <c r="A33" s="47">
        <v>32</v>
      </c>
      <c r="B33" t="s">
        <v>1306</v>
      </c>
      <c r="C33" t="s">
        <v>3354</v>
      </c>
      <c r="E33" t="s">
        <v>3355</v>
      </c>
      <c r="F33" t="s">
        <v>3356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4443000</v>
      </c>
      <c r="I37" s="52" t="s">
        <v>3552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3513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3556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20000</v>
      </c>
      <c r="I54" s="52" t="s">
        <v>3552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3552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3299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  <c r="I68" s="52" t="s">
        <v>3552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300000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3368</v>
      </c>
      <c r="J73" t="s">
        <v>3393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3552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3556</v>
      </c>
    </row>
    <row r="78" spans="1:10" x14ac:dyDescent="0.3">
      <c r="A78" s="47">
        <v>77</v>
      </c>
      <c r="B78" t="s">
        <v>1342</v>
      </c>
      <c r="C78" t="s">
        <v>3436</v>
      </c>
      <c r="E78" t="s">
        <v>3437</v>
      </c>
      <c r="F78" t="s">
        <v>963</v>
      </c>
      <c r="G78" t="s">
        <v>3438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2600000</v>
      </c>
      <c r="I79" s="52" t="s">
        <v>3552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3409</v>
      </c>
      <c r="E82" t="s">
        <v>3410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3430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3580000</v>
      </c>
      <c r="I84" s="52" t="s">
        <v>3552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1210000</v>
      </c>
      <c r="I95" s="52" t="s">
        <v>3368</v>
      </c>
      <c r="J95" t="s">
        <v>3393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3552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3525</v>
      </c>
      <c r="H99" s="194">
        <f>SUMIF(주문_리스트!C:C,거래처!B99,주문_리스트!K:K)+SUMIF(주문_리스트!C:C,거래처!B99,주문_리스트!L:L)</f>
        <v>0</v>
      </c>
      <c r="I99" s="52" t="s">
        <v>3556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3556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3556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3299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3552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3552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3552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1550000</v>
      </c>
      <c r="I112" s="52" t="s">
        <v>3368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3513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3281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8470000</v>
      </c>
      <c r="I125" s="52" t="s">
        <v>3552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3556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3332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3431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3282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3286</v>
      </c>
      <c r="C175" t="s">
        <v>3287</v>
      </c>
      <c r="E175" t="s">
        <v>3288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3292</v>
      </c>
      <c r="C176" t="s">
        <v>3293</v>
      </c>
      <c r="E176" t="s">
        <v>3294</v>
      </c>
      <c r="F176" t="s">
        <v>1187</v>
      </c>
      <c r="G176" t="s">
        <v>3295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3317</v>
      </c>
      <c r="C177" t="s">
        <v>3318</v>
      </c>
      <c r="E177" t="s">
        <v>3319</v>
      </c>
      <c r="F177" t="s">
        <v>977</v>
      </c>
      <c r="G177" t="s">
        <v>3320</v>
      </c>
      <c r="H177" s="194">
        <f>SUMIF(주문_리스트!C:C,거래처!B177,주문_리스트!K:K)+SUMIF(주문_리스트!C:C,거래처!B177,주문_리스트!L:L)</f>
        <v>0</v>
      </c>
      <c r="K177" t="s">
        <v>3430</v>
      </c>
    </row>
    <row r="178" spans="1:11" x14ac:dyDescent="0.3">
      <c r="A178" s="47">
        <v>177</v>
      </c>
      <c r="B178" t="s">
        <v>3377</v>
      </c>
      <c r="C178" t="s">
        <v>3378</v>
      </c>
      <c r="E178" t="s">
        <v>3379</v>
      </c>
      <c r="F178" t="s">
        <v>3380</v>
      </c>
      <c r="G178" t="s">
        <v>3381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3432</v>
      </c>
      <c r="C179" t="s">
        <v>3433</v>
      </c>
      <c r="E179" t="s">
        <v>3434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3481</v>
      </c>
      <c r="C180" t="s">
        <v>3482</v>
      </c>
      <c r="E180" t="s">
        <v>3483</v>
      </c>
      <c r="F180" t="s">
        <v>3484</v>
      </c>
      <c r="G180" t="s">
        <v>3485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3488</v>
      </c>
      <c r="C181" t="s">
        <v>3489</v>
      </c>
      <c r="E181" t="s">
        <v>3490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3492</v>
      </c>
      <c r="C182" t="s">
        <v>3493</v>
      </c>
      <c r="E182" t="s">
        <v>3494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3535</v>
      </c>
      <c r="C183" t="s">
        <v>3536</v>
      </c>
      <c r="E183" t="s">
        <v>3540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3556</v>
      </c>
    </row>
    <row r="184" spans="1:11" x14ac:dyDescent="0.3">
      <c r="A184" s="47">
        <v>184</v>
      </c>
      <c r="B184" t="s">
        <v>3580</v>
      </c>
      <c r="C184" t="s">
        <v>3581</v>
      </c>
      <c r="E184" t="s">
        <v>3582</v>
      </c>
      <c r="F184" t="s">
        <v>1187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8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229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-35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-17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-76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-87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-23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-23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3496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-22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-11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-12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-23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-35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-57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-87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-12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-10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-23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3136</v>
      </c>
      <c r="D208" s="288" t="s">
        <v>3570</v>
      </c>
      <c r="E208" s="288" t="s">
        <v>3136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3236</v>
      </c>
      <c r="D218" s="288" t="s">
        <v>3237</v>
      </c>
      <c r="E218" s="288" t="s">
        <v>3236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3238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3303</v>
      </c>
      <c r="D220" s="288" t="s">
        <v>3239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3304</v>
      </c>
      <c r="D221" s="288" t="s">
        <v>3301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3302</v>
      </c>
    </row>
    <row r="222" spans="1:9" x14ac:dyDescent="0.3">
      <c r="A222">
        <v>221</v>
      </c>
      <c r="B222">
        <v>4</v>
      </c>
      <c r="C222" s="288" t="s">
        <v>3310</v>
      </c>
      <c r="D222" s="288" t="s">
        <v>3311</v>
      </c>
      <c r="E222" s="288" t="s">
        <v>3310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3339</v>
      </c>
      <c r="D223" s="288" t="s">
        <v>3340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3413</v>
      </c>
      <c r="D224" s="288" t="s">
        <v>3414</v>
      </c>
      <c r="E224" s="288" t="s">
        <v>3413</v>
      </c>
      <c r="H224">
        <f>SUMIF(재고!D:D,제품!D224,재고!G:G)-SUMIF(주문_리스트!E:E,제품!D224,주문_리스트!H:H)</f>
        <v>-1</v>
      </c>
      <c r="I224" s="52" t="s">
        <v>3415</v>
      </c>
    </row>
    <row r="225" spans="1:8" x14ac:dyDescent="0.3">
      <c r="A225">
        <v>224</v>
      </c>
      <c r="B225">
        <v>1</v>
      </c>
      <c r="C225" s="288" t="s">
        <v>3444</v>
      </c>
      <c r="D225" s="288" t="s">
        <v>3445</v>
      </c>
      <c r="E225" s="288" t="s">
        <v>3444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3470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3507</v>
      </c>
      <c r="D227" s="288" t="s">
        <v>3508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3557</v>
      </c>
      <c r="D228" s="288" t="s">
        <v>3244</v>
      </c>
      <c r="E228" s="288" t="s">
        <v>3557</v>
      </c>
      <c r="F228" s="52">
        <v>1100000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2025-09-12T11:37:39Z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