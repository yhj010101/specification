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1328FD5-650C-4DC5-8983-042F2D0839E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<sst xmlns="http://schemas.openxmlformats.org/spreadsheetml/2006/main" count="10522" uniqueCount="3601">
  <si>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</si>
  <si>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</si>
  <si>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</si>
  <si>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</si>
  <si>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</si>
  <si>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</si>
  <si>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</si>
  <si>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</si>
  <si>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</si>
  <si>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</si>
  <si>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</si>
  <si>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</si>
  <si>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</si>
  <si>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</si>
  <si>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</si>
  <si>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</si>
  <si>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</si>
  <si>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</si>
  <si>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</si>
  <si>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</si>
  <si>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</si>
  <si>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</si>
  <si>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</si>
  <si>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</si>
  <si>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</si>
  <si>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</si>
  <si>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</si>
  <si>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</si>
  <si>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</si>
  <si>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</si>
  <si>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</si>
  <si>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</si>
  <si>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</si>
  <si>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</si>
  <si>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</si>
  <si>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</si>
  <si>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</si>
  <si>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</si>
  <si>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</si>
  <si>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</si>
  <si>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</si>
  <si>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</si>
  <si>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</si>
  <si>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</si>
  <si>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</si>
  <si>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</si>
  <si>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</si>
  <si>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</si>
  <si>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</si>
  <si>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</si>
  <si>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</si>
  <si>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</si>
  <si>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</si>
  <si>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</si>
  <si>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</si>
  <si>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</si>
  <si>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</si>
  <si>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</si>
  <si>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</si>
  <si>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</si>
  <si>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</si>
  <si>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</si>
  <si>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</si>
  <si>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</si>
  <si>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</si>
  <si>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</si>
  <si>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</si>
  <si>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</si>
  <si>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</si>
  <si>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</si>
  <si>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</si>
  <si>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</si>
  <si>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</si>
  <si>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</si>
  <si>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</si>
  <si>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</si>
  <si>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</si>
  <si>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</si>
  <si>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</si>
  <si>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</si>
  <si>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</si>
  <si>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</si>
  <si>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</si>
  <si>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</si>
  <si>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</si>
  <si>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</si>
  <si>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</si>
  <si>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</si>
  <si>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</si>
  <si>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</si>
  <si>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</si>
  <si>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</si>
  <si>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</si>
  <si>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</si>
  <si>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</si>
  <si>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</si>
  <si>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</si>
  <si>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</si>
  <si>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</si>
  <si>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</si>
  <si>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</si>
  <si>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</si>
  <si>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</si>
  <si>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</si>
  <si>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</si>
  <si>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</si>
  <si>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</si>
  <si>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</si>
  <si>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</si>
  <si>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</si>
  <si>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</si>
  <si>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</si>
  <si>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</si>
  <si>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</si>
  <si>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</si>
  <si>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</si>
  <si>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</si>
  <si>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</si>
  <si>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</si>
  <si>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</si>
  <si>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</si>
  <si>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</si>
  <si>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</si>
  <si>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</si>
  <si>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</si>
  <si>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</si>
  <si>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</si>
  <si>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</si>
  <si>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</si>
  <si>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</si>
  <si>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</si>
  <si>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</si>
  <si>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</si>
  <si>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</si>
  <si>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</si>
  <si>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</si>
  <si>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</si>
  <si>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</si>
  <si>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</si>
  <si>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</si>
  <si>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</si>
  <si>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</si>
  <si>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</si>
  <si>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</si>
  <si>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</si>
  <si>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</si>
  <si>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</si>
  <si>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</si>
  <si>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</si>
  <si>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</si>
  <si>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</si>
  <si>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</si>
  <si>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</si>
  <si>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</si>
  <si>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</si>
  <si>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</si>
  <si>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</si>
  <si>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</si>
  <si>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</si>
  <si>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</si>
  <si>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</si>
  <si>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</si>
  <si>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</si>
  <si>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</si>
  <si>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</si>
  <si>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</si>
  <si>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</si>
  <si>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</si>
  <si>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</si>
  <si>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</si>
  <si>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</si>
  <si>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</si>
  <si>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</si>
  <si>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</si>
  <si>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</si>
  <si>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</si>
  <si>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</si>
  <si>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</si>
  <si>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</si>
  <si>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</si>
  <si>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</si>
  <si>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</si>
  <si>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</si>
  <si>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</si>
  <si>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</si>
  <si>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</si>
  <si>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</si>
  <si>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</si>
  <si>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</si>
  <si>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</si>
  <si>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</si>
  <si>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</si>
  <si>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</si>
  <si>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</si>
  <si>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</si>
  <si>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</si>
  <si>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</si>
  <si>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</si>
  <si>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</si>
  <si>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</si>
  <si>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</si>
  <si>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</si>
  <si>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</si>
  <si>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</si>
  <si>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</si>
  <si>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</si>
  <si>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</si>
  <si>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</si>
  <si>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</si>
  <si>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</si>
  <si>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</si>
  <si>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</si>
  <si>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</si>
  <si>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</si>
  <si>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</si>
  <si>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</si>
  <si>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</si>
  <si>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</si>
  <si>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</si>
  <si>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</si>
  <si>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</si>
  <si>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</si>
  <si>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</si>
  <si>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</si>
  <si>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</si>
  <si>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</si>
  <si>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</si>
  <si>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</si>
  <si>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</si>
  <si>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</si>
  <si>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</si>
  <si>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</si>
  <si>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</si>
  <si>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</si>
  <si>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</si>
  <si>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</si>
  <si>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</si>
  <si>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</si>
  <si>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</si>
  <si>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</si>
  <si>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</si>
  <si>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</si>
  <si>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</si>
  <si>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</si>
  <si>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</si>
  <si>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</si>
  <si>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</si>
  <si>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</si>
  <si>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</si>
  <si>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</si>
  <si>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</si>
  <si>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</si>
  <si>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</si>
  <si>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</si>
  <si>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</si>
  <si>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</si>
  <si>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</si>
  <si>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</si>
  <si>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</si>
  <si>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</si>
  <si>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</si>
  <si>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</si>
  <si>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</si>
  <si>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</si>
  <si>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</si>
  <si>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</si>
  <si>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</si>
  <si>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</si>
  <si>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</si>
  <si>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</si>
  <si>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</si>
  <si>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</si>
  <si>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</si>
  <si>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</si>
  <si>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</si>
  <si>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</si>
  <si>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</si>
  <si>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</si>
  <si>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</si>
  <si>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</si>
  <si>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</si>
  <si>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</si>
  <si>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</si>
  <si>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</si>
  <si>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</si>
  <si>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</si>
  <si>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</si>
  <si>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</si>
  <si>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</si>
  <si>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</si>
  <si>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</si>
  <si>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</si>
  <si>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</si>
  <si>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</si>
  <si>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</si>
  <si>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</si>
  <si>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</si>
  <si>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</si>
  <si>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</si>
  <si>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</si>
  <si>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</si>
  <si>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</si>
  <si>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</si>
  <si>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</si>
  <si>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</si>
  <si>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</si>
  <si>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</si>
  <si>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</si>
  <si>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</si>
  <si>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</si>
  <si>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</si>
  <si>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</si>
  <si>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</si>
  <si>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</si>
  <si>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</si>
  <si>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</si>
  <si>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</si>
  <si>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</si>
  <si>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</si>
  <si>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</si>
  <si>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</si>
  <si>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</si>
  <si>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</si>
  <si>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</si>
  <si>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</si>
  <si>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</si>
  <si>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</si>
  <si>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</si>
  <si>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</si>
  <si>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</si>
  <si>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</si>
  <si>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</si>
  <si>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</si>
  <si>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</si>
  <si>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</si>
  <si>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</si>
  <si>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</si>
  <si>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</si>
  <si>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</si>
  <si>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</si>
  <si>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</si>
  <si>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</si>
  <si>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</si>
  <si>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</si>
  <si>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</si>
  <si>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</si>
  <si>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</si>
  <si>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</si>
  <si>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</si>
  <si>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</si>
  <si>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</si>
  <si>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</si>
  <si>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</si>
  <si>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</si>
  <si>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</si>
  <si>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</si>
  <si>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</si>
  <si>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</si>
  <si>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</si>
  <si>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</si>
  <si>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</si>
  <si>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</si>
  <si>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</si>
  <si>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</si>
  <si>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</si>
  <si>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</si>
  <si>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</si>
  <si>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</si>
  <si>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</si>
  <si>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</si>
  <si>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</si>
  <si>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</si>
  <si>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</si>
  <si>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</si>
  <si>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</si>
  <si>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</si>
  <si>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</si>
  <si>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</si>
  <si>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</si>
  <si>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</si>
  <si>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</si>
  <si>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</si>
  <si>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</si>
  <si>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</si>
  <si>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</si>
  <si>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</si>
  <si>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</si>
  <si>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</si>
  <si>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</si>
  <si>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</si>
  <si>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</si>
  <si>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</si>
  <si>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</si>
  <si>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</si>
  <si>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</si>
  <si>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</si>
  <si>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</si>
  <si>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</si>
  <si>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</si>
  <si>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</si>
  <si>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</si>
  <si>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</si>
  <si>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</si>
  <si>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</si>
  <si>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</si>
  <si>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</si>
  <si>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</si>
  <si>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</si>
  <si>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</si>
  <si>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</si>
  <si>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</si>
  <si>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</si>
  <si>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</si>
  <si>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</si>
  <si>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</si>
  <si>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</si>
  <si>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</si>
  <si>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</si>
  <si>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</si>
  <si>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</si>
  <si>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</si>
  <si>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</si>
  <si>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</si>
  <si>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</si>
  <si>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</si>
  <si>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</si>
  <si>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</si>
  <si>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</si>
  <si>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</si>
  <si>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</si>
  <si>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</si>
  <si>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</si>
  <si>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</si>
  <si>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</si>
  <si>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</si>
  <si>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</si>
  <si>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</si>
  <si>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</si>
  <si>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</si>
  <si>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</si>
  <si>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</si>
  <si>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</si>
  <si>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</si>
  <si>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</si>
  <si>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</si>
  <si>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</si>
  <si>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</si>
  <si>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</si>
  <si>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</si>
  <si>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</si>
  <si>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</si>
  <si>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</si>
  <si>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</si>
  <si>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</si>
  <si>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</si>
  <si>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</si>
  <si>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</si>
  <si>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</si>
  <si>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</si>
  <si>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</si>
  <si>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</si>
  <si>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</si>
  <si>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</si>
  <si>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</si>
  <si>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</si>
  <si>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</si>
  <si>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</si>
  <si>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</si>
  <si>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</si>
  <si>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</si>
  <si>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</si>
  <si>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</si>
  <si>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</si>
  <si>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</si>
  <si>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</si>
  <si>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</si>
  <si>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</si>
  <si>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</si>
  <si>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</si>
  <si>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</si>
  <si>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</si>
  <si>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</si>
  <si>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</si>
  <si>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</si>
  <si>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</si>
  <si>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</si>
  <si>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</si>
  <si>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</si>
  <si>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</si>
  <si>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</si>
  <si>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</si>
  <si>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</si>
  <si>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</si>
  <si>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</si>
  <si>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</si>
  <si>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</si>
  <si>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</si>
  <si>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</si>
  <si>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</si>
  <si>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</si>
  <si>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</si>
  <si>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</si>
  <si>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</si>
  <si>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</si>
  <si>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</si>
  <si>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</si>
  <si>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</si>
  <si>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</si>
  <si>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</si>
  <si>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</si>
  <si>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</si>
  <si>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</si>
  <si>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</si>
  <si>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</si>
  <si>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</si>
  <si>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</si>
  <si>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</si>
  <si>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</si>
  <si>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</si>
  <si>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</si>
  <si>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</si>
  <si>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</si>
  <si>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</si>
  <si>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</si>
  <si>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</si>
  <si>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</si>
  <si>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</si>
  <si>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</si>
  <si>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</si>
  <si>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</si>
  <si>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</si>
  <si>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</si>
  <si>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</si>
  <si>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</si>
  <si>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</si>
  <si>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</si>
  <si>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</si>
  <si>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</si>
  <si>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</si>
  <si>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</si>
  <si>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</si>
  <si>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</si>
  <si>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</si>
  <si>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</si>
  <si>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</si>
  <si>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</si>
  <si>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</si>
  <si>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</si>
  <si>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</si>
  <si>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</si>
  <si>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</si>
  <si>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</si>
  <si>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</si>
  <si>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</si>
  <si>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</si>
  <si>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</si>
  <si>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</si>
  <si>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</si>
  <si>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</si>
  <si>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</si>
  <si>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</si>
  <si>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</si>
  <si>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</si>
  <si>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</si>
  <si>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</si>
  <si>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</si>
  <si>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</si>
  <si>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</si>
  <si>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</si>
  <si>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</si>
  <si>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</si>
  <si>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</si>
  <si>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</si>
  <si>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</si>
  <si>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</si>
  <si>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</si>
  <si>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</si>
  <si>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</si>
  <si>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</si>
  <si>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</si>
  <si>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</si>
  <si>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</si>
  <si>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</si>
  <si>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</si>
  <si>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</si>
  <si>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</si>
  <si>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</si>
  <si>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</si>
  <si>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</si>
  <si>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</si>
  <si>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</si>
  <si>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</si>
  <si>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</si>
  <si>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</si>
  <si>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</si>
  <si>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</si>
  <si>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</si>
  <si>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</si>
  <si>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</si>
  <si>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</si>
  <si>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</si>
  <si>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</si>
  <si>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</si>
  <si>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</si>
  <si>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</si>
  <si>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</si>
  <si>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</si>
  <si>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</si>
  <si>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</si>
  <si>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</si>
  <si>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</si>
  <si>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</si>
  <si>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</si>
  <si>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</si>
  <si>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</si>
  <si>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</si>
  <si>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</si>
  <si>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</si>
  <si>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</si>
  <si>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</si>
  <si>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</si>
  <si>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</si>
  <si>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</si>
  <si>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</si>
  <si>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</si>
  <si>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</si>
  <si>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</si>
  <si>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</si>
  <si>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</si>
  <si>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</si>
  <si>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</si>
  <si>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</si>
  <si>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</si>
  <si>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</si>
  <si>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</si>
  <si>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</si>
  <si>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</si>
  <si>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</si>
  <si>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</si>
  <si>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</si>
  <si>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</si>
  <si>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</si>
  <si>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</si>
  <si>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</si>
  <si>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</si>
  <si>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</si>
  <si>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</si>
  <si>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</si>
  <si>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</si>
  <si>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</si>
  <si>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</si>
  <si>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</si>
  <si>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</si>
  <si>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</si>
  <si>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</si>
  <si>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</si>
  <si>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</si>
  <si>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</si>
  <si>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</si>
  <si>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</si>
  <si>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</si>
  <si>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</si>
  <si>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</si>
  <si>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</si>
  <si>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</si>
  <si>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</si>
  <si>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</si>
  <si>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</si>
  <si>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</si>
  <si>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</si>
  <si>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</si>
  <si>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</si>
  <si>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</si>
  <si>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</si>
  <si>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</si>
  <si>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</si>
  <si>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</si>
  <si>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</si>
  <si>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</si>
  <si>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</si>
  <si>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</si>
  <si>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</si>
  <si>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</si>
  <si>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</si>
  <si>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</si>
  <si>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</si>
  <si>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</si>
  <si>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</si>
  <si>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</si>
  <si>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</si>
  <si>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</si>
  <si>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</si>
  <si>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</si>
  <si>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</si>
  <si>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</si>
  <si>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</si>
  <si>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</si>
  <si>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</si>
  <si>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</si>
  <si>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</si>
  <si>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</si>
  <si>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</si>
  <si>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</si>
  <si>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</si>
  <si>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</si>
  <si>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</si>
  <si>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</si>
  <si>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</si>
  <si>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</si>
  <si>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</si>
  <si>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</si>
  <si>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</si>
  <si>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</si>
  <si>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</si>
  <si>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</si>
  <si>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</si>
  <si>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</si>
  <si>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</si>
  <si>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</si>
  <si>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</si>
  <si>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</si>
  <si>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</si>
  <si>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</si>
  <si>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</si>
  <si>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</si>
  <si>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</si>
  <si>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</si>
  <si>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</si>
  <si>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</si>
  <si>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</si>
  <si>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</si>
  <si>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</si>
  <si>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</si>
  <si>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</si>
  <si>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</si>
  <si>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</si>
  <si>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</si>
  <si>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</si>
  <si>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</si>
  <si>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</si>
  <si>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</si>
  <si>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</si>
  <si>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</si>
  <si>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</si>
  <si>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</si>
  <si>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</si>
  <si>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</si>
  <si>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</si>
  <si>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</si>
  <si>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</si>
  <si>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</si>
  <si>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</si>
  <si>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</si>
  <si>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</si>
  <si>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</si>
  <si>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</si>
  <si>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</si>
  <si>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</si>
  <si>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</si>
  <si>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</si>
  <si>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</si>
  <si>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</si>
  <si>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</si>
  <si>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</si>
  <si>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</si>
  <si>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</si>
  <si>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</si>
  <si>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</si>
  <si>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</si>
  <si>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</si>
  <si>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</si>
  <si>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</si>
  <si>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</si>
  <si>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</si>
  <si>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</si>
  <si>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</si>
  <si>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</si>
  <si>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</si>
  <si>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</si>
  <si>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</si>
  <si>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</si>
  <si>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</si>
  <si>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</si>
  <si>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</si>
  <si>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</si>
  <si>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</si>
  <si>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</si>
  <si>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</si>
  <si>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</si>
  <si>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</si>
  <si>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</si>
  <si>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</si>
  <si>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</si>
  <si>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</si>
  <si>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</si>
  <si>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</si>
  <si>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</si>
  <si>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</si>
  <si>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</si>
  <si>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</si>
  <si>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</si>
  <si>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</si>
  <si>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</si>
  <si>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</si>
  <si>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</si>
  <si>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</si>
  <si>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</si>
  <si>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</si>
  <si>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</si>
  <si>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</si>
  <si>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</si>
  <si>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</si>
  <si>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</si>
  <si>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</si>
  <si>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</si>
  <si>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</si>
  <si>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</si>
  <si>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</si>
  <si>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</si>
  <si>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</si>
  <si>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</si>
  <si>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</si>
  <si>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</si>
  <si>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</si>
  <si>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</si>
  <si>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</si>
  <si>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</si>
  <si>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</si>
  <si>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</si>
  <si>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</si>
  <si>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</si>
  <si>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</si>
  <si>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</si>
  <si>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</si>
  <si>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</si>
  <si>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</si>
  <si>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</si>
  <si>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</si>
  <si>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</si>
  <si>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</si>
  <si>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</si>
  <si>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</si>
  <si>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</si>
  <si>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</si>
  <si>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</si>
  <si>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</si>
  <si>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</si>
  <si>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</si>
  <si>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</si>
  <si>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</si>
  <si>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</si>
  <si>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</si>
  <si>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</si>
  <si>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</si>
  <si>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</si>
  <si>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</si>
  <si>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</si>
  <si>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</si>
  <si>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</si>
  <si>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</si>
  <si>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</si>
  <si>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</si>
  <si>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</si>
  <si>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</si>
  <si>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</si>
  <si>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</si>
  <si>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</si>
  <si>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</si>
  <si>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</si>
  <si>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</si>
  <si>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</si>
  <si>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</si>
  <si>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</si>
  <si>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</si>
  <si>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</si>
  <si>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</si>
  <si>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</si>
  <si>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</si>
  <si>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</si>
  <si>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</si>
  <si>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</si>
  <si>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</si>
  <si>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</si>
  <si>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</si>
  <si>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</si>
  <si>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</si>
  <si>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</si>
  <si>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</si>
  <si>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</si>
  <si>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</si>
  <si>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</si>
  <si>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</si>
  <si>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</si>
  <si>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</si>
  <si>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</si>
  <si>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</si>
  <si>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</si>
  <si>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</si>
  <si>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</si>
  <si>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</si>
  <si>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</si>
  <si>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</si>
  <si>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</si>
  <si>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</si>
  <si>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</si>
  <si>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</si>
  <si>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</si>
  <si>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</si>
  <si>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</si>
  <si>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</si>
  <si>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</si>
  <si>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</si>
  <si>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</si>
  <si>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</si>
  <si>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</si>
  <si>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</si>
  <si>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</si>
  <si>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</si>
  <si>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</si>
  <si>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</si>
  <si>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</si>
  <si>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</si>
  <si>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</si>
  <si>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</si>
  <si>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</si>
  <si>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</si>
  <si>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</si>
  <si>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</si>
  <si>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</si>
  <si>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</si>
  <si>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</si>
  <si>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</si>
  <si>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</si>
  <si>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</si>
  <si>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</si>
  <si>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</si>
  <si>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</si>
  <si>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</si>
  <si>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</si>
  <si>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</si>
  <si>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</si>
  <si>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</si>
  <si>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</si>
  <si>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</si>
  <si>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</si>
  <si>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</si>
  <si>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</si>
  <si>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</si>
  <si>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</si>
  <si>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</si>
  <si>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</si>
  <si>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</si>
  <si>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</si>
  <si>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</si>
  <si>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</si>
  <si>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</si>
  <si>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</si>
  <si>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</si>
  <si>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</si>
  <si>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</si>
  <si>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</si>
  <si>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</si>
  <si>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</si>
  <si>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</si>
  <si>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</si>
  <si>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</si>
  <si>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</si>
  <si>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</si>
  <si>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</si>
  <si>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</si>
  <si>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</si>
  <si>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</si>
  <si>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</si>
  <si>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</si>
  <si>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</si>
  <si>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</si>
  <si>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</si>
  <si>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</si>
  <si>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</si>
  <si>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</si>
  <si>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</si>
  <si>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</si>
  <si>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</si>
  <si>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</si>
  <si>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</si>
  <si>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</si>
  <si>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</si>
  <si>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</si>
  <si>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</si>
  <si>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</si>
  <si>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</si>
  <si>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</si>
  <si>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</si>
  <si>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</si>
  <si>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</si>
  <si>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</si>
  <si>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</si>
  <si>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</si>
  <si>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</si>
  <si>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</si>
  <si>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</si>
  <si>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</si>
  <si>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</si>
  <si>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</si>
  <si>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</si>
  <si>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</si>
  <si>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</si>
  <si>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</si>
  <si>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</si>
  <si>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</si>
  <si>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</si>
  <si>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</si>
  <si>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</si>
  <si>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</si>
  <si>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</si>
  <si>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</si>
  <si>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</si>
  <si>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</si>
  <si>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</si>
  <si>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</si>
  <si>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</si>
  <si>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</si>
  <si>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</si>
  <si>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</si>
  <si>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</si>
  <si>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</si>
  <si>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</si>
  <si>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</si>
  <si>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</si>
  <si>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</si>
  <si>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</si>
  <si>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</si>
  <si>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</si>
  <si>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</si>
  <si>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</si>
  <si>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</si>
  <si>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</si>
  <si>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</si>
  <si>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</si>
  <si>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</si>
  <si>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</si>
  <si>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</si>
  <si>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</si>
  <si>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</si>
  <si>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</si>
  <si>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</si>
  <si>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</si>
  <si>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</si>
  <si>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</si>
  <si>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</si>
  <si>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</si>
  <si>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</si>
  <si>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</si>
  <si>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</si>
  <si>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</si>
  <si>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</si>
  <si>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</si>
  <si>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</si>
  <si>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</si>
  <si>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</si>
  <si>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</si>
  <si>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</si>
  <si>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</si>
  <si>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</si>
  <si>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</si>
  <si>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</si>
  <si>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</si>
  <si>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</si>
  <si>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</si>
  <si>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</si>
  <si>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</si>
  <si>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</si>
  <si>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</si>
  <si>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</si>
  <si>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</si>
  <si>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</si>
  <si>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</si>
  <si>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</si>
  <si>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</si>
  <si>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</si>
  <si>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</si>
  <si>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</si>
  <si>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</si>
  <si>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</si>
  <si>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</si>
  <si>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</si>
  <si>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</si>
  <si>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</si>
  <si>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</si>
  <si>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</si>
  <si>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</si>
  <si>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</si>
  <si>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</si>
  <si>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</si>
  <si>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</si>
  <si>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</si>
  <si>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</si>
  <si>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</si>
  <si>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</si>
  <si>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</si>
  <si>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</si>
  <si>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</si>
  <si>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</si>
  <si>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</si>
  <si>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</si>
  <si>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</si>
  <si>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</si>
  <si>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</si>
  <si>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</si>
  <si>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</si>
  <si>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</si>
  <si>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</si>
  <si>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</si>
  <si>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</si>
  <si>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</si>
  <si>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</si>
  <si>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</si>
  <si>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</si>
  <si>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</si>
  <si>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</si>
  <si>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</si>
  <si>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</si>
  <si>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</si>
  <si>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</si>
  <si>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</si>
  <si>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</si>
  <si>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</si>
  <si>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</si>
  <si>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</si>
  <si>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</si>
  <si>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</si>
  <si>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</si>
  <si>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</si>
  <si>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</si>
  <si>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</si>
  <si>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</si>
  <si>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</si>
  <si>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</si>
  <si>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</si>
  <si>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</si>
  <si>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</si>
  <si>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</si>
  <si>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</si>
  <si>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</si>
  <si>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</si>
  <si>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</si>
  <si>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</si>
  <si>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</si>
  <si>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</si>
  <si>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</si>
  <si>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</si>
  <si>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</si>
  <si>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</si>
  <si>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</si>
  <si>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</si>
  <si>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</si>
  <si>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</si>
  <si>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</si>
  <si>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</si>
  <si>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</si>
  <si>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</si>
  <si>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</si>
  <si>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</si>
  <si>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</si>
  <si>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</si>
  <si>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</si>
  <si>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</si>
  <si>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</si>
  <si>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</si>
  <si>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</si>
  <si>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</si>
  <si>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</si>
  <si>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</si>
  <si>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</si>
  <si>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</si>
  <si>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</si>
  <si>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</si>
  <si>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</si>
  <si>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</si>
  <si>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</si>
  <si>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</si>
  <si>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</si>
  <si>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</si>
  <si>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</si>
  <si>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</si>
  <si>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</si>
  <si>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</si>
  <si>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</si>
  <si>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</si>
  <si>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</si>
  <si>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</si>
  <si>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</si>
  <si>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</si>
  <si>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</si>
  <si>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</si>
  <si>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</si>
  <si>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</si>
  <si>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</si>
  <si>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</si>
  <si>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</si>
  <si>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</si>
  <si>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</si>
  <si>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</si>
  <si>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</si>
  <si>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</si>
  <si>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</si>
  <si>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</si>
  <si>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</si>
  <si>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</si>
  <si>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</si>
  <si>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</si>
  <si>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</si>
  <si>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</si>
  <si>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</si>
  <si>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</si>
  <si>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</si>
  <si>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</si>
  <si>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</si>
  <si>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</si>
  <si>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</si>
  <si>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</si>
  <si>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</si>
  <si>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</si>
  <si>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</si>
  <si>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</si>
  <si>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</si>
  <si>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</si>
  <si>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</si>
  <si>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</si>
  <si>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</si>
  <si>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</si>
  <si>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</si>
  <si>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</si>
  <si>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</si>
  <si>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</si>
  <si>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</si>
  <si>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</si>
  <si>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</si>
  <si>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</si>
  <si>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</si>
  <si>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</si>
  <si>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</si>
  <si>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</si>
  <si>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</si>
  <si>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</si>
  <si>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</si>
  <si>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</si>
  <si>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</si>
  <si>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</si>
  <si>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</si>
  <si>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</si>
  <si>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</si>
  <si>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</si>
  <si>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</si>
  <si>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</si>
  <si>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</si>
  <si>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</si>
  <si>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</si>
  <si>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</si>
  <si>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</si>
  <si>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</si>
  <si>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</si>
  <si>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</si>
  <si>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</si>
  <si>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</si>
  <si>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</si>
  <si>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</si>
  <si>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</si>
  <si>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</si>
  <si>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</si>
  <si>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</si>
  <si>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</si>
  <si>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</si>
  <si>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</si>
  <si>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</si>
  <si>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</si>
  <si>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</si>
  <si>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</si>
  <si>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</si>
  <si>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</si>
  <si>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</si>
  <si>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</si>
  <si>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</si>
  <si>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</si>
  <si>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</si>
  <si>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</si>
  <si>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</si>
  <si>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</si>
  <si>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</si>
  <si>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</si>
  <si>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</si>
  <si>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</si>
  <si>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</si>
  <si>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</si>
  <si>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</si>
  <si>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</si>
  <si>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</si>
  <si>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</si>
  <si>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</si>
  <si>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</si>
  <si>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</si>
  <si>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</si>
  <si>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</si>
  <si>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</si>
  <si>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</si>
  <si>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</si>
  <si>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</si>
  <si>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</si>
  <si>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</si>
  <si>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</si>
  <si>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</si>
  <si>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</si>
  <si>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</si>
  <si>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</si>
  <si>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</si>
  <si>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</si>
  <si>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</si>
  <si>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</si>
  <si>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</si>
  <si>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</si>
  <si>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</si>
  <si>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</si>
  <si>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</si>
  <si>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</si>
  <si>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</si>
  <si>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</si>
  <si>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</si>
  <si>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</si>
  <si>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</si>
  <si>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</si>
  <si>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</si>
  <si>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</si>
  <si>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</si>
  <si>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</si>
  <si>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</si>
  <si>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</si>
  <si>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</si>
  <si>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</si>
  <si>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</si>
  <si>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</si>
  <si>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</si>
  <si>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</si>
  <si>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</si>
  <si>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</si>
  <si>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</si>
  <si>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</si>
  <si>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</si>
  <si>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</si>
  <si>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</si>
  <si>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</si>
  <si>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</si>
  <si>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</si>
  <si>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</si>
  <si>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</si>
  <si>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</si>
  <si>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</si>
  <si>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</si>
  <si>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</si>
  <si>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</si>
  <si>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</si>
  <si>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</si>
  <si>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</si>
  <si>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</si>
  <si>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</si>
  <si>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</si>
  <si>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</si>
  <si>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</si>
  <si>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</si>
  <si>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</si>
  <si>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</si>
  <si>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</si>
  <si>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</si>
  <si>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</si>
  <si>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</si>
  <si>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</si>
  <si>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</si>
  <si>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</si>
  <si>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</si>
  <si>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</si>
  <si>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</si>
  <si>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</si>
  <si>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</si>
  <si>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</si>
  <si>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</si>
  <si>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</si>
  <si>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</si>
  <si>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</si>
  <si>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</si>
  <si>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</si>
  <si>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</si>
  <si>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</si>
  <si>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</si>
  <si>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</si>
  <si>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</si>
  <si>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</si>
  <si>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</si>
  <si>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</si>
  <si>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</si>
  <si>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</si>
  <si>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</si>
  <si>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</si>
  <si>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</si>
  <si>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</si>
  <si>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</si>
  <si>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</si>
  <si>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</si>
  <si>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</si>
  <si>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</si>
  <si>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</si>
  <si>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</si>
  <si>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</si>
  <si>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</si>
  <si>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</si>
  <si>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</si>
  <si>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</si>
  <si>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</si>
  <si>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</si>
  <si>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</si>
  <si>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</si>
  <si>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</si>
  <si>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</si>
  <si>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</si>
  <si>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</si>
  <si>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</si>
  <si>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</si>
  <si>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</si>
  <si>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</si>
  <si>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</si>
  <si>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</si>
  <si>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</si>
  <si>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</si>
  <si>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</si>
  <si>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</si>
  <si>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</si>
  <si>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</si>
  <si>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</si>
  <si>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</si>
  <si>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</si>
  <si>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</si>
  <si>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</si>
  <si>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</si>
  <si>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</si>
  <si>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</si>
  <si>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</si>
  <si>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</si>
  <si>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</si>
  <si>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</si>
  <si>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</si>
  <si>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</si>
  <si>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</si>
  <si>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</si>
  <si>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</si>
  <si>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</si>
  <si>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</si>
  <si>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</si>
  <si>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</si>
  <si>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</si>
  <si>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</si>
  <si>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</si>
  <si>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</si>
  <si>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</si>
  <si>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</si>
  <si>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</si>
  <si>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</si>
  <si>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</si>
  <si>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</si>
  <si>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</si>
  <si>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</si>
  <si>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</si>
  <si>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</si>
  <si>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</si>
  <si>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</si>
  <si>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</si>
  <si>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</si>
  <si>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</si>
  <si>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</si>
  <si>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</si>
  <si>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</si>
  <si>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</si>
  <si>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</si>
  <si>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</si>
  <si>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</si>
  <si>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</si>
  <si>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</si>
  <si>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</si>
  <si>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</si>
  <si>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</si>
  <si>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</si>
  <si>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</si>
  <si>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</si>
  <si>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</si>
  <si>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</si>
  <si>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</si>
  <si>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</si>
  <si>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</si>
  <si>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</si>
  <si>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</si>
  <si>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</si>
  <si>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</si>
  <si>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</si>
  <si>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</si>
  <si>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</si>
  <si>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</si>
  <si>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</si>
  <si>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</si>
  <si>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</si>
  <si>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</si>
  <si>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</si>
  <si>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</si>
  <si>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</si>
  <si>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</si>
  <si>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</si>
  <si>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</si>
  <si>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</si>
  <si>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</si>
  <si>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</si>
  <si>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</si>
  <si>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</si>
  <si>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</si>
  <si>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</si>
  <si>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</si>
  <si>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</si>
  <si>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</si>
  <si>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</si>
  <si>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</si>
  <si>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</si>
  <si>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</si>
  <si>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</si>
  <si>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</si>
  <si>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</si>
  <si>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</si>
  <si>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</si>
  <si>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</si>
  <si>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</si>
  <si>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</si>
  <si>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</si>
  <si>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</si>
  <si>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</si>
  <si>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</si>
  <si>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</si>
  <si>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</si>
  <si>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</si>
  <si>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</si>
  <si>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</si>
  <si>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</si>
  <si>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</si>
  <si>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</si>
  <si>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</si>
  <si>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</si>
  <si>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</si>
  <si>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</si>
  <si>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</si>
  <si>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</si>
  <si>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</si>
  <si>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</si>
  <si>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</si>
  <si>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</si>
  <si>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</si>
  <si>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</si>
  <si>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</si>
  <si>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</si>
  <si>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</si>
  <si>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</si>
  <si>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</si>
  <si>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</si>
  <si>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</si>
  <si>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</si>
  <si>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</si>
  <si>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</si>
  <si>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</si>
  <si>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</si>
  <si>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</si>
  <si>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</si>
  <si>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</si>
  <si>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</si>
  <si>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</si>
  <si>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</si>
  <si>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</si>
  <si>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</si>
  <si>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</si>
  <si>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</si>
  <si>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</si>
  <si>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</si>
  <si>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</si>
  <si>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</si>
  <si>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</si>
  <si>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</si>
  <si>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</si>
  <si>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</si>
  <si>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</si>
  <si>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</si>
  <si>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</si>
  <si>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</si>
  <si>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</si>
  <si>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</si>
  <si>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</si>
  <si>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</si>
  <si>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</si>
  <si>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</si>
  <si>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</si>
  <si>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</si>
  <si>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</si>
  <si>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</si>
  <si>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</si>
  <si>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</si>
  <si>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</si>
  <si>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</si>
  <si>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</si>
  <si>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</si>
  <si>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</si>
  <si>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</si>
  <si>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</si>
  <si>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</si>
  <si>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</si>
  <si>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</si>
  <si>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</si>
  <si>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</si>
  <si>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</si>
  <si>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</si>
  <si>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</si>
  <si>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</si>
  <si>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</si>
  <si>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</si>
  <si>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</si>
  <si>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</si>
  <si>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</si>
  <si>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</si>
  <si>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</si>
  <si>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</si>
  <si>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</si>
  <si>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</si>
  <si>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</si>
  <si>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</si>
  <si>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</si>
  <si>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</si>
  <si>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</si>
  <si>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</si>
  <si>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</si>
  <si>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</si>
  <si>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</si>
  <si>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</si>
  <si>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</si>
  <si>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</si>
  <si>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</si>
  <si>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</si>
  <si>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</si>
  <si>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</si>
  <si>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</si>
  <si>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</si>
  <si>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</si>
  <si>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</si>
  <si>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</si>
  <si>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</si>
  <si>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</si>
  <si>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</si>
  <si>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</si>
  <si>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</si>
  <si>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</si>
  <si>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</si>
  <si>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</si>
  <si>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</si>
  <si>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</si>
  <si>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</si>
  <si>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</si>
  <si>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</si>
  <si>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</si>
  <si>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</si>
  <si>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</si>
  <si>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</si>
  <si>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</si>
  <si>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</si>
  <si>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</si>
  <si>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</si>
  <si>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</si>
  <si>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</si>
  <si>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</si>
  <si>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</si>
  <si>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</si>
  <si>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</si>
  <si>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</si>
  <si>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</si>
  <si>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</si>
  <si>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</si>
  <si>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</si>
  <si>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</si>
  <si>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</si>
  <si>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</si>
  <si>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</si>
  <si>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</si>
  <si>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</si>
  <si>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</si>
  <si>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</si>
  <si>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</si>
  <si>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</si>
  <si>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</si>
  <si>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</si>
  <si>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</si>
  <si>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</si>
  <si>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</si>
  <si>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</si>
  <si>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</si>
  <si>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</si>
  <si>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</si>
  <si>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</si>
  <si>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</si>
  <si>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</si>
  <si>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</si>
  <si>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</si>
  <si>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</si>
  <si>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</si>
  <si>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</si>
  <si>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</si>
  <si>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</si>
  <si>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</si>
  <si>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</si>
  <si>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</si>
  <si>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</si>
  <si>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</si>
  <si>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</si>
  <si>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</si>
  <si>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</si>
  <si>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</si>
  <si>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</si>
  <si>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</si>
  <si>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</si>
  <si>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</si>
  <si>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</si>
  <si>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</si>
  <si>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</si>
  <si>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</si>
  <si>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</si>
  <si>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</si>
  <si>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</si>
  <si>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</si>
  <si>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</si>
  <si>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</si>
  <si>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</si>
  <si>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</si>
  <si>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</si>
  <si>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</si>
  <si>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</si>
  <si>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</si>
  <si>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</si>
  <si>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</si>
  <si>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</si>
  <si>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</si>
  <si>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</si>
  <si>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</si>
  <si>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</si>
  <si>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</si>
  <si>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</si>
  <si>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</si>
  <si>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</si>
  <si>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</si>
  <si>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</si>
  <si>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</si>
  <si>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</si>
  <si>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</si>
  <si>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</si>
  <si>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</si>
  <si>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</si>
  <si>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</si>
  <si>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</si>
  <si>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</si>
  <si>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</si>
  <si>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</si>
  <si>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</si>
  <si>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</si>
  <si>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</si>
  <si>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</si>
  <si>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</si>
  <si>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</si>
  <si>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</si>
  <si>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</si>
  <si>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</si>
  <si>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</si>
  <si>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</si>
  <si>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</si>
  <si>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</si>
  <si>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</si>
  <si>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</si>
  <si>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</si>
  <si>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</si>
  <si>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</si>
  <si>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</si>
  <si>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</si>
  <si>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</si>
  <si>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</si>
  <si>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</si>
  <si>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</si>
  <si>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</si>
  <si>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</si>
  <si>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</si>
  <si>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</si>
  <si>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</si>
  <si>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</si>
  <si>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</si>
  <si>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</si>
  <si>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</si>
  <si>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</si>
  <si>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</si>
  <si>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</si>
  <si>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</si>
  <si>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</si>
  <si>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</si>
  <si>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</si>
  <si>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</si>
  <si>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</si>
  <si>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</si>
  <si>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</si>
  <si>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</si>
  <si>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</si>
  <si>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</si>
  <si>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</si>
  <si>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</si>
  <si>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</si>
  <si>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</si>
  <si>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</si>
  <si>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</si>
  <si>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</si>
  <si>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</si>
  <si>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</si>
  <si>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</si>
  <si>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</si>
  <si>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</si>
  <si>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</si>
  <si>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</si>
  <si>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</si>
  <si>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</si>
  <si>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</si>
  <si>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</si>
  <si>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</si>
  <si>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</si>
  <si>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</si>
  <si>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</si>
  <si>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</si>
  <si>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</si>
  <si>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</si>
  <si>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</si>
  <si>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</si>
  <si>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</si>
  <si>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</si>
  <si>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</si>
  <si>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</si>
  <si>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</si>
  <si>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</si>
  <si>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</si>
  <si>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</si>
  <si>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</si>
  <si>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</si>
  <si>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</si>
  <si>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</si>
  <si>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</si>
  <si>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</si>
  <si>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</si>
  <si>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</si>
  <si>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</si>
  <si>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</si>
  <si>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</si>
  <si>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</si>
  <si>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</si>
  <si>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</si>
  <si>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</si>
  <si>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</si>
  <si>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</si>
  <si>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</si>
  <si>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</si>
  <si>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</si>
  <si>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</si>
  <si>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</si>
  <si>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</si>
  <si>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</si>
  <si>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</si>
  <si>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</si>
  <si>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</si>
  <si>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</si>
  <si>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</si>
  <si>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</si>
  <si>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</si>
  <si>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</si>
  <si>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</si>
  <si>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</si>
  <si>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</si>
  <si>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</si>
  <si>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</si>
  <si>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</si>
  <si>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</si>
  <si>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</si>
  <si>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</si>
  <si>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</si>
  <si>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</si>
  <si>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</si>
  <si>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</si>
  <si>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</si>
  <si>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</si>
  <si>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</si>
  <si>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</si>
  <si>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</si>
  <si>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</si>
  <si>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</si>
  <si>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</si>
  <si>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</si>
  <si>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</si>
  <si>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</si>
  <si>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</si>
  <si>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</si>
  <si>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</si>
  <si>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</si>
  <si>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</si>
  <si>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</si>
  <si>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</si>
  <si>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</si>
  <si>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</si>
  <si>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</si>
  <si>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</si>
  <si>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</si>
  <si>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</si>
  <si>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</si>
  <si>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</si>
  <si>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</si>
  <si>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</si>
  <si>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</si>
  <si>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</si>
  <si>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</si>
  <si>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</si>
  <si>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</si>
  <si>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</si>
  <si>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</si>
  <si>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</si>
  <si>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</si>
  <si>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</si>
  <si>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</si>
  <si>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</si>
  <si>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</si>
  <si>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</si>
  <si>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</si>
  <si>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</si>
  <si>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</si>
  <si>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</si>
  <si>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</si>
  <si>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</si>
  <si>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</si>
  <si>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</si>
  <si>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</si>
  <si>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</si>
  <si>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</si>
  <si>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</si>
  <si>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</si>
  <si>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</si>
  <si>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</si>
  <si>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</si>
  <si>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</si>
  <si>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</si>
  <si>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</si>
  <si>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</si>
  <si>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</si>
  <si>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</si>
  <si>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</si>
  <si>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</si>
  <si>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</si>
  <si>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</si>
  <si>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</si>
  <si>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</si>
  <si>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</si>
  <si>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</si>
  <si>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</si>
  <si>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</si>
  <si>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</si>
  <si>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</si>
  <si>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</si>
  <si>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</si>
  <si>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</si>
  <si>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</si>
  <si>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</si>
  <si>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</si>
  <si>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</si>
  <si>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</si>
  <si>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</si>
  <si>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</si>
  <si>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</si>
  <si>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</si>
  <si>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</si>
  <si>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</si>
  <si>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</si>
  <si>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</si>
  <si>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</si>
  <si>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</si>
  <si>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</si>
  <si>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</si>
  <si>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</si>
  <si>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</si>
  <si>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</si>
  <si>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</si>
  <si>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</si>
  <si>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</si>
  <si>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</si>
  <si>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</si>
  <si>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</si>
  <si>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</si>
  <si>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</si>
  <si>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</si>
  <si>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</si>
  <si>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</si>
  <si>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</si>
  <si>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</si>
  <si>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</si>
  <si>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</si>
  <si>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</si>
  <si>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</si>
  <si>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</si>
  <si>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</si>
  <si>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</si>
  <si>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</si>
  <si>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</si>
  <si>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</si>
  <si>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</si>
  <si>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</si>
  <si>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</si>
  <si>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</si>
  <si>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</si>
  <si>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</si>
  <si>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</si>
  <si>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</si>
  <si>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</si>
  <si>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</si>
  <si>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</si>
  <si>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</si>
  <si>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</si>
  <si>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</si>
  <si>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</si>
  <si>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</si>
  <si>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</si>
  <si>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</si>
  <si>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</si>
  <si>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</si>
  <si>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</si>
  <si>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</si>
  <si>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</si>
  <si>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</si>
  <si>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</si>
  <si>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</si>
  <si>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</si>
  <si>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</si>
  <si>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</si>
  <si>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</si>
  <si>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</si>
  <si>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</si>
  <si>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</si>
  <si>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</si>
  <si>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</si>
  <si>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</si>
  <si>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</si>
  <si>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</si>
  <si>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</si>
  <si>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</si>
  <si>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</si>
  <si>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</si>
  <si>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</si>
  <si>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</si>
  <si>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</si>
  <si>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</si>
  <si>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</si>
  <si>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</si>
  <si>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</si>
  <si>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</si>
  <si>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</si>
  <si>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</si>
  <si>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</si>
  <si>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</si>
  <si>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</si>
  <si>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</si>
  <si>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</si>
  <si>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</si>
  <si>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</si>
  <si>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</si>
  <si>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</si>
  <si>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</si>
  <si>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</si>
  <si>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</si>
  <si>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</si>
  <si>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</si>
  <si>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</si>
  <si>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</si>
  <si>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</si>
  <si>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</si>
  <si>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</si>
  <si>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</si>
  <si>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</si>
  <si>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</si>
  <si>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</si>
  <si>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</si>
  <si>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</si>
  <si>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</si>
  <si>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</si>
  <si>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</si>
  <si>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</si>
  <si>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</si>
  <si>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</si>
  <si>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</si>
  <si>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</si>
  <si>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</si>
  <si>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</si>
  <si>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</si>
  <si>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</si>
  <si>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</si>
  <si>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</si>
  <si>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</si>
  <si>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</si>
  <si>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</si>
  <si>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</si>
  <si>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</si>
  <si>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</si>
  <si>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</si>
  <si>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</si>
  <si>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</si>
  <si>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</si>
  <si>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</si>
  <si>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</si>
  <si>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</si>
  <si>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</si>
  <si>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</si>
  <si>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</si>
  <si>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</si>
  <si>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</si>
  <si>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</si>
  <si>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</si>
  <si>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</si>
  <si>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</si>
  <si>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</si>
  <si>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</si>
  <si>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</si>
  <si>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</si>
  <si>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</si>
  <si>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</si>
  <si>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</si>
  <si>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</si>
  <si>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</si>
  <si>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</si>
  <si>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</si>
  <si>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</si>
  <si>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</si>
  <si>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</si>
  <si>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</si>
  <si>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</si>
  <si>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</si>
  <si>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</si>
  <si>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</si>
  <si>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</si>
  <si>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</si>
  <si>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</si>
  <si>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</si>
  <si>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</si>
  <si>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</si>
  <si>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</si>
  <si>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</si>
  <si>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</si>
  <si>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</si>
  <si>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</si>
  <si>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</si>
  <si>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</si>
  <si>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</si>
  <si>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</si>
  <si>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</si>
  <si>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</si>
  <si>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</si>
  <si>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</si>
  <si>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</si>
  <si>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</si>
  <si>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</si>
  <si>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</si>
  <si>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</si>
  <si>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</si>
  <si>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</si>
  <si>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</si>
  <si>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</si>
  <si>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</si>
  <si>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</si>
  <si>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</si>
  <si>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</si>
  <si>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</si>
  <si>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</si>
  <si>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</si>
  <si>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</si>
  <si>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</si>
  <si>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</si>
  <si>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</si>
  <si>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</si>
  <si>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</si>
  <si>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</si>
  <si>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</si>
  <si>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</si>
  <si>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</si>
  <si>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</si>
  <si>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</si>
  <si>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</si>
  <si>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</si>
  <si>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</si>
  <si>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</si>
  <si>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</si>
  <si>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</si>
  <si>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</si>
  <si>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</si>
  <si>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</si>
  <si>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</si>
  <si>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</si>
  <si>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</si>
  <si>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</si>
  <si>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</si>
  <si>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</si>
  <si>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</si>
  <si>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</si>
  <si>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</si>
  <si>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</si>
  <si>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</si>
  <si>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</si>
  <si>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</si>
  <si>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</si>
  <si>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</si>
  <si>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</si>
  <si>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</si>
  <si>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</si>
  <si>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</si>
  <si>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</si>
  <si>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</si>
  <si>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</si>
  <si>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</si>
  <si>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</si>
  <si>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</si>
  <si>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</si>
  <si>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</si>
  <si>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</si>
  <si>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</si>
  <si>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</si>
  <si>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</si>
  <si>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</si>
  <si>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</si>
  <si>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</si>
  <si>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</si>
  <si>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</si>
  <si>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</si>
  <si>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</si>
  <si>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</si>
  <si>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</si>
  <si>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</si>
  <si>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</si>
  <si>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</si>
  <si>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</si>
  <si>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</si>
  <si>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</si>
  <si>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</si>
  <si>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</si>
  <si>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</si>
  <si>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</si>
  <si>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</si>
  <si>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</si>
  <si>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</si>
  <si>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</si>
  <si>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</si>
  <si>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</si>
  <si>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</si>
  <si>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</si>
  <si>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</si>
  <si>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</si>
  <si>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</si>
  <si>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</si>
  <si>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</si>
  <si>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</si>
  <si>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</si>
  <si>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</si>
  <si>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</si>
  <si>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</si>
  <si>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</si>
  <si>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</si>
  <si>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</si>
  <si>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</si>
  <si>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</si>
  <si>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</si>
  <si>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</si>
  <si>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</si>
  <si>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</si>
  <si>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</si>
  <si>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</si>
  <si>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</si>
  <si>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</si>
  <si>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</si>
  <si>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</si>
  <si>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</si>
  <si>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</si>
  <si>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</si>
  <si>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</si>
  <si>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</si>
  <si>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</si>
  <si>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</si>
  <si>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</si>
  <si>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</si>
  <si>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</si>
  <si>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</si>
  <si>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</si>
  <si>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</si>
  <si>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</si>
  <si>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</si>
  <si>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</si>
  <si>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</si>
  <si>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</si>
  <si>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</si>
  <si>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</si>
  <si>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</si>
  <si>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</si>
  <si>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</si>
  <si>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</si>
  <si>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</si>
  <si>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</si>
  <si>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</si>
  <si>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</si>
  <si>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</si>
  <si>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</si>
  <si>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</si>
  <si>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</si>
  <si>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</si>
  <si>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</si>
  <si>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</si>
  <si>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</si>
  <si>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</si>
  <si>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</si>
  <si>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</si>
  <si>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</si>
  <si>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</si>
  <si>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</si>
  <si>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</si>
  <si>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</si>
  <si>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</si>
  <si>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</si>
  <si>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</si>
  <si>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</si>
  <si>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</si>
  <si>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</si>
  <si>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</si>
  <si>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</si>
  <si>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</si>
  <si>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</si>
  <si>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</si>
  <si>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</si>
  <si>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</si>
  <si>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</si>
  <si>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</si>
  <si>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</si>
  <si>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</si>
  <si>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</si>
  <si>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</si>
  <si>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</si>
  <si>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</si>
  <si>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</si>
  <si>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</si>
  <si>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</si>
  <si>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</si>
  <si>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</si>
  <si>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</si>
  <si>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</si>
  <si>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</si>
  <si>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</si>
  <si>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</si>
  <si>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</si>
  <si>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</si>
  <si>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</si>
  <si>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</si>
  <si>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</si>
  <si>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</si>
  <si>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</si>
  <si>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</si>
  <si>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</si>
  <si>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</si>
  <si>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</si>
  <si>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</si>
  <si>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</si>
  <si>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</si>
  <si>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</si>
  <si>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</si>
  <si>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</si>
  <si>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</si>
  <si>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</si>
  <si>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</si>
  <si>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</si>
  <si>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</si>
  <si>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</si>
  <si>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</si>
  <si>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</si>
  <si>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</si>
  <si>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</si>
  <si>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</si>
  <si>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</si>
  <si>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</si>
  <si>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</si>
  <si>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</si>
  <si>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</si>
  <si>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</si>
  <si>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</si>
  <si>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</si>
  <si>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</si>
  <si>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</si>
  <si>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</si>
  <si>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</si>
  <si>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</si>
  <si>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</si>
  <si>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</si>
  <si>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</si>
  <si>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</si>
  <si>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</si>
  <si>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</si>
  <si>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</si>
  <si>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</si>
  <si>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</si>
  <si>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</si>
  <si>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</si>
  <si>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</si>
  <si>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</si>
  <si>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</si>
  <si>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</si>
  <si>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</si>
  <si>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</si>
  <si>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</si>
  <si>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</si>
  <si>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</si>
  <si>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</si>
  <si>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</si>
  <si>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</si>
  <si>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</si>
  <si>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</si>
  <si>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</si>
  <si>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</si>
  <si>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</si>
  <si>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</si>
  <si>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</si>
  <si>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</si>
  <si>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</si>
  <si>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</si>
  <si>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</si>
  <si>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</si>
  <si>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</si>
  <si>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</si>
  <si>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</si>
  <si>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</si>
  <si>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</si>
  <si>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</si>
  <si>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</si>
  <si>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</si>
  <si>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</si>
  <si>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</si>
  <si>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</si>
  <si>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</si>
  <si>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</si>
  <si>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</si>
  <si>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</si>
  <si>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</si>
  <si>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</si>
  <si>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</si>
  <si>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</si>
  <si>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</si>
  <si>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</si>
  <si>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</si>
  <si>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</si>
  <si>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</si>
  <si>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</si>
  <si>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</si>
  <si>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</si>
  <si>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</si>
  <si>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</si>
  <si>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</si>
  <si>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</si>
  <si>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</si>
  <si>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</si>
  <si>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</si>
  <si>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</si>
  <si>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</si>
  <si>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</si>
  <si>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</si>
  <si>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</si>
  <si>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</si>
  <si>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</si>
  <si>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</si>
  <si>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</si>
  <si>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</si>
  <si>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</si>
  <si>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</si>
  <si>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</si>
  <si>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</si>
  <si>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</si>
  <si>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</si>
  <si>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</si>
  <si>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</si>
  <si>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</si>
  <si>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</si>
  <si>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</si>
  <si>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</si>
  <si>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</si>
  <si>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</si>
  <si>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</si>
  <si>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</si>
  <si>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</si>
  <si>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</si>
  <si>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</si>
  <si>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</si>
  <si>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</si>
  <si>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</si>
  <si>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</si>
  <si>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</si>
  <si>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</si>
  <si>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</si>
  <si>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</si>
  <si>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</si>
  <si>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</si>
  <si>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</si>
  <si>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</si>
  <si>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</si>
  <si>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</si>
  <si>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</si>
  <si>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</si>
  <si>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</si>
  <si>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</si>
  <si>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</si>
  <si>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</si>
  <si>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</si>
  <si>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</si>
  <si>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</si>
  <si>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</si>
  <si>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</si>
  <si>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</si>
  <si>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</si>
  <si>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</si>
  <si>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</si>
  <si>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</si>
  <si>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</si>
  <si>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</si>
  <si>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</si>
  <si>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</si>
  <si>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</si>
  <si>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</si>
  <si>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</si>
  <si>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</si>
  <si>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</si>
  <si>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</si>
  <si>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</si>
  <si>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</si>
  <si>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</si>
  <si>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</si>
  <si>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</si>
  <si>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</si>
  <si>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</si>
  <si>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</si>
  <si>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</si>
  <si>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</si>
  <si>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</si>
  <si>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</si>
  <si>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</si>
  <si>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</si>
  <si>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</si>
  <si>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</si>
  <si>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</si>
  <si>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</si>
  <si>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</si>
  <si>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</si>
  <si>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</si>
  <si>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</si>
  <si>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</si>
  <si>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</si>
  <si>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</si>
  <si>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</si>
  <si>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</si>
  <si>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</si>
  <si>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</si>
  <si>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</si>
  <si>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</si>
  <si>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</si>
  <si>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</si>
  <si>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</si>
  <si>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</si>
  <si>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</si>
  <si>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</si>
  <si>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</si>
  <si>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</si>
  <si>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</si>
  <si>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</si>
  <si>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</si>
  <si>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</si>
  <si>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</si>
  <si>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</si>
  <si>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</si>
  <si>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</si>
  <si>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</si>
  <si>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</si>
  <si>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</si>
  <si>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</si>
  <si>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</si>
  <si>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</si>
  <si>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</si>
  <si>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</si>
  <si>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</si>
  <si>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</si>
  <si>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</si>
  <si>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</si>
  <si>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</si>
  <si>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</si>
  <si>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</si>
  <si>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</si>
  <si>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</si>
  <si>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</si>
  <si>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</si>
  <si>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</si>
  <si>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</si>
  <si>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</si>
  <si>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</si>
  <si>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</si>
  <si>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</si>
  <si>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</si>
  <si>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</si>
  <si>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</si>
  <si>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</si>
  <si>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</si>
  <si>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</si>
  <si>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</si>
  <si>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</si>
  <si>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</si>
  <si>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</si>
  <si>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</si>
  <si>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</si>
  <si>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</si>
  <si>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</si>
  <si>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</si>
  <si>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</si>
  <si>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</si>
  <si>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</si>
  <si>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</si>
  <si>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</si>
  <si>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</si>
  <si>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</si>
  <si>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</si>
  <si>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</si>
  <si>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</si>
  <si>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</si>
  <si>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</si>
  <si>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</si>
  <si>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</si>
  <si>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</si>
  <si>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</si>
  <si>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</si>
  <si>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</si>
  <si>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</si>
  <si>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</si>
  <si>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</si>
  <si>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</si>
  <si>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</si>
  <si>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</si>
  <si>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</si>
  <si>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</si>
  <si>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</si>
  <si>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</si>
  <si>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</si>
  <si>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</si>
  <si>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</si>
  <si>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</si>
  <si>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</si>
  <si>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</si>
  <si>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</si>
  <si>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</si>
  <si>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</si>
  <si>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</si>
  <si>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</si>
  <si>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</si>
  <si>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</si>
  <si>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</si>
  <si>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</si>
  <si>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</si>
  <si>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</si>
  <si>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</si>
  <si>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</si>
  <si>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</si>
  <si>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</si>
  <si>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</si>
  <si>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</si>
  <si>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</si>
  <si>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</si>
  <si>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</si>
  <si>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</si>
  <si>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</si>
  <si>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</si>
  <si>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</si>
  <si>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</si>
  <si>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</si>
  <si>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</si>
  <si>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</si>
  <si>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</si>
  <si>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</si>
  <si>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</si>
  <si>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</si>
  <si>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</si>
  <si>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</si>
  <si>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</si>
  <si>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</si>
  <si>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</si>
  <si>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</si>
  <si>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</si>
  <si>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</si>
  <si>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</si>
  <si>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</si>
  <si>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</si>
  <si>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</si>
  <si>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</si>
  <si>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</si>
  <si>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</si>
  <si>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</si>
  <si>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</si>
  <si>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</si>
  <si>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</si>
  <si>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</si>
  <si>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</si>
  <si>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</si>
  <si>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</si>
  <si>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</si>
  <si>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</si>
  <si>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</si>
  <si>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</si>
  <si>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</si>
  <si>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</si>
  <si>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</si>
  <si>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</si>
  <si>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</si>
  <si>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</si>
  <si>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</si>
  <si>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</si>
  <si>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</si>
  <si>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</si>
  <si>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</si>
  <si>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</si>
  <si>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</si>
  <si>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</si>
  <si>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</si>
  <si>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</si>
  <si>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</si>
  <si>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</si>
  <si>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</si>
  <si>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</si>
  <si>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</si>
  <si>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</si>
  <si>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</si>
  <si>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</si>
  <si>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</si>
  <si>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</si>
  <si>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</si>
  <si>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</si>
  <si>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</si>
  <si>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</si>
  <si>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</si>
  <si>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</si>
  <si>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</si>
  <si>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</si>
  <si>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</si>
  <si>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</si>
  <si>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</si>
  <si>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</si>
  <si>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</si>
  <si>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</si>
  <si>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</si>
  <si>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</si>
  <si>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</si>
  <si>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</si>
  <si>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</si>
  <si>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</si>
  <si>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</si>
  <si>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</si>
  <si>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</si>
  <si>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</si>
  <si>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</si>
  <si>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</si>
  <si>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</si>
  <si>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</si>
  <si>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</si>
  <si>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</si>
  <si>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</si>
  <si>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</si>
  <si>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</si>
  <si>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</si>
  <si>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</si>
  <si>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</si>
  <si>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</si>
  <si>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</si>
  <si>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</si>
  <si>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</si>
  <si>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</si>
  <si>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</si>
  <si>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</si>
  <si>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</si>
  <si>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</si>
  <si>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</si>
  <si>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</si>
  <si>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</si>
  <si>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</si>
  <si>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</si>
  <si>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</si>
  <si>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</si>
  <si>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</si>
  <si>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</si>
  <si>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</si>
  <si>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</si>
  <si>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</si>
  <si>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</si>
  <si>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</si>
  <si>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</si>
  <si>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</si>
  <si>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</si>
  <si>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</si>
  <si>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</si>
  <si>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</si>
  <si>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</si>
  <si>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</si>
  <si>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</si>
  <si>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</si>
  <si>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</si>
  <si>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</si>
  <si>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</si>
  <si>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</si>
  <si>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</si>
  <si>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</si>
  <si>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</si>
  <si>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</si>
  <si>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</si>
  <si>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</si>
  <si>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</si>
  <si>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</si>
  <si>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</si>
  <si>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</si>
  <si>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</si>
  <si>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</si>
  <si>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</si>
  <si>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</si>
  <si>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</si>
  <si>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</si>
  <si>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</si>
  <si>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</si>
  <si>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</si>
  <si>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</si>
  <si>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</si>
  <si>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</si>
  <si>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</si>
  <si>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</si>
  <si>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</si>
  <si>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</si>
  <si>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</si>
  <si>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</si>
  <si>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</si>
  <si>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</si>
  <si>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</si>
  <si>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</si>
  <si>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</si>
  <si>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</si>
  <si>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</si>
  <si>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</si>
  <si>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</si>
  <si>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</si>
  <si>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</si>
  <si>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</si>
  <si>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</si>
  <si>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</si>
  <si>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</si>
  <si>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</si>
  <si>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</si>
  <si>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</si>
  <si>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</si>
  <si>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</si>
  <si>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</si>
  <si>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</si>
  <si>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</si>
  <si>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</si>
  <si>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</si>
  <si>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</si>
  <si>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</si>
  <si>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</si>
  <si>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</si>
  <si>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</si>
  <si>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</si>
  <si>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</si>
  <si>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</si>
  <si>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</si>
  <si>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</si>
  <si>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</si>
  <si>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</si>
  <si>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</si>
  <si>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</si>
  <si>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</si>
  <si>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</si>
  <si>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</si>
  <si>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</si>
  <si>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</si>
  <si>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</si>
  <si>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</si>
  <si>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</si>
  <si>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</si>
  <si>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</si>
  <si>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</si>
  <si>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</si>
  <si>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</si>
  <si>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</si>
  <si>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</si>
  <si>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</si>
  <si>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</si>
  <si>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</si>
  <si>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</si>
  <si>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</si>
  <si>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</si>
  <si>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</si>
  <si>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</si>
  <si>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</si>
  <si>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</si>
  <si>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</si>
  <si>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</si>
  <si>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</si>
  <si>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</si>
  <si>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</si>
  <si>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</si>
  <si>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</si>
  <si>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</si>
  <si>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</si>
  <si>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</si>
  <si>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</si>
  <si>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</si>
  <si>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</si>
  <si>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</si>
  <si>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</si>
  <si>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</si>
  <si>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</si>
  <si>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</si>
  <si>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</si>
  <si>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</si>
  <si>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</si>
  <si>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</si>
  <si>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</si>
  <si>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</si>
  <si>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</si>
  <si>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</si>
  <si>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</si>
  <si>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</si>
  <si>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</si>
  <si>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</si>
  <si>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</si>
  <si>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</si>
  <si>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</si>
  <si>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</si>
  <si>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</si>
  <si>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</si>
  <si>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</si>
  <si>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</si>
  <si>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</si>
  <si>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</si>
  <si>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</si>
  <si>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</si>
  <si>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</si>
  <si>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</si>
  <si>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</si>
  <si>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</si>
  <si>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</si>
  <si>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</si>
  <si>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</si>
  <si>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</si>
  <si>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</si>
  <si>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</si>
  <si>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</si>
  <si>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</si>
  <si>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</si>
  <si>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</si>
  <si>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</si>
  <si>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</si>
  <si>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</si>
  <si>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</si>
  <si>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</si>
  <si>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</si>
  <si>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</si>
  <si>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</si>
  <si>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</si>
  <si>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</si>
  <si>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</si>
  <si>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</si>
  <si>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</si>
  <si>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</si>
  <si>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</si>
  <si>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</si>
  <si>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</si>
  <si>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</si>
  <si>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</si>
  <si>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</si>
  <si>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</si>
  <si>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</si>
  <si>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</si>
  <si>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</si>
  <si>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</si>
  <si>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</si>
  <si>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</si>
  <si>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</si>
  <si>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</si>
  <si>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</si>
  <si>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</si>
  <si>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</si>
  <si>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</si>
  <si>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</si>
  <si>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</si>
  <si>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</si>
  <si>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</si>
  <si>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</si>
  <si>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</si>
  <si>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</si>
  <si>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</si>
  <si>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</si>
  <si>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</si>
  <si>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</si>
  <si>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</si>
  <si>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</si>
  <si>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</si>
  <si>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</si>
  <si>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</si>
  <si>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</si>
  <si>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</si>
  <si>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</si>
  <si>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</si>
  <si>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</si>
  <si>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</si>
  <si>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</si>
  <si>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</si>
  <si>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</si>
  <si>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</si>
  <si>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</si>
  <si>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</si>
  <si>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</si>
  <si>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</si>
  <si>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</si>
  <si>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</si>
  <si>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</si>
  <si>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</si>
  <si>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</si>
  <si>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</si>
  <si>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</si>
  <si>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</si>
  <si>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</si>
  <si>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</si>
  <si>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</si>
  <si>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</si>
  <si>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</si>
  <si>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</si>
  <si>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</si>
  <si>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</si>
  <si>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</si>
  <si>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</si>
  <si>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</si>
  <si>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</si>
  <si>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</si>
  <si>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</si>
  <si>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</si>
  <si>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</si>
  <si>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</si>
  <si>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</si>
  <si>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</si>
  <si>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</si>
  <si>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</si>
  <si>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</si>
  <si>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</si>
  <si>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</si>
  <si>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</si>
  <si>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</si>
  <si>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</si>
  <si>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</si>
  <si>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</si>
  <si>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</si>
  <si>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</si>
  <si>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</si>
  <si>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</si>
  <si>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</si>
  <si>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</si>
  <si>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</si>
  <si>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</si>
  <si>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</si>
  <si>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</si>
  <si>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</si>
  <si>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</si>
  <si>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</si>
  <si>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</si>
  <si>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</si>
  <si>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</si>
  <si>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</si>
  <si>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</si>
  <si>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</si>
  <si>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</si>
  <si>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</si>
  <si>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</si>
  <si>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</si>
  <si>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</si>
  <si>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</si>
  <si>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</si>
  <si>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</si>
  <si>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</si>
  <si>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</si>
  <si>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</si>
  <si>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</si>
  <si>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</si>
  <si>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</si>
  <si>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</si>
  <si>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</si>
  <si>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</si>
  <si>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</si>
  <si>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</si>
  <si>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</si>
  <si>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</si>
  <si>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</si>
  <si>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</si>
  <si>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</si>
  <si>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</si>
  <si>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</si>
  <si>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</si>
  <si>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</si>
  <si>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</si>
  <si>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</si>
  <si>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</si>
  <si>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</si>
  <si>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</si>
  <si>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</si>
  <si>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</si>
  <si>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</si>
  <si>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</si>
  <si>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</si>
  <si>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</si>
  <si>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</si>
  <si>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</si>
  <si>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</si>
  <si>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</si>
  <si>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</si>
  <si>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</si>
  <si>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</si>
  <si>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</si>
  <si>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</si>
  <si>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</si>
  <si>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</si>
  <si>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</si>
  <si>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</si>
  <si>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</si>
  <si>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</si>
  <si>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</si>
  <si>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</si>
  <si>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</si>
  <si>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</si>
  <si>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</si>
  <si>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</si>
  <si>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</si>
  <si>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</si>
  <si>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</si>
  <si>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</si>
  <si>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</si>
  <si>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</si>
  <si>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</si>
  <si>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</si>
  <si>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</si>
  <si>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</si>
  <si>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</si>
  <si>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</si>
  <si>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</si>
  <si>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</si>
  <si>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</si>
  <si>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</si>
  <si>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</si>
  <si>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</si>
  <si>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</si>
  <si>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</si>
  <si>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</si>
  <si>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</si>
  <si>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</si>
  <si>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</si>
  <si>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</si>
  <si>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</si>
  <si>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</si>
  <si>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</si>
  <si>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</si>
  <si>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</si>
  <si>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</si>
  <si>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</si>
  <si>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</si>
  <si>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</si>
  <si>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</si>
  <si>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</si>
  <si>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</si>
  <si>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</si>
  <si>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</si>
  <si>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</si>
  <si>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</si>
  <si>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</si>
  <si>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</si>
  <si>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</si>
  <si>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</si>
  <si>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</si>
  <si>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</si>
  <si>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</si>
  <si>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</si>
  <si>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</si>
  <si>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</si>
  <si>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</si>
  <si>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</si>
  <si>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</si>
  <si>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</si>
  <si>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</si>
  <si>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</si>
  <si>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</si>
  <si>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</si>
  <si>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</si>
  <si>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</si>
  <si>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</si>
  <si>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</si>
  <si>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</si>
  <si>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</si>
  <si>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</si>
  <si>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</si>
  <si>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</si>
  <si>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</si>
  <si>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</si>
  <si>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</si>
  <si>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</si>
  <si>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</si>
  <si>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</si>
  <si>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</si>
  <si>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</si>
  <si>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</si>
  <si>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</si>
  <si>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</si>
  <si>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</si>
  <si>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</si>
  <si>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</si>
  <si>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</si>
  <si>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</si>
  <si>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</si>
  <si>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</si>
  <si>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</si>
  <si>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</si>
  <si>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</si>
  <si>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</si>
  <si>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</si>
  <si>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</si>
  <si>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</si>
  <si>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</si>
  <si>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</si>
  <si>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</si>
  <si>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</si>
  <si>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</si>
  <si>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</si>
  <si>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</si>
  <si>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</si>
  <si>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</si>
  <si>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</si>
  <si>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</si>
  <si>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</si>
  <si>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</si>
  <si>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</si>
  <si>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</si>
  <si>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</si>
  <si>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</si>
  <si>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</si>
  <si>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</si>
  <si>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</si>
  <si>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</si>
  <si>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</si>
  <si>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</si>
  <si>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</si>
  <si>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</si>
  <si>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</si>
  <si>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</si>
  <si>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</si>
  <si>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</si>
  <si>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</si>
  <si>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</si>
  <si>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</si>
  <si>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</si>
  <si>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</si>
  <si>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</si>
  <si>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</si>
  <si>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</si>
  <si>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</si>
  <si>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</si>
  <si>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</si>
  <si>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</si>
  <si>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</si>
  <si>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</si>
  <si>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</si>
  <si>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</si>
  <si>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</si>
  <si>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</si>
  <si>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</si>
  <si>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</si>
  <si>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</si>
  <si>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</si>
  <si>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</si>
  <si>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</si>
  <si>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</si>
  <si>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</si>
  <si>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</si>
  <si>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</si>
  <si>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</si>
  <si>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</si>
  <si>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</si>
  <si>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</si>
  <si>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</si>
  <si>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</si>
  <si>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</si>
  <si>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</si>
  <si>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</si>
  <si>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</si>
  <si>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</si>
  <si>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</si>
  <si>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</si>
  <si>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</si>
  <si>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</si>
  <si>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</si>
  <si>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</si>
  <si>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</si>
  <si>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</si>
  <si>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</si>
  <si>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</si>
  <si>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</si>
  <si>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</si>
  <si>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</si>
  <si>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</si>
  <si>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</si>
  <si>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</si>
  <si>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</si>
  <si>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</si>
  <si>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</si>
  <si>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</si>
  <si>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</si>
  <si>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</si>
  <si>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</si>
  <si>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</si>
  <si>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</si>
  <si>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</si>
  <si>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</si>
  <si>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</si>
  <si>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</si>
  <si>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</si>
  <si>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</si>
  <si>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</si>
  <si>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</si>
  <si>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</si>
  <si>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</si>
  <si>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</si>
  <si>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</si>
  <si>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</si>
  <si>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</si>
  <si>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</si>
  <si>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</si>
  <si>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</si>
  <si>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</si>
  <si>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</si>
  <si>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</si>
  <si>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</si>
  <si>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</si>
  <si>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</si>
  <si>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</si>
  <si>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</si>
  <si>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</si>
  <si>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</si>
  <si>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</si>
  <si>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</si>
  <si>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</si>
  <si>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</si>
  <si>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</si>
  <si>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</si>
  <si>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</si>
  <si>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</si>
  <si>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</si>
  <si>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</si>
  <si>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</si>
  <si>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</si>
  <si>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</si>
  <si>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</si>
  <si>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</si>
  <si>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</si>
  <si>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</si>
  <si>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</si>
  <si>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</si>
  <si>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</si>
  <si>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</si>
  <si>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</si>
  <si>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</si>
  <si>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</si>
  <si>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</si>
  <si>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</si>
  <si>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</si>
  <si>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</si>
  <si>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</si>
  <si>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</si>
  <si>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</si>
  <si>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</si>
  <si>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</si>
  <si>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</si>
  <si>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</si>
  <si>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</si>
  <si>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</si>
  <si>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</si>
  <si>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</si>
  <si>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</si>
  <si>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</si>
  <si>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</si>
  <si>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</si>
  <si>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</si>
  <si>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</si>
  <si>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</si>
  <si>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</si>
  <si>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</si>
  <si>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</si>
  <si>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</si>
  <si>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</si>
  <si>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</si>
  <si>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</si>
  <si>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</si>
  <si>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</si>
  <si>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</si>
  <si>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</si>
  <si>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</si>
  <si>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</si>
  <si>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</si>
  <si>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</si>
  <si>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</si>
  <si>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</si>
  <si>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</si>
  <si>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</si>
  <si>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</si>
  <si>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</si>
  <si>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</si>
  <si>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</si>
  <si>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</si>
  <si>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</si>
  <si>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</si>
  <si>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</si>
  <si>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</si>
  <si>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</si>
  <si>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</si>
  <si>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</si>
  <si>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</si>
  <si>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</si>
  <si>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</si>
  <si>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</si>
  <si>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</si>
  <si>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</si>
  <si>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</si>
  <si>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</si>
  <si>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</si>
  <si>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</si>
  <si>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</si>
  <si>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</si>
  <si>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</si>
  <si>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</si>
  <si>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</si>
  <si>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</si>
  <si>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</si>
  <si>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</si>
  <si>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</si>
  <si>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</si>
  <si>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</si>
  <si>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</si>
  <si>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</si>
  <si>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</si>
  <si>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</si>
  <si>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</si>
  <si>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</si>
  <si>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</si>
  <si>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</si>
  <si>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</si>
  <si>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</si>
  <si>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</si>
  <si>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</si>
  <si>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</si>
  <si>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</si>
  <si>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</si>
  <si>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</si>
  <si>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</si>
  <si>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</si>
  <si>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</si>
  <si>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</si>
  <si>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</si>
  <si>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</si>
  <si>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</si>
  <si>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</si>
  <si>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</si>
  <si>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</si>
  <si>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</si>
  <si>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</si>
  <si>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</si>
  <si>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</si>
  <si>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</si>
  <si>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</si>
  <si>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</si>
  <si>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</si>
  <si>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</si>
  <si>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</si>
  <si>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</si>
  <si>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</si>
  <si>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</si>
  <si>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</si>
  <si>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</si>
  <si>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</si>
  <si>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</si>
  <si>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</si>
  <si>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</si>
  <si>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</si>
  <si>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</si>
  <si>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</si>
  <si>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</si>
  <si>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</si>
  <si>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</si>
  <si>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</si>
  <si>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</si>
  <si>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</si>
  <si>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</si>
  <si>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</si>
  <si>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</si>
  <si>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</si>
  <si>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</si>
  <si>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</si>
  <si>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</si>
  <si>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</si>
  <si>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</si>
  <si>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</si>
  <si>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</si>
  <si>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</si>
  <si>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</si>
  <si>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</si>
  <si>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</si>
  <si>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</si>
  <si>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</si>
  <si>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</si>
  <si>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</si>
  <si>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</si>
  <si>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</si>
  <si>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</si>
  <si>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</si>
  <si>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</si>
  <si>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</si>
  <si>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</si>
  <si>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</si>
  <si>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</si>
  <si>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</si>
  <si>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</si>
  <si>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</si>
  <si>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</si>
  <si>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</si>
  <si>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</si>
  <si>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</si>
  <si>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</si>
  <si>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</si>
  <si>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</si>
  <si>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</si>
  <si>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</si>
  <si>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</si>
  <si>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</si>
  <si>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</si>
  <si>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</si>
  <si>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</si>
  <si>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</si>
  <si>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</si>
  <si>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</si>
  <si>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</si>
  <si>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</si>
  <si>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</si>
  <si>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</si>
  <si>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</si>
  <si>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</si>
  <si>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</si>
  <si>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</si>
  <si>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</si>
  <si>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</si>
  <si>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</si>
  <si>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</si>
  <si>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</si>
  <si>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</si>
  <si>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</si>
  <si>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</si>
  <si>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</si>
  <si>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</si>
  <si>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</si>
  <si>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</si>
  <si>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</si>
  <si>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</si>
  <si>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o</t>
    <phoneticPr fontId="2" type="noConversion"/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</si>
  <si>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</si>
  <si>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</si>
  <si>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</si>
  <si>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</si>
  <si>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</si>
  <si>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2025-09-15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</si>
  <si>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</si>
  <si>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</si>
  <si>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</si>
  <si>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</si>
  <si>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</si>
  <si>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</si>
  <si>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</si>
  <si>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대구광역시 북구 산격동 14-149</t>
    <phoneticPr fontId="2" type="noConversion"/>
  </si>
  <si>
    <t>010-2806-9270</t>
    <phoneticPr fontId="2" type="noConversion"/>
  </si>
  <si>
    <t>0AM REPAIR KIT</t>
    <phoneticPr fontId="2" type="noConversion"/>
  </si>
  <si>
    <t>대륙오토(대구)_250915_181017.xlsx</t>
  </si>
  <si>
    <t>대륙오토(대구)_250915_181017.xlsx</t>
    <phoneticPr fontId="2" type="noConversion"/>
  </si>
  <si>
    <t>0B5_Clutch 작업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</si>
</sst>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5400000</c:v>
                </c:pt>
                <c:pt idx="1">
                  <c:v>4443000</c:v>
                </c:pt>
                <c:pt idx="2">
                  <c:v>3520000</c:v>
                </c:pt>
                <c:pt idx="3">
                  <c:v>5640000</c:v>
                </c:pt>
                <c:pt idx="4">
                  <c:v>2700000</c:v>
                </c:pt>
                <c:pt idx="5">
                  <c:v>2100000</c:v>
                </c:pt>
                <c:pt idx="6">
                  <c:v>2000000</c:v>
                </c:pt>
                <c:pt idx="7">
                  <c:v>3186000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2</c:v>
                      </c:pt>
                      <c:pt idx="4">
                        <c:v>8</c:v>
                      </c:pt>
                      <c:pt idx="5">
                        <c:v>15</c:v>
                      </c:pt>
                      <c:pt idx="6">
                        <c:v>16</c:v>
                      </c:pt>
                      <c:pt idx="7">
                        <c:v>7</c:v>
                      </c:pt>
                      <c:pt idx="8">
                        <c:v>17</c:v>
                      </c:pt>
                      <c:pt idx="9">
                        <c:v>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0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2458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2459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2460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2461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2490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2524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2531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2531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2579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2460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2589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2607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2625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2514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2514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2646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2661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2665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2665</v>
      </c>
    </row>
    <row r="106" spans="1:6" x14ac:dyDescent="0.3">
      <c r="A106">
        <v>105</v>
      </c>
      <c r="B106" s="13">
        <v>45833</v>
      </c>
      <c r="C106" t="s">
        <v>2676</v>
      </c>
      <c r="D106" t="s">
        <v>2677</v>
      </c>
      <c r="E106">
        <v>24800</v>
      </c>
      <c r="F106" t="s">
        <v>2678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2709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2746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2756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2757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2460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2820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2838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2886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45915</v>
      </c>
      <c r="U2" s="312"/>
    </row>
    <row r="3" spans="1:21" ht="24.95" customHeight="1" x14ac:dyDescent="0.3">
      <c r="A3" s="322" t="s">
        <v>1172</v>
      </c>
      <c r="B3" s="37" t="s">
        <v>59</v>
      </c>
      <c r="C3" s="325" t="s">
        <v>1296</v>
      </c>
      <c r="D3" s="326"/>
      <c r="E3" s="326"/>
      <c r="F3" s="326"/>
      <c r="G3" s="326"/>
      <c r="H3" s="326"/>
      <c r="I3" s="326"/>
      <c r="J3" s="327"/>
      <c r="K3" s="328" t="s">
        <v>1173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3595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3596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25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3597</v>
      </c>
      <c r="B8" s="347"/>
      <c r="C8" s="347"/>
      <c r="D8" s="347"/>
      <c r="E8" s="348"/>
      <c r="F8" s="349"/>
      <c r="G8" s="347"/>
      <c r="H8" s="347"/>
      <c r="I8" s="348"/>
      <c r="J8" s="355">
        <v>300000</v>
      </c>
      <c r="K8" s="355"/>
      <c r="L8" s="355"/>
      <c r="M8" s="355"/>
      <c r="N8" s="355"/>
      <c r="O8" s="356">
        <v>3</v>
      </c>
      <c r="P8" s="356"/>
      <c r="Q8" s="350"/>
      <c r="R8" s="351"/>
      <c r="S8" s="352"/>
      <c r="T8" s="353">
        <v>900000</v>
      </c>
      <c r="U8" s="354"/>
    </row>
    <row r="9" spans="1:21" ht="15.6" customHeight="1" x14ac:dyDescent="0.3">
      <c r="A9" s="337"/>
      <c r="B9" s="338"/>
      <c r="C9" s="338"/>
      <c r="D9" s="338"/>
      <c r="E9" s="339"/>
      <c r="F9" s="340"/>
      <c r="G9" s="338"/>
      <c r="H9" s="338"/>
      <c r="I9" s="339"/>
      <c r="J9" s="357"/>
      <c r="K9" s="357"/>
      <c r="L9" s="357"/>
      <c r="M9" s="357"/>
      <c r="N9" s="357"/>
      <c r="O9" s="358"/>
      <c r="P9" s="358"/>
      <c r="Q9" s="341"/>
      <c r="R9" s="342"/>
      <c r="S9" s="343"/>
      <c r="T9" s="344"/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2329</v>
      </c>
      <c r="B16" s="371"/>
      <c r="C16" s="371"/>
      <c r="D16" s="371"/>
      <c r="E16" s="372"/>
      <c r="F16" s="379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6615000</v>
      </c>
      <c r="G20" s="394"/>
      <c r="H20" s="394"/>
      <c r="I20" s="395"/>
      <c r="J20" s="390">
        <f>SUM(J8:N19)</f>
        <v>300000</v>
      </c>
      <c r="K20" s="391"/>
      <c r="L20" s="391"/>
      <c r="M20" s="391"/>
      <c r="N20" s="392"/>
      <c r="O20" s="428">
        <f>SUM(O8:P19)</f>
        <v>3</v>
      </c>
      <c r="P20" s="428"/>
      <c r="Q20" s="393">
        <f>SUM(Q8:S19)</f>
        <v>0</v>
      </c>
      <c r="R20" s="394"/>
      <c r="S20" s="395"/>
      <c r="T20" s="394">
        <f>SUM(T8:U15)</f>
        <v>900000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</f>
        <v>7515000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대륙오토(대구)</v>
      </c>
      <c r="R21" s="388"/>
      <c r="S21" s="388"/>
      <c r="T21" s="388"/>
      <c r="U21" s="389"/>
    </row>
    <row r="22" spans="1:21" ht="20.100000000000001" customHeight="1" x14ac:dyDescent="0.3">
      <c r="A22" s="429" t="s">
        <v>3599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1204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45915</v>
      </c>
      <c r="U25" s="312"/>
    </row>
    <row r="26" spans="1:21" ht="24.95" customHeight="1" x14ac:dyDescent="0.3">
      <c r="A26" s="322" t="s">
        <v>1172</v>
      </c>
      <c r="B26" s="37" t="s">
        <v>59</v>
      </c>
      <c r="C26" s="325" t="str">
        <f>C3</f>
        <v>대륙오토(대구)</v>
      </c>
      <c r="D26" s="326"/>
      <c r="E26" s="326"/>
      <c r="F26" s="326"/>
      <c r="G26" s="326"/>
      <c r="H26" s="326"/>
      <c r="I26" s="326"/>
      <c r="J26" s="327"/>
      <c r="K26" s="328" t="s">
        <v>1173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대구광역시 북구 산격동 14-149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010-2806-9270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대구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0AM REPAIR KIT</v>
      </c>
      <c r="B31" s="406"/>
      <c r="C31" s="406"/>
      <c r="D31" s="406"/>
      <c r="E31" s="406"/>
      <c r="F31" s="406">
        <f>F8</f>
        <v>0</v>
      </c>
      <c r="G31" s="406"/>
      <c r="H31" s="406"/>
      <c r="I31" s="406"/>
      <c r="J31" s="410">
        <f>J8</f>
        <v>300000</v>
      </c>
      <c r="K31" s="410"/>
      <c r="L31" s="410"/>
      <c r="M31" s="410"/>
      <c r="N31" s="410"/>
      <c r="O31" s="410">
        <f>O8</f>
        <v>3</v>
      </c>
      <c r="P31" s="410"/>
      <c r="Q31" s="407">
        <f>Q8</f>
        <v>0</v>
      </c>
      <c r="R31" s="407"/>
      <c r="S31" s="407"/>
      <c r="T31" s="408">
        <f>T8</f>
        <v>900000</v>
      </c>
      <c r="U31" s="409"/>
    </row>
    <row r="32" spans="1:21" ht="15.6" customHeight="1" x14ac:dyDescent="0.3">
      <c r="A32" s="400">
        <f t="shared" ref="A32:A38" si="0">A9</f>
        <v>0</v>
      </c>
      <c r="B32" s="401"/>
      <c r="C32" s="401"/>
      <c r="D32" s="401"/>
      <c r="E32" s="401"/>
      <c r="F32" s="401">
        <f t="shared" ref="F32:F38" si="1">F9</f>
        <v>0</v>
      </c>
      <c r="G32" s="401"/>
      <c r="H32" s="401"/>
      <c r="I32" s="401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2329</v>
      </c>
      <c r="B39" s="371"/>
      <c r="C39" s="371"/>
      <c r="D39" s="371"/>
      <c r="E39" s="372"/>
      <c r="F39" s="379">
        <f>F16</f>
        <v>0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6615000</v>
      </c>
      <c r="G43" s="394"/>
      <c r="H43" s="394"/>
      <c r="I43" s="395"/>
      <c r="J43" s="390">
        <f>J20</f>
        <v>300000</v>
      </c>
      <c r="K43" s="391"/>
      <c r="L43" s="391"/>
      <c r="M43" s="391"/>
      <c r="N43" s="392"/>
      <c r="O43" s="428">
        <f>O20</f>
        <v>3</v>
      </c>
      <c r="P43" s="428"/>
      <c r="Q43" s="393">
        <f>Q20</f>
        <v>0</v>
      </c>
      <c r="R43" s="394"/>
      <c r="S43" s="394"/>
      <c r="T43" s="394">
        <f>T20</f>
        <v>900000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7515000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대륙오토(대구)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300000</v>
      </c>
      <c r="H1" s="107">
        <f>SUM(H2:H4)</f>
        <v>3</v>
      </c>
      <c r="I1" s="107">
        <f>SUM(I2:I4)</f>
        <v>0</v>
      </c>
      <c r="J1" s="107">
        <f>SUM(J2:J4)</f>
        <v>900000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3587</v>
      </c>
      <c r="C2" s="47" t="s">
        <v>1452</v>
      </c>
      <c r="E2" t="s">
        <v>2207</v>
      </c>
      <c r="G2">
        <v>300000</v>
      </c>
      <c r="H2">
        <v>3</v>
      </c>
      <c r="I2" s="226"/>
      <c r="J2" s="226">
        <v>900000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1566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1567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636"/>
  <sheetViews>
    <sheetView workbookViewId="0">
      <pane xSplit="1" ySplit="1" topLeftCell="B1581" activePane="bottomRight" state="frozen"/>
      <selection activeCell="N26" sqref="N26"/>
      <selection pane="topRight" activeCell="N26" sqref="N26"/>
      <selection pane="bottomLeft" activeCell="N26" sqref="N26"/>
      <selection pane="bottomRight" activeCell="A1612" sqref="A1612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1631</v>
      </c>
    </row>
    <row r="2" spans="1:15" x14ac:dyDescent="0.3">
      <c r="A2" s="271">
        <v>1</v>
      </c>
      <c r="B2" s="264">
        <v>45723</v>
      </c>
      <c r="C2" s="292" t="s">
        <v>1309</v>
      </c>
      <c r="D2" s="295">
        <v>2821402</v>
      </c>
      <c r="E2" s="292" t="s">
        <v>2720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29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29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29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29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1462</v>
      </c>
      <c r="D21" s="297"/>
      <c r="E21" s="29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29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29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29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29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29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29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29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29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29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29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29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29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29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29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29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29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29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29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29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29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29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295">
        <v>415054509</v>
      </c>
      <c r="E103" s="292" t="s">
        <v>2536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29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29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29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29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295">
        <v>415072909</v>
      </c>
      <c r="E121" s="292" t="s">
        <v>2536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29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295">
        <v>415072909</v>
      </c>
      <c r="E123" s="292" t="s">
        <v>2536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29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29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29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29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29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29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29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29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29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29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29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295">
        <v>415090409</v>
      </c>
      <c r="E159" s="292" t="s">
        <v>2536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29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29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29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295">
        <v>415090409</v>
      </c>
      <c r="E165" s="292" t="s">
        <v>2536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29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29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29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29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29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29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29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29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29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29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29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29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29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29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2536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29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29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29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29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29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29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29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29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29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29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29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29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29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29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29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29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29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29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295">
        <v>415072909</v>
      </c>
      <c r="E229" s="292" t="s">
        <v>2536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29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29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29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29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29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29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29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29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29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29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29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29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29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29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29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29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29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29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29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29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29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29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29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29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29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29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29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29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29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29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29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29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29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29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29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29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29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29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29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295">
        <v>415072909</v>
      </c>
      <c r="E315" s="298" t="s">
        <v>2536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29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29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29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29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29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29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29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29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29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29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29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29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29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29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29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29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29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29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29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29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29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29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29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29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29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29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29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29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29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29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29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2536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29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29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29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29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29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29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29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29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29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29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29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29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29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29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29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29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29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29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29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29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29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29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29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29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29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29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29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29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29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295">
        <v>4150862090</v>
      </c>
      <c r="E460" s="292" t="s">
        <v>2536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2536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29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29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29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29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29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29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29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2536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3089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2472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2477</v>
      </c>
      <c r="D612" s="295" t="s">
        <v>1220</v>
      </c>
      <c r="E612" s="292" t="s">
        <v>2478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2488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2479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2479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2488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2498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2508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2508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2508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2498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2525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2718</v>
      </c>
      <c r="E653" s="292" t="s">
        <v>2719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2569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2571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2572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2572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2718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2582</v>
      </c>
      <c r="F669" s="269" t="s">
        <v>2581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2796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2572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2572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2628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2618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2618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2626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2626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2613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2690</v>
      </c>
      <c r="E716" s="292" t="s">
        <v>2691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2632</v>
      </c>
      <c r="F717" s="269" t="s">
        <v>2631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2618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2634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2634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2641</v>
      </c>
      <c r="E722" s="292" t="s">
        <v>2640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2647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2650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2661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2661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2650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2681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2682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2514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2488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2641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2731</v>
      </c>
      <c r="F774" s="269" t="s">
        <v>2730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2737</v>
      </c>
      <c r="E775" s="292" t="s">
        <v>2350</v>
      </c>
      <c r="F775" s="269" t="s">
        <v>2738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2722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2741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2743</v>
      </c>
      <c r="E792" s="292" t="s">
        <v>2742</v>
      </c>
      <c r="G792" s="265">
        <v>150000</v>
      </c>
      <c r="H792" s="269">
        <v>1</v>
      </c>
      <c r="K792" s="265">
        <v>150000</v>
      </c>
      <c r="M792" s="269"/>
      <c r="N792" t="s">
        <v>2881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2881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2881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2748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2749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2750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2881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2881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2881</v>
      </c>
    </row>
    <row r="802" spans="1:14" x14ac:dyDescent="0.3">
      <c r="A802" s="271">
        <v>801</v>
      </c>
      <c r="B802" s="264">
        <v>45839</v>
      </c>
      <c r="C802" s="292" t="s">
        <v>2750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2758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2881</v>
      </c>
    </row>
    <row r="805" spans="1:14" x14ac:dyDescent="0.3">
      <c r="A805" s="271">
        <v>804</v>
      </c>
      <c r="B805" s="264">
        <v>45840</v>
      </c>
      <c r="C805" s="292" t="s">
        <v>2760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2881</v>
      </c>
    </row>
    <row r="806" spans="1:14" x14ac:dyDescent="0.3">
      <c r="A806" s="271">
        <v>805</v>
      </c>
      <c r="B806" s="264">
        <v>45840</v>
      </c>
      <c r="C806" s="292" t="s">
        <v>2760</v>
      </c>
      <c r="E806" s="292" t="s">
        <v>2765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2881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2881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2881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2881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2881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2881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2881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2881</v>
      </c>
    </row>
    <row r="816" spans="1:14" x14ac:dyDescent="0.3">
      <c r="A816" s="271">
        <v>815</v>
      </c>
      <c r="B816" s="264">
        <v>45841</v>
      </c>
      <c r="C816" s="292" t="s">
        <v>2743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2780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2881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2697</v>
      </c>
      <c r="G818" s="265">
        <v>350000</v>
      </c>
      <c r="H818" s="269">
        <v>1</v>
      </c>
      <c r="K818" s="265">
        <v>350000</v>
      </c>
      <c r="M818" s="269"/>
      <c r="N818" t="s">
        <v>2881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2881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2881</v>
      </c>
    </row>
    <row r="821" spans="1:14" x14ac:dyDescent="0.3">
      <c r="A821" s="271">
        <v>820</v>
      </c>
      <c r="B821" s="264">
        <v>45841</v>
      </c>
      <c r="C821" s="292" t="s">
        <v>2780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2787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2881</v>
      </c>
    </row>
    <row r="825" spans="1:14" x14ac:dyDescent="0.3">
      <c r="A825" s="271">
        <v>824</v>
      </c>
      <c r="B825" s="264">
        <v>45842</v>
      </c>
      <c r="C825" s="292" t="s">
        <v>2787</v>
      </c>
      <c r="E825" s="292" t="s">
        <v>2628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2881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2790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2749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2881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2881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2593</v>
      </c>
      <c r="F831" s="269" t="s">
        <v>2592</v>
      </c>
      <c r="G831" s="265">
        <v>1500000</v>
      </c>
      <c r="H831" s="269">
        <v>1</v>
      </c>
      <c r="J831" s="266" t="s">
        <v>2925</v>
      </c>
      <c r="K831" s="265">
        <v>1650000</v>
      </c>
      <c r="M831" s="269"/>
      <c r="N831" t="s">
        <v>2881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2881</v>
      </c>
    </row>
    <row r="833" spans="1:14" x14ac:dyDescent="0.3">
      <c r="A833" s="271">
        <v>832</v>
      </c>
      <c r="B833" s="264">
        <v>45842</v>
      </c>
      <c r="C833" s="292" t="s">
        <v>2758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2881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2697</v>
      </c>
      <c r="G839" s="265">
        <v>350000</v>
      </c>
      <c r="H839" s="269">
        <v>1</v>
      </c>
      <c r="K839" s="265">
        <v>350000</v>
      </c>
      <c r="M839" s="269"/>
      <c r="N839" t="s">
        <v>2881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2881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2881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2766</v>
      </c>
      <c r="G843" s="265">
        <v>1100000</v>
      </c>
      <c r="H843" s="269">
        <v>1</v>
      </c>
      <c r="K843" s="265">
        <v>1100000</v>
      </c>
      <c r="M843" s="269"/>
      <c r="N843" t="s">
        <v>2881</v>
      </c>
    </row>
    <row r="844" spans="1:14" x14ac:dyDescent="0.3">
      <c r="A844" s="271">
        <v>843</v>
      </c>
      <c r="B844" s="264">
        <v>45845</v>
      </c>
      <c r="C844" s="292" t="s">
        <v>2807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2881</v>
      </c>
    </row>
    <row r="845" spans="1:14" x14ac:dyDescent="0.3">
      <c r="A845" s="271">
        <v>844</v>
      </c>
      <c r="B845" s="264">
        <v>45845</v>
      </c>
      <c r="C845" s="292" t="s">
        <v>2807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2881</v>
      </c>
    </row>
    <row r="846" spans="1:14" x14ac:dyDescent="0.3">
      <c r="A846" s="271">
        <v>845</v>
      </c>
      <c r="B846" s="264">
        <v>45845</v>
      </c>
      <c r="C846" s="292" t="s">
        <v>2613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2881</v>
      </c>
    </row>
    <row r="847" spans="1:14" x14ac:dyDescent="0.3">
      <c r="A847" s="271">
        <v>846</v>
      </c>
      <c r="B847" s="264">
        <v>45845</v>
      </c>
      <c r="C847" s="292" t="s">
        <v>2613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2881</v>
      </c>
    </row>
    <row r="848" spans="1:14" x14ac:dyDescent="0.3">
      <c r="A848" s="271">
        <v>847</v>
      </c>
      <c r="B848" s="264">
        <v>45845</v>
      </c>
      <c r="C848" s="292" t="s">
        <v>2801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2881</v>
      </c>
    </row>
    <row r="849" spans="1:14" x14ac:dyDescent="0.3">
      <c r="A849" s="271">
        <v>848</v>
      </c>
      <c r="B849" s="264">
        <v>45845</v>
      </c>
      <c r="C849" s="292" t="s">
        <v>2801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2881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2881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2881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2881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2881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2881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2801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2807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2819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2881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2881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2881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2881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2881</v>
      </c>
    </row>
    <row r="866" spans="1:14" x14ac:dyDescent="0.3">
      <c r="A866" s="271">
        <v>865</v>
      </c>
      <c r="B866" s="264">
        <v>45846</v>
      </c>
      <c r="C866" s="292" t="s">
        <v>2807</v>
      </c>
      <c r="E866" s="292" t="s">
        <v>2823</v>
      </c>
      <c r="F866" s="269" t="s">
        <v>2822</v>
      </c>
      <c r="G866" s="265">
        <v>400000</v>
      </c>
      <c r="H866" s="269">
        <v>1</v>
      </c>
      <c r="K866" s="265">
        <v>400000</v>
      </c>
      <c r="M866" s="269"/>
      <c r="N866" t="s">
        <v>2881</v>
      </c>
    </row>
    <row r="867" spans="1:14" x14ac:dyDescent="0.3">
      <c r="A867" s="271">
        <v>866</v>
      </c>
      <c r="B867" s="264">
        <v>45846</v>
      </c>
      <c r="C867" s="292" t="s">
        <v>2807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2881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2881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2697</v>
      </c>
      <c r="G869" s="265">
        <v>350000</v>
      </c>
      <c r="H869" s="269">
        <v>1</v>
      </c>
      <c r="K869" s="265">
        <v>350000</v>
      </c>
      <c r="M869" s="269"/>
      <c r="N869" t="s">
        <v>2881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2881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2881</v>
      </c>
    </row>
    <row r="872" spans="1:14" x14ac:dyDescent="0.3">
      <c r="A872" s="271">
        <v>871</v>
      </c>
      <c r="B872" s="264">
        <v>45846</v>
      </c>
      <c r="C872" s="292" t="s">
        <v>2827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2881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2881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2881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2881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2881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2881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2881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2881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2881</v>
      </c>
    </row>
    <row r="881" spans="1:14" x14ac:dyDescent="0.3">
      <c r="A881" s="271">
        <v>880</v>
      </c>
      <c r="B881" s="264">
        <v>45846</v>
      </c>
      <c r="C881" s="292" t="s">
        <v>2613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2807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2881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2881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2881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2881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2881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2881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2881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2881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2827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2743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2881</v>
      </c>
    </row>
    <row r="896" spans="1:14" x14ac:dyDescent="0.3">
      <c r="A896" s="271">
        <v>895</v>
      </c>
      <c r="B896" s="264">
        <v>45848</v>
      </c>
      <c r="C896" s="292" t="s">
        <v>2743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2881</v>
      </c>
    </row>
    <row r="897" spans="1:14" x14ac:dyDescent="0.3">
      <c r="A897" s="271">
        <v>896</v>
      </c>
      <c r="B897" s="264">
        <v>45848</v>
      </c>
      <c r="C897" s="292" t="s">
        <v>2743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2881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2854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2881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2881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2881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2881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2858</v>
      </c>
      <c r="F902" s="269" t="s">
        <v>2768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2881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2881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2865</v>
      </c>
      <c r="F905" s="269" t="s">
        <v>2864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2881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2867</v>
      </c>
      <c r="F906" s="269" t="s">
        <v>2863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2881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2881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2881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2881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2881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2881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2881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2881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2881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2881</v>
      </c>
    </row>
    <row r="916" spans="1:14" x14ac:dyDescent="0.3">
      <c r="A916" s="271">
        <v>915</v>
      </c>
      <c r="B916" s="264">
        <v>45849</v>
      </c>
      <c r="C916" s="292" t="s">
        <v>2878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2881</v>
      </c>
    </row>
    <row r="917" spans="1:14" x14ac:dyDescent="0.3">
      <c r="A917" s="271">
        <v>916</v>
      </c>
      <c r="B917" s="264">
        <v>45849</v>
      </c>
      <c r="C917" s="292" t="s">
        <v>2878</v>
      </c>
      <c r="E917" s="292" t="s">
        <v>2628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2881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2876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2879</v>
      </c>
      <c r="G921" s="265">
        <v>170000</v>
      </c>
      <c r="H921" s="269">
        <v>1</v>
      </c>
      <c r="K921" s="265">
        <v>170000</v>
      </c>
      <c r="M921" s="269"/>
      <c r="N921" t="s">
        <v>2881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2743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2881</v>
      </c>
    </row>
    <row r="925" spans="1:14" x14ac:dyDescent="0.3">
      <c r="A925" s="271">
        <v>924</v>
      </c>
      <c r="B925" s="264">
        <v>45850</v>
      </c>
      <c r="C925" s="292" t="s">
        <v>2883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2926</v>
      </c>
      <c r="E927" s="292" t="s">
        <v>2672</v>
      </c>
      <c r="G927" s="265">
        <v>1750000</v>
      </c>
      <c r="H927" s="269">
        <v>1</v>
      </c>
      <c r="J927" s="266" t="s">
        <v>2927</v>
      </c>
      <c r="K927" s="265">
        <v>1925000</v>
      </c>
      <c r="M927" s="269"/>
      <c r="N927" t="s">
        <v>2881</v>
      </c>
    </row>
    <row r="928" spans="1:14" x14ac:dyDescent="0.3">
      <c r="A928" s="271">
        <v>927</v>
      </c>
      <c r="B928" s="264">
        <v>45852</v>
      </c>
      <c r="C928" s="292" t="s">
        <v>2891</v>
      </c>
      <c r="E928" s="292" t="s">
        <v>2396</v>
      </c>
      <c r="F928" s="269" t="s">
        <v>2894</v>
      </c>
      <c r="G928" s="265">
        <v>1100000</v>
      </c>
      <c r="H928" s="269">
        <v>1</v>
      </c>
      <c r="K928" s="265">
        <v>1100000</v>
      </c>
      <c r="M928" s="269"/>
      <c r="N928" t="s">
        <v>2881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2881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2929</v>
      </c>
      <c r="N930" t="s">
        <v>2881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2854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2881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2881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2881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2881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2926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2881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2881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2881</v>
      </c>
    </row>
    <row r="941" spans="1:14" x14ac:dyDescent="0.3">
      <c r="A941" s="271">
        <v>940</v>
      </c>
      <c r="B941" s="264">
        <v>45853</v>
      </c>
      <c r="C941" s="292" t="s">
        <v>2914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2881</v>
      </c>
    </row>
    <row r="942" spans="1:14" x14ac:dyDescent="0.3">
      <c r="A942" s="271">
        <v>941</v>
      </c>
      <c r="B942" s="264">
        <v>45853</v>
      </c>
      <c r="C942" s="292" t="s">
        <v>2914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2881</v>
      </c>
    </row>
    <row r="943" spans="1:14" x14ac:dyDescent="0.3">
      <c r="A943" s="271">
        <v>942</v>
      </c>
      <c r="B943" s="264">
        <v>45853</v>
      </c>
      <c r="C943" s="292" t="s">
        <v>2914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2881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2881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2593</v>
      </c>
      <c r="F945" s="269" t="s">
        <v>2592</v>
      </c>
      <c r="G945" s="265">
        <v>1500000</v>
      </c>
      <c r="H945" s="269">
        <v>1</v>
      </c>
      <c r="J945" s="266" t="s">
        <v>2925</v>
      </c>
      <c r="K945" s="265">
        <v>1650000</v>
      </c>
      <c r="M945" s="269"/>
      <c r="N945" t="s">
        <v>2881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2881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2881</v>
      </c>
    </row>
    <row r="948" spans="1:14" x14ac:dyDescent="0.3">
      <c r="A948" s="271">
        <v>947</v>
      </c>
      <c r="B948" s="264">
        <v>45853</v>
      </c>
      <c r="C948" s="292" t="s">
        <v>2908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2881</v>
      </c>
    </row>
    <row r="949" spans="1:14" x14ac:dyDescent="0.3">
      <c r="A949" s="271">
        <v>948</v>
      </c>
      <c r="B949" s="264">
        <v>45853</v>
      </c>
      <c r="C949" s="292" t="s">
        <v>2908</v>
      </c>
      <c r="E949" s="292" t="s">
        <v>2922</v>
      </c>
      <c r="G949" s="265">
        <v>50000</v>
      </c>
      <c r="H949" s="269">
        <v>1</v>
      </c>
      <c r="K949" s="265">
        <v>50000</v>
      </c>
      <c r="M949" s="269"/>
      <c r="N949" t="s">
        <v>2881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2731</v>
      </c>
      <c r="F950" s="269" t="s">
        <v>2730</v>
      </c>
      <c r="G950" s="265">
        <v>1550000</v>
      </c>
      <c r="H950" s="269">
        <v>1</v>
      </c>
      <c r="K950" s="265">
        <v>1550000</v>
      </c>
      <c r="M950" s="269"/>
      <c r="N950" t="s">
        <v>2881</v>
      </c>
    </row>
    <row r="951" spans="1:14" x14ac:dyDescent="0.3">
      <c r="A951" s="271">
        <v>950</v>
      </c>
      <c r="B951" s="264">
        <v>45853</v>
      </c>
      <c r="C951" s="292" t="s">
        <v>2914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2881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2881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2881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2881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2881</v>
      </c>
    </row>
    <row r="959" spans="1:14" x14ac:dyDescent="0.3">
      <c r="A959" s="271">
        <v>958</v>
      </c>
      <c r="B959" s="264">
        <v>45854</v>
      </c>
      <c r="C959" s="292" t="s">
        <v>2934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2881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2934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2908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2891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2881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2881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2942</v>
      </c>
      <c r="G969" s="265">
        <v>35000</v>
      </c>
      <c r="H969" s="269">
        <v>1</v>
      </c>
      <c r="K969" s="265">
        <v>35000</v>
      </c>
      <c r="M969" s="269"/>
      <c r="N969" t="s">
        <v>2881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2881</v>
      </c>
    </row>
    <row r="971" spans="1:14" x14ac:dyDescent="0.3">
      <c r="A971" s="271">
        <v>970</v>
      </c>
      <c r="B971" s="264">
        <v>45855</v>
      </c>
      <c r="C971" s="292" t="s">
        <v>2641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2881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2881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3003</v>
      </c>
      <c r="K973" s="265">
        <v>561000</v>
      </c>
      <c r="M973" s="269"/>
      <c r="N973" t="s">
        <v>2881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2881</v>
      </c>
    </row>
    <row r="975" spans="1:14" x14ac:dyDescent="0.3">
      <c r="A975" s="271">
        <v>974</v>
      </c>
      <c r="B975" s="264">
        <v>45856</v>
      </c>
      <c r="C975" s="292" t="s">
        <v>2953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2881</v>
      </c>
    </row>
    <row r="976" spans="1:14" x14ac:dyDescent="0.3">
      <c r="A976" s="271">
        <v>975</v>
      </c>
      <c r="B976" s="264">
        <v>45856</v>
      </c>
      <c r="C976" s="292" t="s">
        <v>2953</v>
      </c>
      <c r="E976" s="292" t="s">
        <v>2956</v>
      </c>
      <c r="G976" s="265">
        <v>100000</v>
      </c>
      <c r="H976" s="269">
        <v>1</v>
      </c>
      <c r="K976" s="265">
        <v>100000</v>
      </c>
      <c r="M976" s="269"/>
      <c r="N976" t="s">
        <v>2881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2958</v>
      </c>
      <c r="G977" s="265">
        <v>1000000</v>
      </c>
      <c r="H977" s="269">
        <v>1</v>
      </c>
      <c r="K977" s="265">
        <v>1000000</v>
      </c>
      <c r="M977" s="269"/>
      <c r="N977" t="s">
        <v>2881</v>
      </c>
    </row>
    <row r="978" spans="1:14" x14ac:dyDescent="0.3">
      <c r="A978" s="271">
        <v>977</v>
      </c>
      <c r="B978" s="264">
        <v>45856</v>
      </c>
      <c r="C978" s="292" t="s">
        <v>2960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2881</v>
      </c>
    </row>
    <row r="979" spans="1:14" x14ac:dyDescent="0.3">
      <c r="A979" s="271">
        <v>978</v>
      </c>
      <c r="B979" s="264">
        <v>45856</v>
      </c>
      <c r="C979" s="292" t="s">
        <v>2960</v>
      </c>
      <c r="E979" s="292" t="s">
        <v>2961</v>
      </c>
      <c r="G979" s="265">
        <v>200000</v>
      </c>
      <c r="H979" s="269">
        <v>1</v>
      </c>
      <c r="K979" s="265">
        <v>200000</v>
      </c>
      <c r="M979" s="269"/>
      <c r="N979" t="s">
        <v>2881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2881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2881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2881</v>
      </c>
    </row>
    <row r="983" spans="1:14" x14ac:dyDescent="0.3">
      <c r="A983" s="271">
        <v>982</v>
      </c>
      <c r="B983" s="264">
        <v>45856</v>
      </c>
      <c r="C983" s="292" t="s">
        <v>2960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2953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2881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2641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2626</v>
      </c>
      <c r="E988" s="292" t="s">
        <v>2970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2881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2973</v>
      </c>
      <c r="F989" s="269" t="s">
        <v>2972</v>
      </c>
      <c r="G989" s="265">
        <v>500000</v>
      </c>
      <c r="H989" s="269">
        <v>1</v>
      </c>
      <c r="K989" s="265">
        <v>500000</v>
      </c>
      <c r="M989" s="269"/>
      <c r="N989" t="s">
        <v>2881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2881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2881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2881</v>
      </c>
    </row>
    <row r="993" spans="1:14" x14ac:dyDescent="0.3">
      <c r="A993" s="58">
        <v>991</v>
      </c>
      <c r="B993" s="264">
        <v>45859</v>
      </c>
      <c r="C993" s="292" t="s">
        <v>2626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2881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2881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2881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2881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2881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2881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2881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2881</v>
      </c>
    </row>
    <row r="1004" spans="1:14" x14ac:dyDescent="0.3">
      <c r="A1004" s="58">
        <v>1002</v>
      </c>
      <c r="B1004" s="264">
        <v>45860</v>
      </c>
      <c r="C1004" s="292" t="s">
        <v>2982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2881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2881</v>
      </c>
    </row>
    <row r="1006" spans="1:14" x14ac:dyDescent="0.3">
      <c r="A1006" s="58">
        <v>1004</v>
      </c>
      <c r="B1006" s="264">
        <v>45860</v>
      </c>
      <c r="C1006" s="292" t="s">
        <v>2989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2990</v>
      </c>
      <c r="K1006" s="265">
        <v>1320000</v>
      </c>
      <c r="M1006" s="269"/>
      <c r="N1006" t="s">
        <v>2881</v>
      </c>
    </row>
    <row r="1007" spans="1:14" x14ac:dyDescent="0.3">
      <c r="A1007" s="58">
        <v>1005</v>
      </c>
      <c r="B1007" s="264">
        <v>45860</v>
      </c>
      <c r="C1007" s="292" t="s">
        <v>2908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2982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2881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2993</v>
      </c>
      <c r="G1010" s="265">
        <v>20000</v>
      </c>
      <c r="H1010" s="269">
        <v>1</v>
      </c>
      <c r="K1010" s="265">
        <v>20000</v>
      </c>
      <c r="M1010" s="269"/>
      <c r="N1010" t="s">
        <v>2881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2881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2697</v>
      </c>
      <c r="G1012" s="265">
        <v>350000</v>
      </c>
      <c r="H1012" s="269">
        <v>1</v>
      </c>
      <c r="K1012" s="265">
        <v>350000</v>
      </c>
      <c r="M1012" s="269"/>
      <c r="N1012" t="s">
        <v>2881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2881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2881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2881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2881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2881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2881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2881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3001</v>
      </c>
      <c r="L1020" s="265">
        <v>-3150000</v>
      </c>
      <c r="M1020" s="269"/>
      <c r="N1020" t="s">
        <v>2881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3002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2881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2881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2881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2691</v>
      </c>
      <c r="G1028" s="265">
        <v>1600000</v>
      </c>
      <c r="H1028" s="269">
        <v>1</v>
      </c>
      <c r="J1028" s="266" t="s">
        <v>3018</v>
      </c>
      <c r="K1028" s="265">
        <v>1760000</v>
      </c>
      <c r="M1028" s="269"/>
      <c r="N1028" t="s">
        <v>2881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2881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2881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2881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2881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2881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3012</v>
      </c>
      <c r="F1034" s="269" t="s">
        <v>3013</v>
      </c>
      <c r="G1034" s="265">
        <v>-230000</v>
      </c>
      <c r="H1034" s="269">
        <v>1</v>
      </c>
      <c r="K1034" s="265">
        <v>-230000</v>
      </c>
      <c r="M1034" s="269"/>
      <c r="N1034" t="s">
        <v>2881</v>
      </c>
    </row>
    <row r="1035" spans="1:14" x14ac:dyDescent="0.3">
      <c r="A1035" s="58">
        <v>1033</v>
      </c>
      <c r="B1035" s="264">
        <v>45862</v>
      </c>
      <c r="C1035" s="292" t="s">
        <v>2484</v>
      </c>
      <c r="E1035" s="292" t="s">
        <v>2691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3088</v>
      </c>
      <c r="G1036" s="265">
        <v>50000</v>
      </c>
      <c r="H1036" s="269">
        <v>1</v>
      </c>
      <c r="K1036" s="265">
        <v>50000</v>
      </c>
      <c r="M1036" s="269"/>
      <c r="N1036" t="s">
        <v>2881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2881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2628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2881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3019</v>
      </c>
      <c r="G1039" s="265">
        <v>40000</v>
      </c>
      <c r="H1039" s="269">
        <v>1</v>
      </c>
      <c r="K1039" s="265">
        <v>40000</v>
      </c>
      <c r="M1039" s="269"/>
      <c r="N1039" t="s">
        <v>2881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3022</v>
      </c>
      <c r="F1041" s="269" t="s">
        <v>3023</v>
      </c>
      <c r="G1041" s="265">
        <v>2000000</v>
      </c>
      <c r="H1041" s="269">
        <v>1</v>
      </c>
      <c r="K1041" s="265">
        <v>2000000</v>
      </c>
      <c r="M1041" s="269"/>
      <c r="N1041" t="s">
        <v>2881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2881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2881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2881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2881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2881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2881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2881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3016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2881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2852</v>
      </c>
      <c r="G1058" s="265">
        <v>500000</v>
      </c>
      <c r="H1058" s="269">
        <v>1</v>
      </c>
      <c r="K1058" s="265">
        <v>500000</v>
      </c>
      <c r="M1058" s="269"/>
      <c r="N1058" t="s">
        <v>2881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2881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2881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2881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2881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2881</v>
      </c>
    </row>
    <row r="1064" spans="1:14" x14ac:dyDescent="0.3">
      <c r="A1064" s="58">
        <v>1062</v>
      </c>
      <c r="B1064" s="264">
        <v>45866</v>
      </c>
      <c r="C1064" s="292" t="s">
        <v>3040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2881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2881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2881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2881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2881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2881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2881</v>
      </c>
    </row>
    <row r="1071" spans="1:14" x14ac:dyDescent="0.3">
      <c r="A1071" s="58">
        <v>1069</v>
      </c>
      <c r="B1071" s="264">
        <v>45866</v>
      </c>
      <c r="C1071" s="292" t="s">
        <v>3040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3048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2881</v>
      </c>
    </row>
    <row r="1073" spans="1:14" x14ac:dyDescent="0.3">
      <c r="A1073" s="58">
        <v>1071</v>
      </c>
      <c r="B1073" s="264">
        <v>45866</v>
      </c>
      <c r="C1073" s="292" t="s">
        <v>3048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2881</v>
      </c>
    </row>
    <row r="1074" spans="1:14" x14ac:dyDescent="0.3">
      <c r="A1074" s="58">
        <v>1072</v>
      </c>
      <c r="B1074" s="264">
        <v>45866</v>
      </c>
      <c r="C1074" s="292" t="s">
        <v>3048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3002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3079</v>
      </c>
      <c r="F1084" s="269" t="s">
        <v>3078</v>
      </c>
      <c r="G1084" s="265">
        <v>250000</v>
      </c>
      <c r="H1084" s="269">
        <v>1</v>
      </c>
      <c r="K1084" s="265">
        <v>250000</v>
      </c>
      <c r="M1084" s="269"/>
      <c r="N1084" t="s">
        <v>2881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2881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2881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2881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2881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2881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2881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2536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2881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2632</v>
      </c>
      <c r="F1092" s="269" t="s">
        <v>2631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2881</v>
      </c>
    </row>
    <row r="1093" spans="1:14" x14ac:dyDescent="0.3">
      <c r="A1093" s="58">
        <v>1091</v>
      </c>
      <c r="B1093" s="264">
        <v>45867</v>
      </c>
      <c r="C1093" s="292" t="s">
        <v>2934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2881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3089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2881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2881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2881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2881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2934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2881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2881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2881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2881</v>
      </c>
    </row>
    <row r="1105" spans="1:14" x14ac:dyDescent="0.3">
      <c r="A1105" s="58">
        <v>1103</v>
      </c>
      <c r="B1105" s="264">
        <v>45868</v>
      </c>
      <c r="C1105" s="292" t="s">
        <v>2807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2881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2881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2881</v>
      </c>
    </row>
    <row r="1108" spans="1:14" x14ac:dyDescent="0.3">
      <c r="A1108" s="58">
        <v>1106</v>
      </c>
      <c r="B1108" s="264">
        <v>45868</v>
      </c>
      <c r="C1108" s="292" t="s">
        <v>3096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2881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2881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2743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2807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3096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2881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2881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2881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2881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2881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2582</v>
      </c>
      <c r="F1124" s="269" t="s">
        <v>2581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2881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2881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3112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3112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3129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2858</v>
      </c>
      <c r="F1154" s="269" t="s">
        <v>2768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3134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3135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3138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3134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3140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3140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3162</v>
      </c>
      <c r="G1180" s="265">
        <v>1300000</v>
      </c>
      <c r="H1180" s="269">
        <v>1</v>
      </c>
      <c r="J1180" s="266" t="s">
        <v>3163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3159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3140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3156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2823</v>
      </c>
      <c r="F1189" s="269" t="s">
        <v>2822</v>
      </c>
      <c r="G1189" s="265">
        <v>250000</v>
      </c>
      <c r="H1189" s="269">
        <v>1</v>
      </c>
      <c r="K1189" s="265">
        <v>250000</v>
      </c>
      <c r="M1189" s="269" t="s">
        <v>3164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2801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2801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3168</v>
      </c>
      <c r="F1194" s="269" t="s">
        <v>2766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2801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3169</v>
      </c>
      <c r="E1200" s="292" t="s">
        <v>1504</v>
      </c>
      <c r="F1200" s="269" t="s">
        <v>2697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3169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3169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3171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3171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3181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3181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2858</v>
      </c>
      <c r="F1218" s="269" t="s">
        <v>2768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2934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2934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2793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3195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2478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3197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3181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3206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3206</v>
      </c>
      <c r="E1247" s="292" t="s">
        <v>1504</v>
      </c>
      <c r="F1247" s="269" t="s">
        <v>2697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3203</v>
      </c>
      <c r="E1248" s="292" t="s">
        <v>3211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3206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3203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3227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3216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3219</v>
      </c>
    </row>
    <row r="1260" spans="1:13" x14ac:dyDescent="0.3">
      <c r="A1260" s="58">
        <v>1258</v>
      </c>
      <c r="B1260" s="264">
        <v>45883</v>
      </c>
      <c r="C1260" s="292" t="s">
        <v>3221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3222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3357</v>
      </c>
      <c r="F1261" s="269" t="s">
        <v>3358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3240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2669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3230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3230</v>
      </c>
      <c r="E1270" s="292" t="s">
        <v>2858</v>
      </c>
      <c r="F1270" s="269" t="s">
        <v>2768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3221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3245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3249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3251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3253</v>
      </c>
    </row>
    <row r="1293" spans="1:13" x14ac:dyDescent="0.3">
      <c r="A1293" s="58">
        <v>1291</v>
      </c>
      <c r="B1293" s="264">
        <v>45887</v>
      </c>
      <c r="C1293" s="292" t="s">
        <v>3230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2793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3255</v>
      </c>
    </row>
    <row r="1297" spans="1:14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3260</v>
      </c>
    </row>
    <row r="1302" spans="1:14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2626</v>
      </c>
      <c r="E1303" s="292" t="s">
        <v>1130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3262</v>
      </c>
    </row>
    <row r="1305" spans="1:14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3266</v>
      </c>
    </row>
    <row r="1308" spans="1:14" x14ac:dyDescent="0.3">
      <c r="A1308" s="58">
        <v>1306</v>
      </c>
      <c r="B1308" s="264">
        <v>45889</v>
      </c>
      <c r="C1308" s="292" t="s">
        <v>2572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2379</v>
      </c>
      <c r="E1310" s="292" t="s">
        <v>3269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3514</v>
      </c>
    </row>
    <row r="1312" spans="1:14" x14ac:dyDescent="0.3">
      <c r="A1312" s="58">
        <v>1310</v>
      </c>
      <c r="B1312" s="264">
        <v>45890</v>
      </c>
      <c r="C1312" s="292" t="s">
        <v>2934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  <c r="N1312" t="s">
        <v>3514</v>
      </c>
    </row>
    <row r="1313" spans="1:14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2572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  <c r="N1315" t="s">
        <v>3514</v>
      </c>
    </row>
    <row r="1316" spans="1:14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3275</v>
      </c>
    </row>
    <row r="1317" spans="1:14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1407</v>
      </c>
      <c r="E1318" s="292" t="s">
        <v>3277</v>
      </c>
      <c r="H1318" s="269">
        <v>1</v>
      </c>
      <c r="L1318" s="265">
        <v>-600000</v>
      </c>
      <c r="M1318" s="269" t="s">
        <v>3278</v>
      </c>
    </row>
    <row r="1319" spans="1:14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3140</v>
      </c>
      <c r="E1320" s="292" t="s">
        <v>2430</v>
      </c>
      <c r="F1320" s="269" t="s">
        <v>2766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3514</v>
      </c>
    </row>
    <row r="1321" spans="1:14" x14ac:dyDescent="0.3">
      <c r="A1321" s="58">
        <v>1319</v>
      </c>
      <c r="B1321" s="264">
        <v>45890</v>
      </c>
      <c r="C1321" s="292" t="s">
        <v>2934</v>
      </c>
      <c r="E1321" s="292" t="s">
        <v>1130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3140</v>
      </c>
      <c r="E1322" s="292" t="s">
        <v>1130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2572</v>
      </c>
      <c r="E1324" s="292" t="s">
        <v>1130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2876</v>
      </c>
      <c r="E1326" s="292" t="s">
        <v>2832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3514</v>
      </c>
    </row>
    <row r="1327" spans="1:14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3514</v>
      </c>
    </row>
    <row r="1328" spans="1:14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3284</v>
      </c>
      <c r="N1328" t="s">
        <v>3514</v>
      </c>
    </row>
    <row r="1329" spans="1:14" x14ac:dyDescent="0.3">
      <c r="A1329" s="58">
        <v>1327</v>
      </c>
      <c r="B1329" s="264">
        <v>45891</v>
      </c>
      <c r="C1329" s="292" t="s">
        <v>3286</v>
      </c>
      <c r="E1329" s="292" t="s">
        <v>3289</v>
      </c>
      <c r="G1329" s="265">
        <v>200000</v>
      </c>
      <c r="H1329" s="269">
        <v>1</v>
      </c>
      <c r="K1329" s="265">
        <v>200000</v>
      </c>
      <c r="M1329" s="269"/>
      <c r="N1329" t="s">
        <v>3514</v>
      </c>
    </row>
    <row r="1330" spans="1:14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3514</v>
      </c>
    </row>
    <row r="1331" spans="1:14" x14ac:dyDescent="0.3">
      <c r="A1331" s="58">
        <v>1329</v>
      </c>
      <c r="B1331" s="264">
        <v>45891</v>
      </c>
      <c r="C1331" s="292" t="s">
        <v>3292</v>
      </c>
      <c r="E1331" s="292" t="s">
        <v>3296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3297</v>
      </c>
      <c r="N1331" t="s">
        <v>3514</v>
      </c>
    </row>
    <row r="1332" spans="1:14" x14ac:dyDescent="0.3">
      <c r="A1332" s="58">
        <v>1330</v>
      </c>
      <c r="B1332" s="264">
        <v>45891</v>
      </c>
      <c r="C1332" s="292" t="s">
        <v>3286</v>
      </c>
      <c r="E1332" s="292" t="s">
        <v>1130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3292</v>
      </c>
      <c r="E1333" s="292" t="s">
        <v>1130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2876</v>
      </c>
      <c r="E1334" s="292" t="s">
        <v>1130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2572</v>
      </c>
      <c r="E1335" s="292" t="s">
        <v>1130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3514</v>
      </c>
    </row>
    <row r="1337" spans="1:14" x14ac:dyDescent="0.3">
      <c r="A1337" s="58">
        <v>1335</v>
      </c>
      <c r="B1337" s="264">
        <v>45892</v>
      </c>
      <c r="C1337" s="292" t="s">
        <v>2626</v>
      </c>
      <c r="E1337" s="292" t="s">
        <v>1755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3514</v>
      </c>
    </row>
    <row r="1342" spans="1:14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  <c r="N1342" t="s">
        <v>3514</v>
      </c>
    </row>
    <row r="1343" spans="1:14" x14ac:dyDescent="0.3">
      <c r="A1343" s="58">
        <v>1341</v>
      </c>
      <c r="B1343" s="264">
        <v>45894</v>
      </c>
      <c r="C1343" s="292" t="s">
        <v>1407</v>
      </c>
      <c r="E1343" s="292" t="s">
        <v>2858</v>
      </c>
      <c r="F1343" s="269" t="s">
        <v>2768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  <c r="N1344" t="s">
        <v>3514</v>
      </c>
    </row>
    <row r="1345" spans="1:14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  <c r="N1345" t="s">
        <v>3514</v>
      </c>
    </row>
    <row r="1346" spans="1:14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  <c r="N1346" t="s">
        <v>3514</v>
      </c>
    </row>
    <row r="1347" spans="1:14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  <c r="N1347" t="s">
        <v>3514</v>
      </c>
    </row>
    <row r="1348" spans="1:14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3140</v>
      </c>
      <c r="E1352" s="292" t="s">
        <v>3309</v>
      </c>
      <c r="F1352" s="269" t="s">
        <v>3310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3514</v>
      </c>
    </row>
    <row r="1353" spans="1:14" x14ac:dyDescent="0.3">
      <c r="A1353" s="58">
        <v>1351</v>
      </c>
      <c r="B1353" s="264">
        <v>45894</v>
      </c>
      <c r="C1353" s="292" t="s">
        <v>2934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3514</v>
      </c>
    </row>
    <row r="1354" spans="1:14" x14ac:dyDescent="0.3">
      <c r="A1354" s="58">
        <v>1352</v>
      </c>
      <c r="B1354" s="264">
        <v>45894</v>
      </c>
      <c r="C1354" s="292" t="s">
        <v>1585</v>
      </c>
      <c r="E1354" s="292" t="s">
        <v>2937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3514</v>
      </c>
    </row>
    <row r="1355" spans="1:14" x14ac:dyDescent="0.3">
      <c r="A1355" s="58">
        <v>1353</v>
      </c>
      <c r="B1355" s="264">
        <v>45894</v>
      </c>
      <c r="C1355" s="292" t="s">
        <v>2304</v>
      </c>
      <c r="E1355" s="292" t="s">
        <v>3089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3514</v>
      </c>
    </row>
    <row r="1356" spans="1:14" x14ac:dyDescent="0.3">
      <c r="A1356" s="58">
        <v>1354</v>
      </c>
      <c r="B1356" s="264">
        <v>45894</v>
      </c>
      <c r="C1356" s="292" t="s">
        <v>2572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  <c r="N1356" t="s">
        <v>3514</v>
      </c>
    </row>
    <row r="1357" spans="1:14" x14ac:dyDescent="0.3">
      <c r="A1357" s="58">
        <v>1355</v>
      </c>
      <c r="B1357" s="264">
        <v>45894</v>
      </c>
      <c r="C1357" s="292" t="s">
        <v>2572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3514</v>
      </c>
    </row>
    <row r="1358" spans="1:14" x14ac:dyDescent="0.3">
      <c r="A1358" s="58">
        <v>1356</v>
      </c>
      <c r="B1358" s="264">
        <v>45894</v>
      </c>
      <c r="C1358" s="292" t="s">
        <v>3317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  <c r="N1358" t="s">
        <v>3514</v>
      </c>
    </row>
    <row r="1359" spans="1:14" x14ac:dyDescent="0.3">
      <c r="A1359" s="58">
        <v>1357</v>
      </c>
      <c r="B1359" s="264">
        <v>45894</v>
      </c>
      <c r="C1359" s="292" t="s">
        <v>3317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  <c r="N1359" t="s">
        <v>3514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3514</v>
      </c>
    </row>
    <row r="1361" spans="1:14" x14ac:dyDescent="0.3">
      <c r="A1361" s="58">
        <v>1359</v>
      </c>
      <c r="B1361" s="264">
        <v>45894</v>
      </c>
      <c r="C1361" s="292" t="s">
        <v>2422</v>
      </c>
      <c r="E1361" s="292" t="s">
        <v>3324</v>
      </c>
      <c r="G1361" s="265">
        <v>300000</v>
      </c>
      <c r="H1361" s="269">
        <v>1</v>
      </c>
      <c r="K1361" s="265">
        <v>300000</v>
      </c>
      <c r="M1361" s="269"/>
      <c r="N1361" t="s">
        <v>3514</v>
      </c>
    </row>
    <row r="1362" spans="1:14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3514</v>
      </c>
    </row>
    <row r="1363" spans="1:14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3514</v>
      </c>
    </row>
    <row r="1364" spans="1:14" x14ac:dyDescent="0.3">
      <c r="A1364" s="58">
        <v>1362</v>
      </c>
      <c r="B1364" s="264">
        <v>45894</v>
      </c>
      <c r="C1364" s="292" t="s">
        <v>1281</v>
      </c>
      <c r="E1364" s="292" t="s">
        <v>3004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3514</v>
      </c>
    </row>
    <row r="1365" spans="1:14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3514</v>
      </c>
    </row>
    <row r="1366" spans="1:14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3514</v>
      </c>
    </row>
    <row r="1367" spans="1:14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3514</v>
      </c>
    </row>
    <row r="1368" spans="1:14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3514</v>
      </c>
    </row>
    <row r="1369" spans="1:14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3514</v>
      </c>
    </row>
    <row r="1370" spans="1:14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3514</v>
      </c>
    </row>
    <row r="1371" spans="1:14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3514</v>
      </c>
    </row>
    <row r="1372" spans="1:14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3514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2227</v>
      </c>
      <c r="E1374" s="292" t="s">
        <v>3004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1452</v>
      </c>
      <c r="E1375" s="292" t="s">
        <v>3330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1452</v>
      </c>
      <c r="E1376" s="292" t="s">
        <v>3331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2934</v>
      </c>
      <c r="E1381" s="292" t="s">
        <v>1130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3317</v>
      </c>
      <c r="E1382" s="292" t="s">
        <v>1130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  <c r="N1383" t="s">
        <v>3514</v>
      </c>
    </row>
    <row r="1384" spans="1:14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  <c r="N1384" t="s">
        <v>3514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1588</v>
      </c>
      <c r="E1386" s="292" t="s">
        <v>3336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  <c r="N1387" t="s">
        <v>3514</v>
      </c>
    </row>
    <row r="1388" spans="1:14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3514</v>
      </c>
    </row>
    <row r="1389" spans="1:14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  <c r="N1389" t="s">
        <v>3514</v>
      </c>
    </row>
    <row r="1390" spans="1:14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3514</v>
      </c>
    </row>
    <row r="1391" spans="1:14" x14ac:dyDescent="0.3">
      <c r="A1391" s="58">
        <v>1391</v>
      </c>
      <c r="B1391" s="264">
        <v>45895</v>
      </c>
      <c r="C1391" s="292" t="s">
        <v>2876</v>
      </c>
      <c r="E1391" s="292" t="s">
        <v>3340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3514</v>
      </c>
    </row>
    <row r="1392" spans="1:14" x14ac:dyDescent="0.3">
      <c r="A1392" s="58">
        <v>1392</v>
      </c>
      <c r="B1392" s="264">
        <v>45895</v>
      </c>
      <c r="C1392" s="292" t="s">
        <v>2876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  <c r="N1392" t="s">
        <v>3514</v>
      </c>
    </row>
    <row r="1393" spans="1:14" x14ac:dyDescent="0.3">
      <c r="A1393" s="58">
        <v>1392</v>
      </c>
      <c r="B1393" s="264">
        <v>45895</v>
      </c>
      <c r="C1393" s="292" t="s">
        <v>2876</v>
      </c>
      <c r="E1393" s="292" t="s">
        <v>1130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  <c r="N1396" t="s">
        <v>3514</v>
      </c>
    </row>
    <row r="1397" spans="1:14" x14ac:dyDescent="0.3">
      <c r="A1397" s="58">
        <v>1396</v>
      </c>
      <c r="B1397" s="264">
        <v>45896</v>
      </c>
      <c r="C1397" s="292" t="s">
        <v>1481</v>
      </c>
      <c r="E1397" s="292" t="s">
        <v>3344</v>
      </c>
      <c r="F1397" s="269" t="s">
        <v>3345</v>
      </c>
      <c r="M1397" s="269"/>
      <c r="N1397" t="s">
        <v>3514</v>
      </c>
    </row>
    <row r="1398" spans="1:14" x14ac:dyDescent="0.3">
      <c r="A1398" s="58">
        <v>1397</v>
      </c>
      <c r="B1398" s="264">
        <v>45896</v>
      </c>
      <c r="C1398" s="292" t="s">
        <v>3134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3347</v>
      </c>
      <c r="N1398" t="s">
        <v>3514</v>
      </c>
    </row>
    <row r="1399" spans="1:14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2766</v>
      </c>
      <c r="G1400" s="265">
        <v>1100000</v>
      </c>
      <c r="H1400" s="269">
        <v>1</v>
      </c>
      <c r="K1400" s="265">
        <v>1100000</v>
      </c>
      <c r="M1400" s="269"/>
      <c r="N1400" t="s">
        <v>3514</v>
      </c>
    </row>
    <row r="1401" spans="1:14" x14ac:dyDescent="0.3">
      <c r="A1401" s="58">
        <v>1400</v>
      </c>
      <c r="B1401" s="264">
        <v>45896</v>
      </c>
      <c r="C1401" s="292" t="s">
        <v>2480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3514</v>
      </c>
    </row>
    <row r="1402" spans="1:14" x14ac:dyDescent="0.3">
      <c r="A1402" s="58">
        <v>1401</v>
      </c>
      <c r="B1402" s="264">
        <v>45896</v>
      </c>
      <c r="C1402" s="292" t="s">
        <v>2572</v>
      </c>
      <c r="E1402" s="292" t="s">
        <v>3352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3134</v>
      </c>
      <c r="E1403" s="292" t="s">
        <v>1130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2479</v>
      </c>
      <c r="E1405" s="292" t="s">
        <v>1130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3140</v>
      </c>
      <c r="E1406" s="292" t="s">
        <v>1130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2613</v>
      </c>
      <c r="E1407" s="292" t="s">
        <v>1130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1294</v>
      </c>
      <c r="E1408" s="292" t="s">
        <v>3366</v>
      </c>
      <c r="G1408" s="265">
        <v>2500000</v>
      </c>
      <c r="H1408" s="269">
        <v>1</v>
      </c>
      <c r="J1408" s="266" t="s">
        <v>3367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  <c r="N1409" t="s">
        <v>3514</v>
      </c>
    </row>
    <row r="1410" spans="1:14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3514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  <c r="N1411" t="s">
        <v>3514</v>
      </c>
    </row>
    <row r="1412" spans="1:14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  <c r="N1412" t="s">
        <v>3514</v>
      </c>
    </row>
    <row r="1413" spans="1:14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  <c r="N1413" t="s">
        <v>3514</v>
      </c>
    </row>
    <row r="1414" spans="1:14" x14ac:dyDescent="0.3">
      <c r="A1414" s="58">
        <v>1413</v>
      </c>
      <c r="B1414" s="264">
        <v>45897</v>
      </c>
      <c r="C1414" s="292" t="s">
        <v>1585</v>
      </c>
      <c r="E1414" s="292" t="s">
        <v>2937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3514</v>
      </c>
    </row>
    <row r="1415" spans="1:14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  <c r="N1415" t="s">
        <v>3514</v>
      </c>
    </row>
    <row r="1416" spans="1:14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  <c r="N1416" t="s">
        <v>3514</v>
      </c>
    </row>
    <row r="1417" spans="1:14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  <c r="N1424" t="s">
        <v>3514</v>
      </c>
    </row>
    <row r="1425" spans="1:14" x14ac:dyDescent="0.3">
      <c r="A1425" s="58">
        <v>1424</v>
      </c>
      <c r="B1425" s="264">
        <v>45898</v>
      </c>
      <c r="C1425" s="292" t="s">
        <v>3016</v>
      </c>
      <c r="E1425" s="292" t="s">
        <v>3369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3514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3391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  <c r="N1427" t="s">
        <v>3514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2681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  <c r="N1428" t="s">
        <v>3514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  <c r="N1429" t="s">
        <v>3514</v>
      </c>
    </row>
    <row r="1430" spans="1:14" x14ac:dyDescent="0.3">
      <c r="A1430" s="58">
        <v>1429</v>
      </c>
      <c r="B1430" s="264">
        <v>45898</v>
      </c>
      <c r="C1430" s="292" t="s">
        <v>3515</v>
      </c>
      <c r="E1430" s="292" t="s">
        <v>3516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3515</v>
      </c>
      <c r="E1431" s="292" t="s">
        <v>3517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3515</v>
      </c>
      <c r="E1432" s="292" t="s">
        <v>3518</v>
      </c>
      <c r="F1432" s="269" t="s">
        <v>3519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3515</v>
      </c>
      <c r="E1433" s="292" t="s">
        <v>3520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3515</v>
      </c>
      <c r="E1434" s="292" t="s">
        <v>3521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  <c r="N1435" t="s">
        <v>3514</v>
      </c>
    </row>
    <row r="1436" spans="1:14" x14ac:dyDescent="0.3">
      <c r="A1436" s="58">
        <v>1435</v>
      </c>
      <c r="B1436" s="264">
        <v>45898</v>
      </c>
      <c r="C1436" s="292" t="s">
        <v>3221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  <c r="N1436" t="s">
        <v>3514</v>
      </c>
    </row>
    <row r="1437" spans="1:14" x14ac:dyDescent="0.3">
      <c r="A1437" s="58">
        <v>1436</v>
      </c>
      <c r="B1437" s="264">
        <v>45898</v>
      </c>
      <c r="C1437" s="292" t="s">
        <v>3221</v>
      </c>
      <c r="E1437" s="292" t="s">
        <v>1130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2926</v>
      </c>
      <c r="E1438" s="292" t="s">
        <v>2675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3392</v>
      </c>
      <c r="N1438" t="s">
        <v>3514</v>
      </c>
    </row>
    <row r="1439" spans="1:14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3514</v>
      </c>
    </row>
    <row r="1440" spans="1:14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2858</v>
      </c>
      <c r="F1449" s="269" t="s">
        <v>2768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3515</v>
      </c>
      <c r="E1453" s="292" t="s">
        <v>3522</v>
      </c>
      <c r="F1453" s="269" t="s">
        <v>3523</v>
      </c>
      <c r="G1453" s="265">
        <v>800000</v>
      </c>
      <c r="H1453" s="269">
        <v>1</v>
      </c>
      <c r="K1453" s="265">
        <v>800000</v>
      </c>
      <c r="M1453" s="269" t="s">
        <v>3524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2780</v>
      </c>
      <c r="E1458" s="292" t="s">
        <v>2823</v>
      </c>
      <c r="F1458" s="269" t="s">
        <v>2822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2780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3376</v>
      </c>
      <c r="E1460" s="292" t="s">
        <v>3079</v>
      </c>
      <c r="F1460" s="269" t="s">
        <v>3078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3016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2780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3376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2887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3016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3016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3399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3405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3407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3317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3476</v>
      </c>
      <c r="E1489" s="292" t="s">
        <v>3477</v>
      </c>
      <c r="F1489" s="269" t="s">
        <v>3478</v>
      </c>
      <c r="G1489" s="265">
        <v>1850000</v>
      </c>
      <c r="H1489" s="269">
        <v>1</v>
      </c>
      <c r="J1489" s="266" t="s">
        <v>3479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4" x14ac:dyDescent="0.3">
      <c r="A1491" s="58">
        <v>1490</v>
      </c>
      <c r="B1491" s="264">
        <v>45903</v>
      </c>
      <c r="C1491" s="292" t="s">
        <v>3418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4" x14ac:dyDescent="0.3">
      <c r="A1494" s="58">
        <v>1493</v>
      </c>
      <c r="B1494" s="264">
        <v>45903</v>
      </c>
      <c r="C1494" s="292" t="s">
        <v>1858</v>
      </c>
      <c r="E1494" s="292" t="s">
        <v>2832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3425</v>
      </c>
    </row>
    <row r="1495" spans="1:14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3514</v>
      </c>
    </row>
    <row r="1497" spans="1:14" x14ac:dyDescent="0.3">
      <c r="A1497" s="58">
        <v>1496</v>
      </c>
      <c r="B1497" s="264">
        <v>45904</v>
      </c>
      <c r="C1497" s="292" t="s">
        <v>3459</v>
      </c>
      <c r="E1497" s="292" t="s">
        <v>3460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3317</v>
      </c>
      <c r="E1499" s="292" t="s">
        <v>1809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3427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2697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1502</v>
      </c>
      <c r="E1505" s="292" t="s">
        <v>3445</v>
      </c>
      <c r="F1505" s="269" t="s">
        <v>3444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3435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3435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2934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3427</v>
      </c>
      <c r="E1513" s="292" t="s">
        <v>1130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2934</v>
      </c>
      <c r="E1514" s="292" t="s">
        <v>1130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1502</v>
      </c>
      <c r="E1515" s="292" t="s">
        <v>3461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1756</v>
      </c>
      <c r="E1517" s="292" t="s">
        <v>3462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3463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3464</v>
      </c>
      <c r="N1519" t="s">
        <v>3514</v>
      </c>
    </row>
    <row r="1520" spans="1:14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3467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3070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3470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3169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3169</v>
      </c>
      <c r="E1529" s="292" t="s">
        <v>2124</v>
      </c>
      <c r="F1529" s="269" t="s">
        <v>2598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3481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2858</v>
      </c>
      <c r="F1532" s="269" t="s">
        <v>2768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3169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3481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3435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3488</v>
      </c>
      <c r="E1539" s="292" t="s">
        <v>3495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3488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3488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3488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3016</v>
      </c>
      <c r="E1543" s="292" t="s">
        <v>3498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3491</v>
      </c>
      <c r="E1544" s="292" t="s">
        <v>3500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3488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3491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3502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3495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1588</v>
      </c>
      <c r="E1555" s="292" t="s">
        <v>3495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1679</v>
      </c>
      <c r="E1556" s="292" t="s">
        <v>3508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1487</v>
      </c>
      <c r="E1558" s="292" t="s">
        <v>3495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1809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1562</v>
      </c>
      <c r="E1564" s="292" t="s">
        <v>1130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1313</v>
      </c>
      <c r="E1565" s="292" t="s">
        <v>1130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1179</v>
      </c>
      <c r="E1566" s="292" t="s">
        <v>1130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3552</v>
      </c>
      <c r="E1567" s="292" t="s">
        <v>3553</v>
      </c>
      <c r="G1567" s="265">
        <v>1100000</v>
      </c>
      <c r="H1567" s="269">
        <v>1</v>
      </c>
      <c r="J1567" s="266" t="s">
        <v>3554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2422</v>
      </c>
      <c r="E1568" s="292" t="s">
        <v>2201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2198</v>
      </c>
      <c r="F1569" s="269" t="s">
        <v>1207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2479</v>
      </c>
      <c r="E1570" s="292" t="s">
        <v>1725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1878</v>
      </c>
      <c r="E1571" s="292" t="s">
        <v>2209</v>
      </c>
      <c r="F1571" s="269" t="s">
        <v>1205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1878</v>
      </c>
      <c r="E1572" s="292" t="s">
        <v>1130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2479</v>
      </c>
      <c r="E1573" s="292" t="s">
        <v>1130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1130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1457</v>
      </c>
      <c r="E1575" s="292" t="s">
        <v>3539</v>
      </c>
      <c r="F1575" s="269" t="s">
        <v>1214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1679</v>
      </c>
      <c r="E1576" s="292" t="s">
        <v>1210</v>
      </c>
      <c r="F1576" s="269" t="s">
        <v>1761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1679</v>
      </c>
      <c r="E1577" s="292" t="s">
        <v>1504</v>
      </c>
      <c r="F1577" s="269" t="s">
        <v>2697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1881</v>
      </c>
      <c r="E1578" s="292" t="s">
        <v>2198</v>
      </c>
      <c r="F1578" s="269" t="s">
        <v>1207</v>
      </c>
      <c r="G1578" s="265">
        <v>900000</v>
      </c>
      <c r="H1578" s="269">
        <v>1</v>
      </c>
      <c r="K1578" s="265">
        <v>900000</v>
      </c>
      <c r="M1578" s="292" t="s">
        <v>3533</v>
      </c>
    </row>
    <row r="1579" spans="1:13" x14ac:dyDescent="0.3">
      <c r="A1579" s="58">
        <v>1573</v>
      </c>
      <c r="B1579" s="264">
        <v>45910</v>
      </c>
      <c r="C1579" s="292" t="s">
        <v>1549</v>
      </c>
      <c r="E1579" s="292" t="s">
        <v>1210</v>
      </c>
      <c r="F1579" s="269" t="s">
        <v>1761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1549</v>
      </c>
      <c r="E1580" s="292" t="s">
        <v>3538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3535</v>
      </c>
      <c r="E1581" s="292" t="s">
        <v>3495</v>
      </c>
      <c r="F1581" s="269" t="s">
        <v>1214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1452</v>
      </c>
      <c r="E1582" s="292" t="s">
        <v>3467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3418</v>
      </c>
      <c r="E1583" s="292" t="s">
        <v>2192</v>
      </c>
      <c r="F1583" s="269" t="s">
        <v>1208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3418</v>
      </c>
      <c r="E1584" s="292" t="s">
        <v>2193</v>
      </c>
      <c r="F1584" s="269" t="s">
        <v>1812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1452</v>
      </c>
      <c r="E1585" s="292" t="s">
        <v>3330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1313</v>
      </c>
      <c r="E1586" s="292" t="s">
        <v>2206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2801</v>
      </c>
      <c r="E1587" s="292" t="s">
        <v>2302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1799</v>
      </c>
      <c r="E1588" s="292" t="s">
        <v>2206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1799</v>
      </c>
      <c r="E1589" s="292" t="s">
        <v>3495</v>
      </c>
      <c r="F1589" s="269" t="s">
        <v>1214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1799</v>
      </c>
      <c r="E1590" s="292" t="s">
        <v>2204</v>
      </c>
      <c r="F1590" s="269" t="s">
        <v>1833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1799</v>
      </c>
      <c r="E1591" s="292" t="s">
        <v>2203</v>
      </c>
      <c r="F1591" s="269" t="s">
        <v>1804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1799</v>
      </c>
      <c r="E1592" s="292" t="s">
        <v>1527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1475</v>
      </c>
      <c r="E1593" s="292" t="s">
        <v>1130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3418</v>
      </c>
      <c r="E1594" s="292" t="s">
        <v>1130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1313</v>
      </c>
      <c r="E1595" s="292" t="s">
        <v>1130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1457</v>
      </c>
      <c r="E1596" s="292" t="s">
        <v>1130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2422</v>
      </c>
      <c r="E1597" s="292" t="s">
        <v>1130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1594</v>
      </c>
      <c r="E1598" s="292" t="s">
        <v>1130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2801</v>
      </c>
      <c r="E1599" s="292" t="s">
        <v>1130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3535</v>
      </c>
      <c r="E1600" s="292" t="s">
        <v>1130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1475</v>
      </c>
      <c r="E1601" s="292" t="s">
        <v>3244</v>
      </c>
      <c r="F1601" s="269" t="s">
        <v>3556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1087</v>
      </c>
      <c r="E1602" s="292" t="s">
        <v>2192</v>
      </c>
      <c r="F1602" s="269" t="s">
        <v>1208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1087</v>
      </c>
      <c r="E1603" s="292" t="s">
        <v>2193</v>
      </c>
      <c r="F1603" s="269" t="s">
        <v>1812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1821</v>
      </c>
      <c r="E1604" s="292" t="s">
        <v>1212</v>
      </c>
      <c r="F1604" s="269" t="s">
        <v>1211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2408</v>
      </c>
      <c r="F1605" s="269" t="s">
        <v>2905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1457</v>
      </c>
      <c r="E1606" s="292" t="s">
        <v>3407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1457</v>
      </c>
      <c r="E1607" s="292" t="s">
        <v>1557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1457</v>
      </c>
      <c r="E1608" s="292" t="s">
        <v>3563</v>
      </c>
      <c r="F1608" s="269" t="s">
        <v>3562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1407</v>
      </c>
      <c r="E1609" s="292" t="s">
        <v>2425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1799</v>
      </c>
      <c r="E1610" s="292" t="s">
        <v>3407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1799</v>
      </c>
      <c r="E1611" s="292" t="s">
        <v>1527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3134</v>
      </c>
      <c r="E1612" s="292" t="s">
        <v>1752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1588</v>
      </c>
      <c r="E1613" s="292" t="s">
        <v>1130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1130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3134</v>
      </c>
      <c r="E1615" s="292" t="s">
        <v>1130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1481</v>
      </c>
      <c r="E1616" s="292" t="s">
        <v>2208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1679</v>
      </c>
      <c r="E1617" s="292" t="s">
        <v>2430</v>
      </c>
      <c r="F1617" s="269" t="s">
        <v>2766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1730</v>
      </c>
      <c r="E1618" s="292" t="s">
        <v>1543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2934</v>
      </c>
      <c r="E1619" s="292" t="s">
        <v>2958</v>
      </c>
      <c r="F1619" s="269" t="s">
        <v>3136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1730</v>
      </c>
      <c r="E1620" s="292" t="s">
        <v>3574</v>
      </c>
      <c r="F1620" s="269" t="s">
        <v>2339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1477</v>
      </c>
      <c r="E1621" s="292" t="s">
        <v>2201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3577</v>
      </c>
      <c r="E1622" s="292" t="s">
        <v>3301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3582</v>
      </c>
      <c r="E1623" s="292" t="s">
        <v>3583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1457</v>
      </c>
      <c r="E1624" s="292" t="s">
        <v>1130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3577</v>
      </c>
      <c r="E1625" s="292" t="s">
        <v>1130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1730</v>
      </c>
      <c r="E1626" s="292" t="s">
        <v>1753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1457</v>
      </c>
      <c r="E1627" s="292" t="s">
        <v>1210</v>
      </c>
      <c r="F1627" s="269" t="s">
        <v>1761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1992</v>
      </c>
      <c r="E1628" s="292" t="s">
        <v>1212</v>
      </c>
      <c r="F1628" s="269" t="s">
        <v>1213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1992</v>
      </c>
      <c r="E1629" s="292" t="s">
        <v>2931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2192</v>
      </c>
      <c r="F1630" s="269" t="s">
        <v>1208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2193</v>
      </c>
      <c r="F1631" s="269" t="s">
        <v>1812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1872</v>
      </c>
      <c r="E1632" s="292" t="s">
        <v>3586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2" x14ac:dyDescent="0.3">
      <c r="A1633" s="58">
        <v>1627</v>
      </c>
      <c r="B1633" s="264">
        <v>45915</v>
      </c>
      <c r="C1633" s="292" t="s">
        <v>1407</v>
      </c>
      <c r="E1633" s="292" t="s">
        <v>1752</v>
      </c>
      <c r="G1633" s="265">
        <v>650000</v>
      </c>
      <c r="H1633" s="269">
        <v>1</v>
      </c>
      <c r="K1633" s="265">
        <v>650000</v>
      </c>
    </row>
    <row r="1634" spans="1:12" x14ac:dyDescent="0.3">
      <c r="A1634" s="58">
        <v>1628</v>
      </c>
      <c r="B1634" s="264">
        <v>45915</v>
      </c>
      <c r="C1634" s="292" t="s">
        <v>1152</v>
      </c>
      <c r="E1634" s="292" t="s">
        <v>1725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2" x14ac:dyDescent="0.3">
      <c r="A1635" s="58">
        <v>1629</v>
      </c>
      <c r="B1635" s="264">
        <v>45915</v>
      </c>
      <c r="C1635" s="292" t="s">
        <v>1452</v>
      </c>
      <c r="E1635" s="292" t="s">
        <v>2207</v>
      </c>
      <c r="G1635" s="265">
        <v>300000</v>
      </c>
      <c r="H1635" s="269">
        <v>3</v>
      </c>
      <c r="K1635" s="265">
        <v>900000</v>
      </c>
    </row>
    <row r="1636" spans="1:12" x14ac:dyDescent="0.3">
      <c r="A1636" s="58">
        <v>1630</v>
      </c>
      <c r="B1636" s="264">
        <v>45915</v>
      </c>
      <c r="C1636" s="292" t="s">
        <v>1452</v>
      </c>
      <c r="E1636" s="292" t="s">
        <v>3600</v>
      </c>
      <c r="L1636" s="265">
        <v>-1000000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72" workbookViewId="0">
      <selection activeCell="E189" sqref="E18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45912</v>
      </c>
      <c r="B3" s="235" t="s">
        <v>1131</v>
      </c>
      <c r="C3" s="286">
        <f>SUMIF($B:$B,A3,I:I)</f>
        <v>9110000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5698000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90723000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90723000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2858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2780</v>
      </c>
      <c r="D24" s="112" t="s">
        <v>2823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2780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3376</v>
      </c>
      <c r="D26" s="112" t="s">
        <v>3079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3016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2780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3376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2887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3016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3016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3399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3405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3407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3317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3414</v>
      </c>
      <c r="F55" s="120">
        <v>1850000</v>
      </c>
      <c r="G55" s="85">
        <v>1</v>
      </c>
      <c r="H55" s="126" t="s">
        <v>3479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3418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2832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3418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3317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3427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3445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3435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3435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2934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3427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2934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3461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3462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3463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2851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3467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3070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3470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3169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3169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3480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2858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3169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3480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3435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3488</v>
      </c>
      <c r="D103" s="113" t="s">
        <v>3495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3488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3488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3488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3016</v>
      </c>
      <c r="D107" s="113" t="s">
        <v>3498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3491</v>
      </c>
      <c r="D108" s="113" t="s">
        <v>3500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3488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3491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1502</v>
      </c>
      <c r="D113" s="113" t="s">
        <v>3502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1313</v>
      </c>
      <c r="D115" s="113" t="s">
        <v>3495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1588</v>
      </c>
      <c r="D119" s="113" t="s">
        <v>3495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1679</v>
      </c>
      <c r="D120" s="113" t="s">
        <v>3508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1487</v>
      </c>
      <c r="D122" s="113" t="s">
        <v>3495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1487</v>
      </c>
      <c r="D123" s="113" t="s">
        <v>2200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1487</v>
      </c>
      <c r="D124" s="113" t="s">
        <v>2204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1487</v>
      </c>
      <c r="D125" s="113" t="s">
        <v>2203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1407</v>
      </c>
      <c r="D126" s="113" t="s">
        <v>1752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1809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1562</v>
      </c>
      <c r="D128" s="113" t="s">
        <v>1130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1313</v>
      </c>
      <c r="D129" s="113" t="s">
        <v>1130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1179</v>
      </c>
      <c r="D130" s="113" t="s">
        <v>1130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2641</v>
      </c>
      <c r="D131" s="113" t="s">
        <v>1752</v>
      </c>
      <c r="F131" s="120">
        <v>1100000</v>
      </c>
      <c r="G131" s="85">
        <v>1</v>
      </c>
      <c r="H131" s="126" t="s">
        <v>3554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2422</v>
      </c>
      <c r="D132" s="113" t="s">
        <v>2201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2198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2479</v>
      </c>
      <c r="D134" s="113" t="s">
        <v>1725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1878</v>
      </c>
      <c r="D135" s="113" t="s">
        <v>2209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1878</v>
      </c>
      <c r="D136" s="113" t="s">
        <v>1130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2479</v>
      </c>
      <c r="D137" s="113" t="s">
        <v>1130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1130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1457</v>
      </c>
      <c r="D139" s="113" t="s">
        <v>3495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1679</v>
      </c>
      <c r="D140" s="113" t="s">
        <v>1210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3551</v>
      </c>
    </row>
    <row r="141" spans="1:11" ht="18" customHeight="1" x14ac:dyDescent="0.3">
      <c r="A141" s="82">
        <v>1571</v>
      </c>
      <c r="B141" s="93">
        <v>45910</v>
      </c>
      <c r="C141" s="83" t="s">
        <v>1679</v>
      </c>
      <c r="D141" s="113" t="s">
        <v>1504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3551</v>
      </c>
    </row>
    <row r="142" spans="1:11" ht="18" customHeight="1" x14ac:dyDescent="0.3">
      <c r="A142" s="82">
        <v>1572</v>
      </c>
      <c r="B142" s="93">
        <v>45910</v>
      </c>
      <c r="C142" s="83" t="s">
        <v>1881</v>
      </c>
      <c r="D142" s="113" t="s">
        <v>2198</v>
      </c>
      <c r="F142" s="120">
        <v>900000</v>
      </c>
      <c r="G142" s="85">
        <v>1</v>
      </c>
      <c r="I142" s="80">
        <v>900000</v>
      </c>
      <c r="K142" s="69" t="s">
        <v>3551</v>
      </c>
    </row>
    <row r="143" spans="1:11" ht="18" customHeight="1" x14ac:dyDescent="0.3">
      <c r="A143" s="82">
        <v>1573</v>
      </c>
      <c r="B143" s="93">
        <v>45910</v>
      </c>
      <c r="C143" s="83" t="s">
        <v>1549</v>
      </c>
      <c r="D143" s="113" t="s">
        <v>1210</v>
      </c>
      <c r="F143" s="120">
        <v>1200000</v>
      </c>
      <c r="G143" s="85">
        <v>1</v>
      </c>
      <c r="I143" s="80">
        <v>1200000</v>
      </c>
      <c r="K143" s="69" t="s">
        <v>3551</v>
      </c>
    </row>
    <row r="144" spans="1:11" ht="18" customHeight="1" x14ac:dyDescent="0.3">
      <c r="A144" s="82">
        <v>1574</v>
      </c>
      <c r="B144" s="93">
        <v>45910</v>
      </c>
      <c r="C144" s="83" t="s">
        <v>1549</v>
      </c>
      <c r="D144" s="113" t="s">
        <v>3467</v>
      </c>
      <c r="F144" s="120">
        <v>80000</v>
      </c>
      <c r="G144" s="85">
        <v>1</v>
      </c>
      <c r="I144" s="80">
        <v>80000</v>
      </c>
      <c r="K144" s="69" t="s">
        <v>3551</v>
      </c>
    </row>
    <row r="145" spans="1:11" ht="18" customHeight="1" x14ac:dyDescent="0.3">
      <c r="A145" s="82">
        <v>1575</v>
      </c>
      <c r="B145" s="93">
        <v>45910</v>
      </c>
      <c r="C145" s="83" t="s">
        <v>3535</v>
      </c>
      <c r="D145" s="113" t="s">
        <v>3495</v>
      </c>
      <c r="F145" s="120">
        <v>540000</v>
      </c>
      <c r="G145" s="85">
        <v>1</v>
      </c>
      <c r="I145" s="80">
        <v>540000</v>
      </c>
      <c r="K145" s="69" t="s">
        <v>3551</v>
      </c>
    </row>
    <row r="146" spans="1:11" ht="18" customHeight="1" x14ac:dyDescent="0.3">
      <c r="A146" s="82">
        <v>1576</v>
      </c>
      <c r="B146" s="93">
        <v>45910</v>
      </c>
      <c r="C146" s="83" t="s">
        <v>1452</v>
      </c>
      <c r="D146" s="113" t="s">
        <v>3467</v>
      </c>
      <c r="F146" s="120">
        <v>80000</v>
      </c>
      <c r="G146" s="85">
        <v>3</v>
      </c>
      <c r="I146" s="80">
        <v>240000</v>
      </c>
      <c r="K146" s="69" t="s">
        <v>3551</v>
      </c>
    </row>
    <row r="147" spans="1:11" ht="18" customHeight="1" x14ac:dyDescent="0.3">
      <c r="A147" s="82">
        <v>1577</v>
      </c>
      <c r="B147" s="93">
        <v>45910</v>
      </c>
      <c r="C147" s="83" t="s">
        <v>3418</v>
      </c>
      <c r="D147" s="113" t="s">
        <v>2192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3551</v>
      </c>
    </row>
    <row r="148" spans="1:11" ht="18" customHeight="1" x14ac:dyDescent="0.3">
      <c r="A148" s="82">
        <v>1578</v>
      </c>
      <c r="B148" s="93">
        <v>45910</v>
      </c>
      <c r="C148" s="83" t="s">
        <v>3418</v>
      </c>
      <c r="D148" s="113" t="s">
        <v>2193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3551</v>
      </c>
    </row>
    <row r="149" spans="1:11" ht="18" customHeight="1" x14ac:dyDescent="0.3">
      <c r="A149" s="82">
        <v>1579</v>
      </c>
      <c r="B149" s="93">
        <v>45910</v>
      </c>
      <c r="C149" s="83" t="s">
        <v>1452</v>
      </c>
      <c r="D149" s="113" t="s">
        <v>3330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1313</v>
      </c>
      <c r="D150" s="113" t="s">
        <v>2206</v>
      </c>
      <c r="F150" s="120">
        <v>600000</v>
      </c>
      <c r="G150" s="85">
        <v>1</v>
      </c>
      <c r="I150" s="80">
        <v>600000</v>
      </c>
      <c r="K150" s="69" t="s">
        <v>3551</v>
      </c>
    </row>
    <row r="151" spans="1:11" ht="18" customHeight="1" x14ac:dyDescent="0.3">
      <c r="A151" s="82">
        <v>1581</v>
      </c>
      <c r="B151" s="93">
        <v>45910</v>
      </c>
      <c r="C151" s="83" t="s">
        <v>2801</v>
      </c>
      <c r="D151" s="113" t="s">
        <v>2302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3551</v>
      </c>
    </row>
    <row r="152" spans="1:11" ht="18" customHeight="1" x14ac:dyDescent="0.3">
      <c r="A152" s="82">
        <v>1582</v>
      </c>
      <c r="B152" s="93">
        <v>45910</v>
      </c>
      <c r="C152" s="83" t="s">
        <v>1799</v>
      </c>
      <c r="D152" s="113" t="s">
        <v>2206</v>
      </c>
      <c r="F152" s="120">
        <v>600000</v>
      </c>
      <c r="G152" s="85">
        <v>1</v>
      </c>
      <c r="I152" s="80">
        <v>600000</v>
      </c>
      <c r="K152" s="69" t="s">
        <v>3551</v>
      </c>
    </row>
    <row r="153" spans="1:11" ht="18" customHeight="1" x14ac:dyDescent="0.3">
      <c r="A153" s="82">
        <v>1583</v>
      </c>
      <c r="B153" s="93">
        <v>45910</v>
      </c>
      <c r="C153" s="83" t="s">
        <v>1799</v>
      </c>
      <c r="D153" s="113" t="s">
        <v>3495</v>
      </c>
      <c r="F153" s="120">
        <v>540000</v>
      </c>
      <c r="G153" s="85">
        <v>1</v>
      </c>
      <c r="I153" s="80">
        <v>540000</v>
      </c>
      <c r="K153" s="69" t="s">
        <v>3551</v>
      </c>
    </row>
    <row r="154" spans="1:11" ht="18" customHeight="1" x14ac:dyDescent="0.3">
      <c r="A154" s="82">
        <v>1584</v>
      </c>
      <c r="B154" s="93">
        <v>45910</v>
      </c>
      <c r="C154" s="83" t="s">
        <v>1799</v>
      </c>
      <c r="D154" s="113" t="s">
        <v>2204</v>
      </c>
      <c r="F154" s="120">
        <v>10000</v>
      </c>
      <c r="G154" s="85">
        <v>1</v>
      </c>
      <c r="I154" s="80">
        <v>10000</v>
      </c>
      <c r="K154" s="69" t="s">
        <v>3551</v>
      </c>
    </row>
    <row r="155" spans="1:11" ht="18" customHeight="1" x14ac:dyDescent="0.3">
      <c r="A155" s="82">
        <v>1585</v>
      </c>
      <c r="B155" s="93">
        <v>45910</v>
      </c>
      <c r="C155" s="83" t="s">
        <v>1799</v>
      </c>
      <c r="D155" s="113" t="s">
        <v>2203</v>
      </c>
      <c r="F155" s="120">
        <v>35000</v>
      </c>
      <c r="G155" s="85">
        <v>1</v>
      </c>
      <c r="I155" s="80">
        <v>35000</v>
      </c>
      <c r="K155" s="69" t="s">
        <v>3551</v>
      </c>
    </row>
    <row r="156" spans="1:11" ht="18" customHeight="1" x14ac:dyDescent="0.3">
      <c r="A156" s="82">
        <v>1586</v>
      </c>
      <c r="B156" s="93">
        <v>45910</v>
      </c>
      <c r="C156" s="83" t="s">
        <v>1799</v>
      </c>
      <c r="D156" s="113" t="s">
        <v>1527</v>
      </c>
      <c r="F156" s="120">
        <v>20000</v>
      </c>
      <c r="G156" s="85">
        <v>1</v>
      </c>
      <c r="I156" s="80">
        <v>20000</v>
      </c>
      <c r="K156" s="69" t="s">
        <v>3551</v>
      </c>
    </row>
    <row r="157" spans="1:11" ht="18" customHeight="1" x14ac:dyDescent="0.3">
      <c r="A157" s="82">
        <v>1587</v>
      </c>
      <c r="B157" s="93">
        <v>45910</v>
      </c>
      <c r="C157" s="83" t="s">
        <v>1475</v>
      </c>
      <c r="D157" s="113" t="s">
        <v>1130</v>
      </c>
      <c r="J157" s="80">
        <v>-3080000</v>
      </c>
      <c r="K157" s="69" t="s">
        <v>3551</v>
      </c>
    </row>
    <row r="158" spans="1:11" ht="18" customHeight="1" x14ac:dyDescent="0.3">
      <c r="A158" s="82">
        <v>1588</v>
      </c>
      <c r="B158" s="93">
        <v>45910</v>
      </c>
      <c r="C158" s="83" t="s">
        <v>3418</v>
      </c>
      <c r="D158" s="113" t="s">
        <v>1130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1313</v>
      </c>
      <c r="D159" s="113" t="s">
        <v>1130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1457</v>
      </c>
      <c r="D160" s="113" t="s">
        <v>1130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2422</v>
      </c>
      <c r="D161" s="113" t="s">
        <v>1130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1594</v>
      </c>
      <c r="D162" s="113" t="s">
        <v>1130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2801</v>
      </c>
      <c r="D163" s="113" t="s">
        <v>1130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3535</v>
      </c>
      <c r="D164" s="113" t="s">
        <v>1130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1475</v>
      </c>
      <c r="D165" s="113" t="s">
        <v>3244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1087</v>
      </c>
      <c r="D166" s="113" t="s">
        <v>2192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1087</v>
      </c>
      <c r="D167" s="113" t="s">
        <v>2193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1821</v>
      </c>
      <c r="D168" s="113" t="s">
        <v>1212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2408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1457</v>
      </c>
      <c r="D170" s="113" t="s">
        <v>3407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1457</v>
      </c>
      <c r="D171" s="113" t="s">
        <v>1557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1457</v>
      </c>
      <c r="D172" s="113" t="s">
        <v>3563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1407</v>
      </c>
      <c r="D173" s="113" t="s">
        <v>2425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1799</v>
      </c>
      <c r="D174" s="113" t="s">
        <v>3407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1799</v>
      </c>
      <c r="D175" s="113" t="s">
        <v>1527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3134</v>
      </c>
      <c r="D176" s="113" t="s">
        <v>1752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1588</v>
      </c>
      <c r="D177" s="113" t="s">
        <v>1130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1130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3134</v>
      </c>
      <c r="D179" s="113" t="s">
        <v>1130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1481</v>
      </c>
      <c r="D180" s="113" t="s">
        <v>2208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1679</v>
      </c>
      <c r="D181" s="113" t="s">
        <v>2430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1730</v>
      </c>
      <c r="D182" s="113" t="s">
        <v>1543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2934</v>
      </c>
      <c r="D183" s="113" t="s">
        <v>2958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1730</v>
      </c>
      <c r="D184" s="113" t="s">
        <v>3574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1477</v>
      </c>
      <c r="D185" s="113" t="s">
        <v>2201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3577</v>
      </c>
      <c r="D186" s="113" t="s">
        <v>3301</v>
      </c>
      <c r="F186" s="120">
        <v>3500000</v>
      </c>
      <c r="G186" s="85">
        <v>1</v>
      </c>
      <c r="H186" s="126">
        <v>350000</v>
      </c>
      <c r="I186" s="80">
        <v>3850000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2850</v>
      </c>
      <c r="D1" s="283" t="s">
        <v>2849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5400000</v>
      </c>
      <c r="D2">
        <f t="shared" ref="D2:D65" si="0">RANK(C2,C:C,0)</f>
        <v>3</v>
      </c>
    </row>
    <row r="3" spans="1:6" x14ac:dyDescent="0.3">
      <c r="B3" t="s">
        <v>1309</v>
      </c>
      <c r="C3" s="52">
        <f>SUMIF(BTS_매출관리!C:C,B3,BTS_매출관리!I:I)</f>
        <v>4443000</v>
      </c>
      <c r="D3">
        <f t="shared" si="0"/>
        <v>4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5</v>
      </c>
    </row>
    <row r="5" spans="1:6" x14ac:dyDescent="0.3">
      <c r="B5" t="s">
        <v>1348</v>
      </c>
      <c r="C5" s="52">
        <f>SUMIF(BTS_매출관리!C:C,B5,BTS_매출관리!I:I)</f>
        <v>5640000</v>
      </c>
      <c r="D5">
        <f t="shared" si="0"/>
        <v>2</v>
      </c>
    </row>
    <row r="6" spans="1:6" x14ac:dyDescent="0.3">
      <c r="B6" t="s">
        <v>1333</v>
      </c>
      <c r="C6" s="52">
        <f>SUMIF(BTS_매출관리!C:C,B6,BTS_매출관리!I:I)</f>
        <v>2700000</v>
      </c>
      <c r="D6">
        <f t="shared" si="0"/>
        <v>8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15</v>
      </c>
    </row>
    <row r="8" spans="1:6" x14ac:dyDescent="0.3">
      <c r="B8" t="s">
        <v>2484</v>
      </c>
      <c r="C8" s="52">
        <f>SUMIF(BTS_매출관리!C:C,B8,BTS_매출관리!I:I)</f>
        <v>2000000</v>
      </c>
      <c r="D8">
        <f t="shared" si="0"/>
        <v>16</v>
      </c>
    </row>
    <row r="9" spans="1:6" x14ac:dyDescent="0.3">
      <c r="B9" t="s">
        <v>1341</v>
      </c>
      <c r="C9" s="52">
        <f>SUMIF(BTS_매출관리!C:C,B9,BTS_매출관리!I:I)</f>
        <v>3186000</v>
      </c>
      <c r="D9">
        <f t="shared" si="0"/>
        <v>7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17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19</v>
      </c>
    </row>
    <row r="12" spans="1:6" x14ac:dyDescent="0.3">
      <c r="B12" t="s">
        <v>1286</v>
      </c>
      <c r="C12" s="52">
        <f>SUMIF(BTS_매출관리!C:C,B12,BTS_매출관리!I:I)</f>
        <v>3225000</v>
      </c>
      <c r="D12">
        <f t="shared" si="0"/>
        <v>6</v>
      </c>
      <c r="F12">
        <f>IF(D12 &lt; 10,,"")</f>
        <v>0</v>
      </c>
    </row>
    <row r="13" spans="1:6" x14ac:dyDescent="0.3">
      <c r="B13" t="s">
        <v>1297</v>
      </c>
      <c r="C13" s="52">
        <f>SUMIF(BTS_매출관리!C:C,B13,BTS_매출관리!I:I)</f>
        <v>2695000</v>
      </c>
      <c r="D13">
        <f t="shared" si="0"/>
        <v>9</v>
      </c>
      <c r="F13">
        <f>IF(D13 &lt; 10,,"")</f>
        <v>0</v>
      </c>
    </row>
    <row r="14" spans="1:6" x14ac:dyDescent="0.3">
      <c r="B14" t="s">
        <v>1343</v>
      </c>
      <c r="C14" s="52">
        <f>SUMIF(BTS_매출관리!C:C,B14,BTS_매출관리!I:I)</f>
        <v>2600000</v>
      </c>
      <c r="D14">
        <f t="shared" si="0"/>
        <v>10</v>
      </c>
      <c r="F14" t="str">
        <f>IF(D14 &lt; 10,,"")</f>
        <v/>
      </c>
    </row>
    <row r="15" spans="1:6" x14ac:dyDescent="0.3">
      <c r="B15" t="s">
        <v>1358</v>
      </c>
      <c r="C15" s="52">
        <f>SUMIF(BTS_매출관리!C:C,B15,BTS_매출관리!I:I)</f>
        <v>2410000</v>
      </c>
      <c r="D15">
        <f t="shared" si="0"/>
        <v>12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27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28</v>
      </c>
    </row>
    <row r="18" spans="2:4" x14ac:dyDescent="0.3">
      <c r="B18" t="s">
        <v>1324</v>
      </c>
      <c r="C18" s="52">
        <f>SUMIF(BTS_매출관리!C:C,B18,BTS_매출관리!I:I)</f>
        <v>2550000</v>
      </c>
      <c r="D18">
        <f t="shared" si="0"/>
        <v>11</v>
      </c>
    </row>
    <row r="19" spans="2:4" x14ac:dyDescent="0.3">
      <c r="B19" t="s">
        <v>1314</v>
      </c>
      <c r="C19" s="52">
        <f>SUMIF(BTS_매출관리!C:C,B19,BTS_매출관리!I:I)</f>
        <v>2255000</v>
      </c>
      <c r="D19">
        <f t="shared" si="0"/>
        <v>13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31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32</v>
      </c>
    </row>
    <row r="22" spans="2:4" x14ac:dyDescent="0.3">
      <c r="B22" t="s">
        <v>1294</v>
      </c>
      <c r="C22" s="52">
        <f>SUMIF(BTS_매출관리!C:C,B22,BTS_매출관리!I:I)</f>
        <v>1235000</v>
      </c>
      <c r="D22">
        <f t="shared" si="0"/>
        <v>25</v>
      </c>
    </row>
    <row r="23" spans="2:4" x14ac:dyDescent="0.3">
      <c r="B23" t="s">
        <v>1301</v>
      </c>
      <c r="C23" s="52">
        <f>SUMIF(BTS_매출관리!C:C,B23,BTS_매출관리!I:I)</f>
        <v>2255000</v>
      </c>
      <c r="D23">
        <f t="shared" si="0"/>
        <v>13</v>
      </c>
    </row>
    <row r="24" spans="2:4" x14ac:dyDescent="0.3">
      <c r="B24" t="s">
        <v>2780</v>
      </c>
      <c r="C24" s="52">
        <f>SUMIF(BTS_매출관리!C:C,B24,BTS_매출관리!I:I)</f>
        <v>462000</v>
      </c>
      <c r="D24">
        <f t="shared" si="0"/>
        <v>34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35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36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43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40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41</v>
      </c>
    </row>
    <row r="30" spans="2:4" x14ac:dyDescent="0.3">
      <c r="B30" t="s">
        <v>1153</v>
      </c>
      <c r="C30" s="52">
        <f>SUMIF(BTS_매출관리!C:C,B30,BTS_매출관리!I:I)</f>
        <v>20000</v>
      </c>
      <c r="D30">
        <f t="shared" si="0"/>
        <v>42</v>
      </c>
    </row>
    <row r="31" spans="2:4" x14ac:dyDescent="0.3">
      <c r="B31" t="s">
        <v>2575</v>
      </c>
      <c r="C31" s="52">
        <f>SUMIF(BTS_매출관리!C:C,B31,BTS_매출관리!I:I)</f>
        <v>0</v>
      </c>
      <c r="D31">
        <f t="shared" si="0"/>
        <v>43</v>
      </c>
    </row>
    <row r="32" spans="2:4" x14ac:dyDescent="0.3">
      <c r="B32" t="s">
        <v>1306</v>
      </c>
      <c r="C32" s="52">
        <f>SUMIF(BTS_매출관리!C:C,B32,BTS_매출관리!I:I)</f>
        <v>650000</v>
      </c>
      <c r="D32">
        <f t="shared" si="0"/>
        <v>33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43</v>
      </c>
    </row>
    <row r="34" spans="2:4" x14ac:dyDescent="0.3">
      <c r="B34" t="s">
        <v>1340</v>
      </c>
      <c r="C34" s="52">
        <f>SUMIF(BTS_매출관리!C:C,B34,BTS_매출관리!I:I)</f>
        <v>1280000</v>
      </c>
      <c r="D34">
        <f t="shared" si="0"/>
        <v>24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39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43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43</v>
      </c>
    </row>
    <row r="38" spans="2:4" x14ac:dyDescent="0.3">
      <c r="B38" t="s">
        <v>2373</v>
      </c>
      <c r="C38" s="52">
        <f>SUMIF(BTS_매출관리!C:C,B38,BTS_매출관리!I:I)</f>
        <v>1485000</v>
      </c>
      <c r="D38">
        <f t="shared" si="0"/>
        <v>22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43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43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43</v>
      </c>
    </row>
    <row r="42" spans="2:4" x14ac:dyDescent="0.3">
      <c r="B42" t="s">
        <v>2802</v>
      </c>
      <c r="C42" s="52">
        <f>SUMIF(BTS_매출관리!C:C,B42,BTS_매출관리!I:I)</f>
        <v>1760000</v>
      </c>
      <c r="D42">
        <f t="shared" si="0"/>
        <v>18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43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43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43</v>
      </c>
    </row>
    <row r="46" spans="2:4" x14ac:dyDescent="0.3">
      <c r="B46" t="s">
        <v>1337</v>
      </c>
      <c r="C46" s="52">
        <f>SUMIF(BTS_매출관리!C:C,B46,BTS_매출관리!I:I)</f>
        <v>300000</v>
      </c>
      <c r="D46">
        <f t="shared" si="0"/>
        <v>37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43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43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43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43</v>
      </c>
    </row>
    <row r="51" spans="2:4" x14ac:dyDescent="0.3">
      <c r="B51" t="s">
        <v>2775</v>
      </c>
      <c r="C51" s="52">
        <f>SUMIF(BTS_매출관리!C:C,B51,BTS_매출관리!I:I)</f>
        <v>0</v>
      </c>
      <c r="D51">
        <f t="shared" si="0"/>
        <v>43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43</v>
      </c>
    </row>
    <row r="53" spans="2:4" x14ac:dyDescent="0.3">
      <c r="B53" t="s">
        <v>1625</v>
      </c>
      <c r="C53" s="52">
        <f>SUMIF(BTS_매출관리!C:C,B53,BTS_매출관리!I:I)</f>
        <v>1550000</v>
      </c>
      <c r="D53">
        <f t="shared" si="0"/>
        <v>21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43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43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43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43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43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43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43</v>
      </c>
    </row>
    <row r="61" spans="2:4" x14ac:dyDescent="0.3">
      <c r="B61" t="s">
        <v>2480</v>
      </c>
      <c r="C61" s="52">
        <f>SUMIF(BTS_매출관리!C:C,B61,BTS_매출관리!I:I)</f>
        <v>220000</v>
      </c>
      <c r="D61">
        <f t="shared" si="0"/>
        <v>38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43</v>
      </c>
    </row>
    <row r="63" spans="2:4" x14ac:dyDescent="0.3">
      <c r="B63" t="s">
        <v>1679</v>
      </c>
      <c r="C63" s="52">
        <f>SUMIF(BTS_매출관리!C:C,B63,BTS_매출관리!I:I)</f>
        <v>8470000</v>
      </c>
      <c r="D63">
        <f t="shared" si="0"/>
        <v>1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23</v>
      </c>
    </row>
    <row r="65" spans="2:4" x14ac:dyDescent="0.3">
      <c r="B65" t="s">
        <v>1164</v>
      </c>
      <c r="C65" s="52">
        <f>SUMIF(BTS_매출관리!C:C,B65,BTS_매출관리!I:I)</f>
        <v>900000</v>
      </c>
      <c r="D65">
        <f t="shared" si="0"/>
        <v>30</v>
      </c>
    </row>
    <row r="66" spans="2:4" x14ac:dyDescent="0.3">
      <c r="B66" t="s">
        <v>1793</v>
      </c>
      <c r="C66" s="52">
        <f>SUMIF(BTS_매출관리!C:C,B66,BTS_매출관리!I:I)</f>
        <v>1650000</v>
      </c>
      <c r="D66">
        <f t="shared" ref="D66:D129" si="1">RANK(C66,C:C,0)</f>
        <v>19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43</v>
      </c>
    </row>
    <row r="68" spans="2:4" x14ac:dyDescent="0.3">
      <c r="B68" t="s">
        <v>2807</v>
      </c>
      <c r="C68" s="52">
        <f>SUMIF(BTS_매출관리!C:C,B68,BTS_매출관리!I:I)</f>
        <v>0</v>
      </c>
      <c r="D68">
        <f t="shared" si="1"/>
        <v>43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43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43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26</v>
      </c>
    </row>
    <row r="72" spans="2:4" x14ac:dyDescent="0.3">
      <c r="B72" t="s">
        <v>2787</v>
      </c>
      <c r="C72" s="52">
        <f>SUMIF(BTS_매출관리!C:C,B72,BTS_매출관리!I:I)</f>
        <v>0</v>
      </c>
      <c r="D72">
        <f t="shared" si="1"/>
        <v>43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43</v>
      </c>
    </row>
    <row r="74" spans="2:4" x14ac:dyDescent="0.3">
      <c r="B74" t="s">
        <v>1278</v>
      </c>
      <c r="C74" s="52">
        <f>SUMIF(BTS_매출관리!C:C,B74,BTS_매출관리!I:I)</f>
        <v>0</v>
      </c>
      <c r="D74">
        <f t="shared" si="1"/>
        <v>43</v>
      </c>
    </row>
    <row r="75" spans="2:4" x14ac:dyDescent="0.3">
      <c r="B75" t="s">
        <v>1353</v>
      </c>
      <c r="C75" s="52">
        <f>SUMIF(BTS_매출관리!C:C,B75,BTS_매출관리!I:I)</f>
        <v>0</v>
      </c>
      <c r="D75">
        <f t="shared" si="1"/>
        <v>43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43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43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43</v>
      </c>
    </row>
    <row r="79" spans="2:4" x14ac:dyDescent="0.3">
      <c r="B79" t="s">
        <v>2760</v>
      </c>
      <c r="C79" s="52">
        <f>SUMIF(BTS_매출관리!C:C,B79,BTS_매출관리!I:I)</f>
        <v>0</v>
      </c>
      <c r="D79">
        <f t="shared" si="1"/>
        <v>43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43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43</v>
      </c>
    </row>
    <row r="82" spans="2:4" x14ac:dyDescent="0.3">
      <c r="B82" t="s">
        <v>2827</v>
      </c>
      <c r="C82" s="52">
        <f>SUMIF(BTS_매출관리!C:C,B82,BTS_매출관리!I:I)</f>
        <v>0</v>
      </c>
      <c r="D82">
        <f t="shared" si="1"/>
        <v>43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43</v>
      </c>
    </row>
    <row r="84" spans="2:4" x14ac:dyDescent="0.3">
      <c r="B84" t="s">
        <v>2750</v>
      </c>
      <c r="C84" s="52">
        <f>SUMIF(BTS_매출관리!C:C,B84,BTS_매출관리!I:I)</f>
        <v>0</v>
      </c>
      <c r="D84">
        <f t="shared" si="1"/>
        <v>43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43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43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43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43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43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43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43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43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43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43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43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43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43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43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43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43</v>
      </c>
    </row>
    <row r="101" spans="2:4" x14ac:dyDescent="0.3">
      <c r="B101" t="s">
        <v>1322</v>
      </c>
      <c r="C101" s="52">
        <f>SUMIF(BTS_매출관리!C:C,B101,BTS_매출관리!I:I)</f>
        <v>1100000</v>
      </c>
      <c r="D101">
        <f t="shared" si="1"/>
        <v>29</v>
      </c>
    </row>
    <row r="102" spans="2:4" x14ac:dyDescent="0.3">
      <c r="B102" t="s">
        <v>2608</v>
      </c>
      <c r="C102" s="52">
        <f>SUMIF(BTS_매출관리!C:C,B102,BTS_매출관리!I:I)</f>
        <v>0</v>
      </c>
      <c r="D102">
        <f t="shared" si="1"/>
        <v>43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43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43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43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43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43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43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43</v>
      </c>
    </row>
    <row r="110" spans="2:4" x14ac:dyDescent="0.3">
      <c r="B110" t="s">
        <v>2503</v>
      </c>
      <c r="C110" s="52">
        <f>SUMIF(BTS_매출관리!C:C,B110,BTS_매출관리!I:I)</f>
        <v>0</v>
      </c>
      <c r="D110">
        <f t="shared" si="1"/>
        <v>43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43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43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43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43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43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43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43</v>
      </c>
    </row>
    <row r="118" spans="2:4" x14ac:dyDescent="0.3">
      <c r="B118" t="s">
        <v>2651</v>
      </c>
      <c r="C118" s="52">
        <f>SUMIF(BTS_매출관리!C:C,B118,BTS_매출관리!I:I)</f>
        <v>0</v>
      </c>
      <c r="D118">
        <f t="shared" si="1"/>
        <v>43</v>
      </c>
    </row>
    <row r="119" spans="2:4" x14ac:dyDescent="0.3">
      <c r="B119" t="s">
        <v>2722</v>
      </c>
      <c r="C119" s="52">
        <f>SUMIF(BTS_매출관리!C:C,B119,BTS_매출관리!I:I)</f>
        <v>0</v>
      </c>
      <c r="D119">
        <f t="shared" si="1"/>
        <v>43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43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43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43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43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43</v>
      </c>
    </row>
    <row r="125" spans="2:4" x14ac:dyDescent="0.3">
      <c r="B125" t="s">
        <v>2499</v>
      </c>
      <c r="C125" s="52">
        <f>SUMIF(BTS_매출관리!C:C,B125,BTS_매출관리!I:I)</f>
        <v>0</v>
      </c>
      <c r="D125">
        <f t="shared" si="1"/>
        <v>43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43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43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43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43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43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43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43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43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43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43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43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43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43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43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43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43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43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43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43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43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43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43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43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43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43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43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43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43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43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43</v>
      </c>
    </row>
    <row r="156" spans="2:4" x14ac:dyDescent="0.3">
      <c r="B156" t="s">
        <v>2695</v>
      </c>
      <c r="C156" s="52">
        <f>SUMIF(BTS_매출관리!C:C,B156,BTS_매출관리!I:I)</f>
        <v>0</v>
      </c>
      <c r="D156">
        <f t="shared" si="2"/>
        <v>43</v>
      </c>
    </row>
    <row r="157" spans="2:4" x14ac:dyDescent="0.3">
      <c r="C157" s="52">
        <f>SUMIF(BTS_매출관리!C:C,B157,BTS_매출관리!I:I)</f>
        <v>0</v>
      </c>
      <c r="D157">
        <f t="shared" si="2"/>
        <v>43</v>
      </c>
    </row>
    <row r="158" spans="2:4" x14ac:dyDescent="0.3">
      <c r="C158" s="52">
        <f>SUMIF(BTS_매출관리!C:C,B158,BTS_매출관리!I:I)</f>
        <v>0</v>
      </c>
      <c r="D158">
        <f t="shared" si="2"/>
        <v>43</v>
      </c>
    </row>
    <row r="159" spans="2:4" x14ac:dyDescent="0.3">
      <c r="C159" s="52">
        <f>SUMIF(BTS_매출관리!C:C,B159,BTS_매출관리!I:I)</f>
        <v>0</v>
      </c>
      <c r="D159">
        <f t="shared" si="2"/>
        <v>43</v>
      </c>
    </row>
    <row r="160" spans="2:4" x14ac:dyDescent="0.3">
      <c r="C160" s="52">
        <f>SUMIF(BTS_매출관리!C:C,B160,BTS_매출관리!I:I)</f>
        <v>0</v>
      </c>
      <c r="D160">
        <f t="shared" si="2"/>
        <v>43</v>
      </c>
    </row>
    <row r="161" spans="3:4" x14ac:dyDescent="0.3">
      <c r="C161" s="52">
        <f>SUMIF(BTS_매출관리!C:C,B161,BTS_매출관리!I:I)</f>
        <v>0</v>
      </c>
      <c r="D161">
        <f t="shared" si="2"/>
        <v>43</v>
      </c>
    </row>
    <row r="162" spans="3:4" x14ac:dyDescent="0.3">
      <c r="C162" s="52">
        <f>SUMIF(BTS_매출관리!C:C,B162,BTS_매출관리!I:I)</f>
        <v>0</v>
      </c>
      <c r="D162">
        <f t="shared" si="2"/>
        <v>43</v>
      </c>
    </row>
    <row r="163" spans="3:4" x14ac:dyDescent="0.3">
      <c r="C163" s="52">
        <f>SUMIF(BTS_매출관리!C:C,B163,BTS_매출관리!I:I)</f>
        <v>0</v>
      </c>
      <c r="D163">
        <f t="shared" si="2"/>
        <v>43</v>
      </c>
    </row>
    <row r="164" spans="3:4" x14ac:dyDescent="0.3">
      <c r="C164" s="52">
        <f>SUMIF(BTS_매출관리!C:C,B164,BTS_매출관리!I:I)</f>
        <v>0</v>
      </c>
      <c r="D164">
        <f t="shared" si="2"/>
        <v>43</v>
      </c>
    </row>
    <row r="165" spans="3:4" x14ac:dyDescent="0.3">
      <c r="C165" s="52">
        <f>SUMIF(BTS_매출관리!C:C,B165,BTS_매출관리!I:I)</f>
        <v>0</v>
      </c>
      <c r="D165">
        <f t="shared" si="2"/>
        <v>43</v>
      </c>
    </row>
    <row r="166" spans="3:4" x14ac:dyDescent="0.3">
      <c r="C166" s="52">
        <f>SUMIF(BTS_매출관리!C:C,B166,BTS_매출관리!I:I)</f>
        <v>0</v>
      </c>
      <c r="D166">
        <f t="shared" si="2"/>
        <v>43</v>
      </c>
    </row>
    <row r="167" spans="3:4" x14ac:dyDescent="0.3">
      <c r="C167" s="52">
        <f>SUMIF(BTS_매출관리!C:C,B167,BTS_매출관리!I:I)</f>
        <v>0</v>
      </c>
      <c r="D167">
        <f t="shared" si="2"/>
        <v>43</v>
      </c>
    </row>
    <row r="168" spans="3:4" x14ac:dyDescent="0.3">
      <c r="C168" s="52">
        <f>SUMIF(BTS_매출관리!C:C,B168,BTS_매출관리!I:I)</f>
        <v>0</v>
      </c>
      <c r="D168">
        <f t="shared" si="2"/>
        <v>43</v>
      </c>
    </row>
    <row r="169" spans="3:4" x14ac:dyDescent="0.3">
      <c r="C169" s="52">
        <f>SUMIF(BTS_매출관리!C:C,B169,BTS_매출관리!I:I)</f>
        <v>0</v>
      </c>
      <c r="D169">
        <f t="shared" si="2"/>
        <v>43</v>
      </c>
    </row>
    <row r="170" spans="3:4" x14ac:dyDescent="0.3">
      <c r="C170" s="52">
        <f>SUMIF(BTS_매출관리!C:C,B170,BTS_매출관리!I:I)</f>
        <v>0</v>
      </c>
      <c r="D170">
        <f t="shared" si="2"/>
        <v>43</v>
      </c>
    </row>
    <row r="171" spans="3:4" x14ac:dyDescent="0.3">
      <c r="C171" s="52">
        <f>SUMIF(BTS_매출관리!C:C,B171,BTS_매출관리!I:I)</f>
        <v>0</v>
      </c>
      <c r="D171">
        <f t="shared" si="2"/>
        <v>43</v>
      </c>
    </row>
    <row r="172" spans="3:4" x14ac:dyDescent="0.3">
      <c r="C172" s="52">
        <f>SUMIF(BTS_매출관리!C:C,B172,BTS_매출관리!I:I)</f>
        <v>0</v>
      </c>
      <c r="D172">
        <f t="shared" si="2"/>
        <v>43</v>
      </c>
    </row>
    <row r="173" spans="3:4" x14ac:dyDescent="0.3">
      <c r="C173" s="52">
        <f>SUMIF(BTS_매출관리!C:C,B173,BTS_매출관리!I:I)</f>
        <v>0</v>
      </c>
      <c r="D173">
        <f t="shared" si="2"/>
        <v>43</v>
      </c>
    </row>
    <row r="174" spans="3:4" x14ac:dyDescent="0.3">
      <c r="C174" s="52">
        <f>SUMIF(BTS_매출관리!C:C,B174,BTS_매출관리!I:I)</f>
        <v>0</v>
      </c>
      <c r="D174">
        <f t="shared" si="2"/>
        <v>43</v>
      </c>
    </row>
    <row r="175" spans="3:4" x14ac:dyDescent="0.3">
      <c r="C175" s="52">
        <f>SUMIF(BTS_매출관리!C:C,B175,BTS_매출관리!I:I)</f>
        <v>0</v>
      </c>
      <c r="D175">
        <f t="shared" si="2"/>
        <v>43</v>
      </c>
    </row>
    <row r="176" spans="3:4" x14ac:dyDescent="0.3">
      <c r="C176" s="52">
        <f>SUMIF(BTS_매출관리!C:C,B176,BTS_매출관리!I:I)</f>
        <v>0</v>
      </c>
      <c r="D176">
        <f t="shared" si="2"/>
        <v>43</v>
      </c>
    </row>
    <row r="177" spans="3:4" x14ac:dyDescent="0.3">
      <c r="C177" s="52">
        <f>SUMIF(BTS_매출관리!C:C,B177,BTS_매출관리!I:I)</f>
        <v>0</v>
      </c>
      <c r="D177">
        <f t="shared" si="2"/>
        <v>43</v>
      </c>
    </row>
    <row r="178" spans="3:4" x14ac:dyDescent="0.3">
      <c r="C178" s="52">
        <f>SUMIF(BTS_매출관리!C:C,B178,BTS_매출관리!I:I)</f>
        <v>0</v>
      </c>
      <c r="D178">
        <f t="shared" si="2"/>
        <v>43</v>
      </c>
    </row>
    <row r="179" spans="3:4" x14ac:dyDescent="0.3">
      <c r="C179" s="52">
        <f>SUMIF(BTS_매출관리!C:C,B179,BTS_매출관리!I:I)</f>
        <v>0</v>
      </c>
      <c r="D179">
        <f t="shared" si="2"/>
        <v>43</v>
      </c>
    </row>
    <row r="180" spans="3:4" x14ac:dyDescent="0.3">
      <c r="C180" s="52">
        <f>SUMIF(BTS_매출관리!C:C,B180,BTS_매출관리!I:I)</f>
        <v>0</v>
      </c>
      <c r="D180">
        <f t="shared" si="2"/>
        <v>43</v>
      </c>
    </row>
    <row r="181" spans="3:4" x14ac:dyDescent="0.3">
      <c r="C181" s="52">
        <f>SUMIF(BTS_매출관리!C:C,B181,BTS_매출관리!I:I)</f>
        <v>0</v>
      </c>
      <c r="D181">
        <f t="shared" si="2"/>
        <v>43</v>
      </c>
    </row>
    <row r="182" spans="3:4" x14ac:dyDescent="0.3">
      <c r="C182" s="52">
        <f>SUMIF(BTS_매출관리!C:C,B182,BTS_매출관리!I:I)</f>
        <v>0</v>
      </c>
      <c r="D182">
        <f t="shared" si="2"/>
        <v>43</v>
      </c>
    </row>
    <row r="183" spans="3:4" x14ac:dyDescent="0.3">
      <c r="C183" s="52">
        <f>SUMIF(BTS_매출관리!C:C,B183,BTS_매출관리!I:I)</f>
        <v>0</v>
      </c>
      <c r="D183">
        <f t="shared" si="2"/>
        <v>43</v>
      </c>
    </row>
    <row r="184" spans="3:4" x14ac:dyDescent="0.3">
      <c r="C184" s="52">
        <f>SUMIF(BTS_매출관리!C:C,B184,BTS_매출관리!I:I)</f>
        <v>0</v>
      </c>
      <c r="D184">
        <f t="shared" si="2"/>
        <v>43</v>
      </c>
    </row>
    <row r="185" spans="3:4" x14ac:dyDescent="0.3">
      <c r="C185" s="52">
        <f>SUMIF(BTS_매출관리!C:C,B185,BTS_매출관리!I:I)</f>
        <v>0</v>
      </c>
      <c r="D185">
        <f t="shared" si="2"/>
        <v>43</v>
      </c>
    </row>
    <row r="186" spans="3:4" x14ac:dyDescent="0.3">
      <c r="C186" s="52">
        <f>SUMIF(BTS_매출관리!C:C,B186,BTS_매출관리!I:I)</f>
        <v>0</v>
      </c>
      <c r="D186">
        <f t="shared" si="2"/>
        <v>43</v>
      </c>
    </row>
    <row r="187" spans="3:4" x14ac:dyDescent="0.3">
      <c r="C187" s="52">
        <f>SUMIF(BTS_매출관리!C:C,B187,BTS_매출관리!I:I)</f>
        <v>0</v>
      </c>
      <c r="D187">
        <f t="shared" si="2"/>
        <v>43</v>
      </c>
    </row>
    <row r="188" spans="3:4" x14ac:dyDescent="0.3">
      <c r="C188" s="52">
        <f>SUMIF(BTS_매출관리!C:C,B188,BTS_매출관리!I:I)</f>
        <v>0</v>
      </c>
      <c r="D188">
        <f t="shared" si="2"/>
        <v>43</v>
      </c>
    </row>
    <row r="189" spans="3:4" x14ac:dyDescent="0.3">
      <c r="C189" s="52">
        <f>SUMIF(BTS_매출관리!C:C,B189,BTS_매출관리!I:I)</f>
        <v>0</v>
      </c>
      <c r="D189">
        <f t="shared" si="2"/>
        <v>43</v>
      </c>
    </row>
    <row r="190" spans="3:4" x14ac:dyDescent="0.3">
      <c r="C190" s="52">
        <f>SUMIF(BTS_매출관리!C:C,B190,BTS_매출관리!I:I)</f>
        <v>0</v>
      </c>
      <c r="D190">
        <f t="shared" si="2"/>
        <v>43</v>
      </c>
    </row>
    <row r="191" spans="3:4" x14ac:dyDescent="0.3">
      <c r="C191" s="52">
        <f>SUMIF(BTS_매출관리!C:C,B191,BTS_매출관리!I:I)</f>
        <v>0</v>
      </c>
      <c r="D191">
        <f t="shared" si="2"/>
        <v>43</v>
      </c>
    </row>
    <row r="192" spans="3:4" x14ac:dyDescent="0.3">
      <c r="C192" s="52">
        <f>SUMIF(BTS_매출관리!C:C,B192,BTS_매출관리!I:I)</f>
        <v>0</v>
      </c>
      <c r="D192">
        <f t="shared" si="2"/>
        <v>43</v>
      </c>
    </row>
    <row r="193" spans="3:4" x14ac:dyDescent="0.3">
      <c r="C193" s="52">
        <f>SUMIF(BTS_매출관리!C:C,B193,BTS_매출관리!I:I)</f>
        <v>0</v>
      </c>
      <c r="D193">
        <f t="shared" si="2"/>
        <v>43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43</v>
      </c>
    </row>
    <row r="195" spans="3:4" x14ac:dyDescent="0.3">
      <c r="C195" s="52">
        <f>SUMIF(BTS_매출관리!C:C,B195,BTS_매출관리!I:I)</f>
        <v>0</v>
      </c>
      <c r="D195">
        <f t="shared" si="3"/>
        <v>43</v>
      </c>
    </row>
    <row r="196" spans="3:4" x14ac:dyDescent="0.3">
      <c r="C196" s="52">
        <f>SUMIF(BTS_매출관리!C:C,B196,BTS_매출관리!I:I)</f>
        <v>0</v>
      </c>
      <c r="D196">
        <f t="shared" si="3"/>
        <v>43</v>
      </c>
    </row>
    <row r="197" spans="3:4" x14ac:dyDescent="0.3">
      <c r="C197" s="52">
        <f>SUMIF(BTS_매출관리!C:C,B197,BTS_매출관리!I:I)</f>
        <v>0</v>
      </c>
      <c r="D197">
        <f t="shared" si="3"/>
        <v>43</v>
      </c>
    </row>
    <row r="198" spans="3:4" x14ac:dyDescent="0.3">
      <c r="C198" s="52">
        <f>SUMIF(BTS_매출관리!C:C,B198,BTS_매출관리!I:I)</f>
        <v>0</v>
      </c>
      <c r="D198">
        <f t="shared" si="3"/>
        <v>43</v>
      </c>
    </row>
    <row r="199" spans="3:4" x14ac:dyDescent="0.3">
      <c r="C199" s="52">
        <f>SUMIF(BTS_매출관리!C:C,B199,BTS_매출관리!I:I)</f>
        <v>0</v>
      </c>
      <c r="D199">
        <f t="shared" si="3"/>
        <v>43</v>
      </c>
    </row>
    <row r="200" spans="3:4" x14ac:dyDescent="0.3">
      <c r="C200" s="52">
        <f>SUMIF(BTS_매출관리!C:C,B200,BTS_매출관리!I:I)</f>
        <v>0</v>
      </c>
      <c r="D200">
        <f t="shared" si="3"/>
        <v>43</v>
      </c>
    </row>
    <row r="201" spans="3:4" x14ac:dyDescent="0.3">
      <c r="C201" s="52">
        <f>SUMIF(BTS_매출관리!C:C,B201,BTS_매출관리!I:I)</f>
        <v>0</v>
      </c>
      <c r="D201">
        <f t="shared" si="3"/>
        <v>43</v>
      </c>
    </row>
    <row r="202" spans="3:4" x14ac:dyDescent="0.3">
      <c r="C202" s="52">
        <f>SUMIF(BTS_매출관리!C:C,B202,BTS_매출관리!I:I)</f>
        <v>0</v>
      </c>
      <c r="D202">
        <f t="shared" si="3"/>
        <v>43</v>
      </c>
    </row>
    <row r="203" spans="3:4" x14ac:dyDescent="0.3">
      <c r="C203" s="52">
        <f>SUMIF(BTS_매출관리!C:C,B203,BTS_매출관리!I:I)</f>
        <v>0</v>
      </c>
      <c r="D203">
        <f t="shared" si="3"/>
        <v>43</v>
      </c>
    </row>
    <row r="204" spans="3:4" x14ac:dyDescent="0.3">
      <c r="C204" s="52">
        <f>SUMIF(BTS_매출관리!C:C,B204,BTS_매출관리!I:I)</f>
        <v>0</v>
      </c>
      <c r="D204">
        <f t="shared" si="3"/>
        <v>43</v>
      </c>
    </row>
    <row r="205" spans="3:4" x14ac:dyDescent="0.3">
      <c r="C205" s="52">
        <f>SUMIF(BTS_매출관리!C:C,B205,BTS_매출관리!I:I)</f>
        <v>0</v>
      </c>
      <c r="D205">
        <f t="shared" si="3"/>
        <v>43</v>
      </c>
    </row>
    <row r="206" spans="3:4" x14ac:dyDescent="0.3">
      <c r="C206" s="52">
        <f>SUMIF(BTS_매출관리!C:C,B206,BTS_매출관리!I:I)</f>
        <v>0</v>
      </c>
      <c r="D206">
        <f t="shared" si="3"/>
        <v>43</v>
      </c>
    </row>
    <row r="207" spans="3:4" x14ac:dyDescent="0.3">
      <c r="C207" s="52">
        <f>SUMIF(BTS_매출관리!C:C,B207,BTS_매출관리!I:I)</f>
        <v>0</v>
      </c>
      <c r="D207">
        <f t="shared" si="3"/>
        <v>43</v>
      </c>
    </row>
    <row r="208" spans="3:4" x14ac:dyDescent="0.3">
      <c r="C208" s="52">
        <f>SUMIF(BTS_매출관리!C:C,B208,BTS_매출관리!I:I)</f>
        <v>0</v>
      </c>
      <c r="D208">
        <f t="shared" si="3"/>
        <v>43</v>
      </c>
    </row>
    <row r="209" spans="3:4" x14ac:dyDescent="0.3">
      <c r="C209" s="52">
        <f>SUMIF(BTS_매출관리!C:C,B209,BTS_매출관리!I:I)</f>
        <v>0</v>
      </c>
      <c r="D209">
        <f t="shared" si="3"/>
        <v>43</v>
      </c>
    </row>
    <row r="210" spans="3:4" x14ac:dyDescent="0.3">
      <c r="C210" s="52">
        <f>SUMIF(BTS_매출관리!C:C,B210,BTS_매출관리!I:I)</f>
        <v>0</v>
      </c>
      <c r="D210">
        <f t="shared" si="3"/>
        <v>43</v>
      </c>
    </row>
    <row r="211" spans="3:4" x14ac:dyDescent="0.3">
      <c r="C211" s="52">
        <f>SUMIF(BTS_매출관리!C:C,B211,BTS_매출관리!I:I)</f>
        <v>0</v>
      </c>
      <c r="D211">
        <f t="shared" si="3"/>
        <v>43</v>
      </c>
    </row>
    <row r="212" spans="3:4" x14ac:dyDescent="0.3">
      <c r="C212" s="52">
        <f>SUMIF(BTS_매출관리!C:C,B212,BTS_매출관리!I:I)</f>
        <v>0</v>
      </c>
      <c r="D212">
        <f t="shared" si="3"/>
        <v>43</v>
      </c>
    </row>
    <row r="213" spans="3:4" x14ac:dyDescent="0.3">
      <c r="C213" s="52">
        <f>SUMIF(BTS_매출관리!C:C,B213,BTS_매출관리!I:I)</f>
        <v>0</v>
      </c>
      <c r="D213">
        <f t="shared" si="3"/>
        <v>43</v>
      </c>
    </row>
    <row r="214" spans="3:4" x14ac:dyDescent="0.3">
      <c r="C214" s="52">
        <f>SUMIF(BTS_매출관리!C:C,B214,BTS_매출관리!I:I)</f>
        <v>0</v>
      </c>
      <c r="D214">
        <f t="shared" si="3"/>
        <v>43</v>
      </c>
    </row>
    <row r="215" spans="3:4" x14ac:dyDescent="0.3">
      <c r="C215" s="52">
        <f>SUMIF(BTS_매출관리!C:C,B215,BTS_매출관리!I:I)</f>
        <v>0</v>
      </c>
      <c r="D215">
        <f t="shared" si="3"/>
        <v>43</v>
      </c>
    </row>
    <row r="216" spans="3:4" x14ac:dyDescent="0.3">
      <c r="C216" s="52">
        <f>SUMIF(BTS_매출관리!C:C,B216,BTS_매출관리!I:I)</f>
        <v>0</v>
      </c>
      <c r="D216">
        <f t="shared" si="3"/>
        <v>43</v>
      </c>
    </row>
    <row r="217" spans="3:4" x14ac:dyDescent="0.3">
      <c r="C217" s="52">
        <f>SUMIF(BTS_매출관리!C:C,B217,BTS_매출관리!I:I)</f>
        <v>0</v>
      </c>
      <c r="D217">
        <f t="shared" si="3"/>
        <v>43</v>
      </c>
    </row>
    <row r="218" spans="3:4" x14ac:dyDescent="0.3">
      <c r="C218" s="52">
        <f>SUMIF(BTS_매출관리!C:C,B218,BTS_매출관리!I:I)</f>
        <v>0</v>
      </c>
      <c r="D218">
        <f t="shared" si="3"/>
        <v>43</v>
      </c>
    </row>
    <row r="219" spans="3:4" x14ac:dyDescent="0.3">
      <c r="C219" s="52">
        <f>SUMIF(BTS_매출관리!C:C,B219,BTS_매출관리!I:I)</f>
        <v>0</v>
      </c>
      <c r="D219">
        <f t="shared" si="3"/>
        <v>43</v>
      </c>
    </row>
    <row r="220" spans="3:4" x14ac:dyDescent="0.3">
      <c r="C220" s="52">
        <f>SUMIF(BTS_매출관리!C:C,B220,BTS_매출관리!I:I)</f>
        <v>0</v>
      </c>
      <c r="D220">
        <f t="shared" si="3"/>
        <v>43</v>
      </c>
    </row>
    <row r="221" spans="3:4" x14ac:dyDescent="0.3">
      <c r="C221" s="52">
        <f>SUMIF(BTS_매출관리!C:C,B221,BTS_매출관리!I:I)</f>
        <v>0</v>
      </c>
      <c r="D221">
        <f t="shared" si="3"/>
        <v>43</v>
      </c>
    </row>
    <row r="222" spans="3:4" x14ac:dyDescent="0.3">
      <c r="C222" s="52">
        <f>SUMIF(BTS_매출관리!C:C,B222,BTS_매출관리!I:I)</f>
        <v>0</v>
      </c>
      <c r="D222">
        <f t="shared" si="3"/>
        <v>43</v>
      </c>
    </row>
    <row r="223" spans="3:4" x14ac:dyDescent="0.3">
      <c r="C223" s="52">
        <f>SUMIF(BTS_매출관리!C:C,B223,BTS_매출관리!I:I)</f>
        <v>0</v>
      </c>
      <c r="D223">
        <f t="shared" si="3"/>
        <v>43</v>
      </c>
    </row>
    <row r="224" spans="3:4" x14ac:dyDescent="0.3">
      <c r="C224" s="52">
        <f>SUMIF(BTS_매출관리!C:C,B224,BTS_매출관리!I:I)</f>
        <v>0</v>
      </c>
      <c r="D224">
        <f t="shared" si="3"/>
        <v>43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2334</v>
      </c>
      <c r="C1" s="445" t="s">
        <v>2538</v>
      </c>
      <c r="D1" s="442" t="s">
        <v>2567</v>
      </c>
      <c r="E1" s="442" t="s">
        <v>36</v>
      </c>
      <c r="F1" s="442" t="s">
        <v>2726</v>
      </c>
      <c r="G1" s="442"/>
      <c r="H1" s="442" t="s">
        <v>2727</v>
      </c>
      <c r="I1" s="442"/>
      <c r="J1" s="442" t="s">
        <v>2728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2539</v>
      </c>
      <c r="G2" s="281" t="s">
        <v>2540</v>
      </c>
      <c r="H2" s="281" t="s">
        <v>2541</v>
      </c>
      <c r="I2" s="281" t="s">
        <v>2542</v>
      </c>
      <c r="J2" s="281" t="s">
        <v>2541</v>
      </c>
      <c r="K2" s="281" t="s">
        <v>2542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2543</v>
      </c>
      <c r="D3" s="277" t="s">
        <v>2544</v>
      </c>
      <c r="E3" s="277" t="s">
        <v>2545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2546</v>
      </c>
      <c r="D4" s="252" t="s">
        <v>2547</v>
      </c>
      <c r="E4" s="252" t="s">
        <v>2545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2543</v>
      </c>
      <c r="D5" s="252" t="s">
        <v>2544</v>
      </c>
      <c r="E5" s="252" t="s">
        <v>2545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2543</v>
      </c>
      <c r="D6" s="252" t="s">
        <v>2544</v>
      </c>
      <c r="E6" s="252" t="s">
        <v>2545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2543</v>
      </c>
      <c r="D7" s="252" t="s">
        <v>2544</v>
      </c>
      <c r="E7" s="252" t="s">
        <v>2548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2549</v>
      </c>
      <c r="D8" s="252" t="s">
        <v>2550</v>
      </c>
      <c r="E8" s="252" t="s">
        <v>2545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2551</v>
      </c>
      <c r="D9" s="252" t="s">
        <v>2552</v>
      </c>
      <c r="E9" s="252" t="s">
        <v>2545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2553</v>
      </c>
      <c r="D10" s="252" t="s">
        <v>2544</v>
      </c>
      <c r="E10" s="252" t="s">
        <v>2548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2554</v>
      </c>
      <c r="D11" s="252" t="s">
        <v>2544</v>
      </c>
      <c r="E11" s="252" t="s">
        <v>2548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2543</v>
      </c>
      <c r="D12" s="252" t="s">
        <v>2544</v>
      </c>
      <c r="E12" s="252" t="s">
        <v>2545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2543</v>
      </c>
      <c r="D13" s="252" t="s">
        <v>2544</v>
      </c>
      <c r="E13" s="252" t="s">
        <v>2545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2546</v>
      </c>
      <c r="D14" s="252" t="s">
        <v>2547</v>
      </c>
      <c r="E14" s="252" t="s">
        <v>2548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2543</v>
      </c>
      <c r="D15" s="252" t="s">
        <v>2544</v>
      </c>
      <c r="E15" s="252" t="s">
        <v>2548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2555</v>
      </c>
      <c r="D16" s="252" t="s">
        <v>2556</v>
      </c>
      <c r="E16" s="252" t="s">
        <v>2548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2543</v>
      </c>
      <c r="D17" s="252" t="s">
        <v>2544</v>
      </c>
      <c r="E17" s="252" t="s">
        <v>2548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2554</v>
      </c>
      <c r="D18" s="252" t="s">
        <v>2544</v>
      </c>
      <c r="E18" s="252" t="s">
        <v>2545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2557</v>
      </c>
      <c r="D19" s="252" t="s">
        <v>2558</v>
      </c>
      <c r="E19" s="252" t="s">
        <v>2548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2553</v>
      </c>
      <c r="D20" s="252" t="s">
        <v>2544</v>
      </c>
      <c r="E20" s="252" t="s">
        <v>2548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2559</v>
      </c>
      <c r="D21" s="252" t="s">
        <v>2556</v>
      </c>
      <c r="E21" s="252" t="s">
        <v>2548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2560</v>
      </c>
      <c r="D22" s="252" t="s">
        <v>2561</v>
      </c>
      <c r="E22" s="252" t="s">
        <v>2548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2562</v>
      </c>
      <c r="D23" s="252" t="s">
        <v>2563</v>
      </c>
      <c r="E23" s="252" t="s">
        <v>2548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2546</v>
      </c>
      <c r="D24" s="252" t="s">
        <v>2547</v>
      </c>
      <c r="E24" s="252" t="s">
        <v>2548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2543</v>
      </c>
      <c r="D25" s="252" t="s">
        <v>2544</v>
      </c>
      <c r="E25" s="252" t="s">
        <v>2548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2543</v>
      </c>
      <c r="D26" s="252" t="s">
        <v>2564</v>
      </c>
      <c r="E26" s="252" t="s">
        <v>2548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2565</v>
      </c>
      <c r="D27" s="252" t="s">
        <v>2544</v>
      </c>
      <c r="E27" s="252" t="s">
        <v>2548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2543</v>
      </c>
      <c r="D28" s="252" t="s">
        <v>2544</v>
      </c>
      <c r="E28" s="252" t="s">
        <v>2548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2543</v>
      </c>
      <c r="D29" s="252" t="s">
        <v>2544</v>
      </c>
      <c r="E29" s="252" t="s">
        <v>2548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2553</v>
      </c>
      <c r="D30" s="252" t="s">
        <v>2544</v>
      </c>
      <c r="E30" s="252" t="s">
        <v>2548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2557</v>
      </c>
      <c r="D31" s="252" t="s">
        <v>2558</v>
      </c>
      <c r="E31" s="252" t="s">
        <v>2548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2555</v>
      </c>
      <c r="D32" s="252" t="s">
        <v>2556</v>
      </c>
      <c r="E32" s="252" t="s">
        <v>2548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2554</v>
      </c>
      <c r="D33" s="252" t="s">
        <v>2544</v>
      </c>
      <c r="E33" s="252" t="s">
        <v>2548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2559</v>
      </c>
      <c r="D34" s="252" t="s">
        <v>2556</v>
      </c>
      <c r="E34" s="252" t="s">
        <v>2548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2546</v>
      </c>
      <c r="D35" s="252" t="s">
        <v>2547</v>
      </c>
      <c r="E35" s="252" t="s">
        <v>2548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2543</v>
      </c>
      <c r="D36" s="252" t="s">
        <v>2544</v>
      </c>
      <c r="E36" s="252" t="s">
        <v>2548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2546</v>
      </c>
      <c r="D37" s="252" t="s">
        <v>2547</v>
      </c>
      <c r="E37" s="252" t="s">
        <v>2548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2562</v>
      </c>
      <c r="D38" s="252" t="s">
        <v>2563</v>
      </c>
      <c r="E38" s="252" t="s">
        <v>2548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2543</v>
      </c>
      <c r="D39" s="252" t="s">
        <v>2544</v>
      </c>
      <c r="E39" s="252" t="s">
        <v>2548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2546</v>
      </c>
      <c r="D40" s="252" t="s">
        <v>2547</v>
      </c>
      <c r="E40" s="252" t="s">
        <v>2548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2560</v>
      </c>
      <c r="D41" s="252" t="s">
        <v>2561</v>
      </c>
      <c r="E41" s="252" t="s">
        <v>2548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2562</v>
      </c>
      <c r="D42" s="252" t="s">
        <v>2563</v>
      </c>
      <c r="E42" s="252" t="s">
        <v>2548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2543</v>
      </c>
      <c r="D43" s="252" t="s">
        <v>2544</v>
      </c>
      <c r="E43" s="252" t="s">
        <v>2548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2553</v>
      </c>
      <c r="D44" s="252" t="s">
        <v>2544</v>
      </c>
      <c r="E44" s="252" t="s">
        <v>2548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2559</v>
      </c>
      <c r="D45" s="252" t="s">
        <v>2556</v>
      </c>
      <c r="E45" s="252" t="s">
        <v>2548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2554</v>
      </c>
      <c r="D46" s="252" t="s">
        <v>2544</v>
      </c>
      <c r="E46" s="252" t="s">
        <v>2548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2555</v>
      </c>
      <c r="D47" s="252" t="s">
        <v>2556</v>
      </c>
      <c r="E47" s="252" t="s">
        <v>2548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2991</v>
      </c>
      <c r="D48" s="252" t="s">
        <v>2992</v>
      </c>
      <c r="E48" s="252" t="s">
        <v>2548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3071</v>
      </c>
      <c r="D49" s="252" t="s">
        <v>3072</v>
      </c>
      <c r="E49" s="252" t="s">
        <v>2548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2543</v>
      </c>
      <c r="D50" s="252" t="s">
        <v>2992</v>
      </c>
      <c r="E50" s="252" t="s">
        <v>2548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2562</v>
      </c>
      <c r="D51" s="252" t="s">
        <v>3075</v>
      </c>
      <c r="E51" s="252" t="s">
        <v>2548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3073</v>
      </c>
      <c r="D52" s="252" t="s">
        <v>3074</v>
      </c>
      <c r="E52" s="252" t="s">
        <v>2548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2562</v>
      </c>
      <c r="D53" s="252" t="s">
        <v>3075</v>
      </c>
      <c r="E53" s="252" t="s">
        <v>2548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3076</v>
      </c>
      <c r="D54" s="252" t="s">
        <v>3077</v>
      </c>
      <c r="E54" s="252" t="s">
        <v>2548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2553</v>
      </c>
      <c r="D55" s="252" t="s">
        <v>2544</v>
      </c>
      <c r="E55" s="252" t="s">
        <v>2548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2559</v>
      </c>
      <c r="D56" s="252" t="s">
        <v>2556</v>
      </c>
      <c r="E56" s="252" t="s">
        <v>2548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2555</v>
      </c>
      <c r="D57" s="252" t="s">
        <v>2556</v>
      </c>
      <c r="E57" s="252" t="s">
        <v>2548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2554</v>
      </c>
      <c r="D58" s="252" t="s">
        <v>2544</v>
      </c>
      <c r="E58" s="252" t="s">
        <v>2548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2549</v>
      </c>
      <c r="D59" s="252" t="s">
        <v>2550</v>
      </c>
      <c r="E59" s="252" t="s">
        <v>2548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2543</v>
      </c>
      <c r="D60" s="252" t="s">
        <v>2544</v>
      </c>
      <c r="E60" s="252" t="s">
        <v>2548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2548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2548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2548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2548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2548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2548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2548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2548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2548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2548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2548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2548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2548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2548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2548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2548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2548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2548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2548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2548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2548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2548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2548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2548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2548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2548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2548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2548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2545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2548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2548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2548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2548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2548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2548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2548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2548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2548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2548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2548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2548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2548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2548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2548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2548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2548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2548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2548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2548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2548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2548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2548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2548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2548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2548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2548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2548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2548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2548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2548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2548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2548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2548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2548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2548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2548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2548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2548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2548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2548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2548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2548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2548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2548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2566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2567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2568</v>
      </c>
      <c r="K8" s="77" t="s">
        <v>1633</v>
      </c>
      <c r="L8" s="77" t="s">
        <v>2568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1172</v>
      </c>
      <c r="B3" s="37" t="s">
        <v>59</v>
      </c>
      <c r="C3" s="480" t="s">
        <v>1549</v>
      </c>
      <c r="D3" s="481"/>
      <c r="E3" s="481"/>
      <c r="F3" s="481"/>
      <c r="G3" s="481"/>
      <c r="H3" s="481"/>
      <c r="I3" s="481"/>
      <c r="J3" s="482"/>
      <c r="K3" s="328" t="s">
        <v>1173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1098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1097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1136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1172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1173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77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902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2464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2465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2466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2468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2469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2471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2473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2474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2476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2487</v>
      </c>
    </row>
    <row r="374" spans="1:4" x14ac:dyDescent="0.3">
      <c r="A374">
        <v>398</v>
      </c>
      <c r="B374" s="13">
        <v>45819</v>
      </c>
      <c r="C374" t="s">
        <v>2488</v>
      </c>
      <c r="D374" t="s">
        <v>2489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2491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2492</v>
      </c>
    </row>
    <row r="377" spans="1:4" x14ac:dyDescent="0.3">
      <c r="A377">
        <v>401</v>
      </c>
      <c r="B377" s="13">
        <v>45819</v>
      </c>
      <c r="C377" t="s">
        <v>2479</v>
      </c>
      <c r="D377" t="s">
        <v>2493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2494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2495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2496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2497</v>
      </c>
    </row>
    <row r="382" spans="1:4" x14ac:dyDescent="0.3">
      <c r="A382">
        <v>406</v>
      </c>
      <c r="B382" s="13">
        <v>45821</v>
      </c>
      <c r="C382" t="s">
        <v>2498</v>
      </c>
      <c r="D382" t="s">
        <v>2504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2505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2506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2507</v>
      </c>
    </row>
    <row r="386" spans="1:4" x14ac:dyDescent="0.3">
      <c r="A386">
        <v>410</v>
      </c>
      <c r="B386" s="13">
        <v>45821</v>
      </c>
      <c r="C386" t="s">
        <v>2508</v>
      </c>
      <c r="D386" t="s">
        <v>2509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2513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2520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2521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2522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2523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2528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2529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2530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2570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2573</v>
      </c>
    </row>
    <row r="397" spans="1:4" x14ac:dyDescent="0.3">
      <c r="A397">
        <v>421</v>
      </c>
      <c r="B397" s="13">
        <v>45825</v>
      </c>
      <c r="C397" t="s">
        <v>2572</v>
      </c>
      <c r="D397" t="s">
        <v>2574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2580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2583</v>
      </c>
    </row>
    <row r="400" spans="1:4" x14ac:dyDescent="0.3">
      <c r="A400">
        <v>424</v>
      </c>
      <c r="B400" s="13">
        <v>45826</v>
      </c>
      <c r="C400" t="s">
        <v>2488</v>
      </c>
      <c r="D400" t="s">
        <v>2584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2585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2586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2587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2588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2590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2591</v>
      </c>
    </row>
    <row r="407" spans="1:4" x14ac:dyDescent="0.3">
      <c r="A407">
        <v>431</v>
      </c>
      <c r="B407" s="13">
        <v>45827</v>
      </c>
      <c r="C407" t="s">
        <v>2572</v>
      </c>
      <c r="D407" t="s">
        <v>2596</v>
      </c>
    </row>
    <row r="408" spans="1:4" x14ac:dyDescent="0.3">
      <c r="A408">
        <v>432</v>
      </c>
      <c r="B408" s="13">
        <v>45827</v>
      </c>
      <c r="C408" t="s">
        <v>1407</v>
      </c>
      <c r="D408" t="s">
        <v>2599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2600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2601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2602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2604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2606</v>
      </c>
    </row>
    <row r="414" spans="1:4" x14ac:dyDescent="0.3">
      <c r="A414">
        <v>438</v>
      </c>
      <c r="B414" s="13">
        <v>45828</v>
      </c>
      <c r="C414" t="s">
        <v>2613</v>
      </c>
      <c r="D414" t="s">
        <v>2614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2615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2616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2617</v>
      </c>
    </row>
    <row r="418" spans="1:4" x14ac:dyDescent="0.3">
      <c r="A418">
        <v>442</v>
      </c>
      <c r="B418" s="13">
        <v>45828</v>
      </c>
      <c r="C418" t="s">
        <v>2618</v>
      </c>
      <c r="D418" t="s">
        <v>2619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2620</v>
      </c>
    </row>
    <row r="420" spans="1:4" x14ac:dyDescent="0.3">
      <c r="A420">
        <v>444</v>
      </c>
      <c r="B420" s="13">
        <v>45828</v>
      </c>
      <c r="C420" t="s">
        <v>2626</v>
      </c>
      <c r="D420" t="s">
        <v>2627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2629</v>
      </c>
    </row>
    <row r="422" spans="1:4" x14ac:dyDescent="0.3">
      <c r="A422">
        <v>446</v>
      </c>
      <c r="B422" s="13">
        <v>45829</v>
      </c>
      <c r="C422" t="s">
        <v>2514</v>
      </c>
      <c r="D422" t="s">
        <v>2630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2633</v>
      </c>
    </row>
    <row r="424" spans="1:4" x14ac:dyDescent="0.3">
      <c r="A424">
        <v>448</v>
      </c>
      <c r="B424" s="13">
        <v>45831</v>
      </c>
      <c r="C424" t="s">
        <v>2634</v>
      </c>
      <c r="D424" t="s">
        <v>2635</v>
      </c>
    </row>
    <row r="425" spans="1:4" x14ac:dyDescent="0.3">
      <c r="A425">
        <v>449</v>
      </c>
      <c r="B425" s="13">
        <v>45831</v>
      </c>
      <c r="C425" t="s">
        <v>2641</v>
      </c>
      <c r="D425" t="s">
        <v>2642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2648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2649</v>
      </c>
    </row>
    <row r="428" spans="1:4" x14ac:dyDescent="0.3">
      <c r="A428">
        <v>452</v>
      </c>
      <c r="B428" s="13">
        <v>45832</v>
      </c>
      <c r="C428" t="s">
        <v>2488</v>
      </c>
      <c r="D428" t="s">
        <v>2656</v>
      </c>
    </row>
    <row r="429" spans="1:4" x14ac:dyDescent="0.3">
      <c r="A429">
        <v>453</v>
      </c>
      <c r="B429" s="13">
        <v>45832</v>
      </c>
      <c r="C429" t="s">
        <v>2650</v>
      </c>
      <c r="D429" t="s">
        <v>2657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2658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2659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2666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2667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2668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2670</v>
      </c>
    </row>
    <row r="436" spans="1:4" x14ac:dyDescent="0.3">
      <c r="A436">
        <v>460</v>
      </c>
      <c r="B436" s="13">
        <v>45833</v>
      </c>
      <c r="C436" t="s">
        <v>2661</v>
      </c>
      <c r="D436" t="s">
        <v>2671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2673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2674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2679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2680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2683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2684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2686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2696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2699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2710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2711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2713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2714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2716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2717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2721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2729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2732</v>
      </c>
    </row>
    <row r="455" spans="1:4" x14ac:dyDescent="0.3">
      <c r="A455">
        <v>479</v>
      </c>
      <c r="B455" s="13">
        <v>45838</v>
      </c>
      <c r="C455" t="s">
        <v>2722</v>
      </c>
      <c r="D455" t="s">
        <v>2733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2734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2735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2736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2739</v>
      </c>
    </row>
    <row r="460" spans="1:4" x14ac:dyDescent="0.3">
      <c r="A460">
        <v>484</v>
      </c>
      <c r="B460" s="13">
        <v>45839</v>
      </c>
      <c r="C460" t="s">
        <v>2743</v>
      </c>
      <c r="D460" t="s">
        <v>2744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2745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2747</v>
      </c>
    </row>
    <row r="463" spans="1:4" x14ac:dyDescent="0.3">
      <c r="A463">
        <v>487</v>
      </c>
      <c r="B463" s="13">
        <v>45839</v>
      </c>
      <c r="C463" t="s">
        <v>2750</v>
      </c>
      <c r="D463" t="s">
        <v>2753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2754</v>
      </c>
    </row>
    <row r="465" spans="1:4" x14ac:dyDescent="0.3">
      <c r="A465">
        <v>489</v>
      </c>
      <c r="B465" s="13">
        <v>45840</v>
      </c>
      <c r="C465" t="s">
        <v>2758</v>
      </c>
      <c r="D465" t="s">
        <v>2759</v>
      </c>
    </row>
    <row r="466" spans="1:4" x14ac:dyDescent="0.3">
      <c r="A466">
        <v>490</v>
      </c>
      <c r="B466" s="13">
        <v>45840</v>
      </c>
      <c r="C466" t="s">
        <v>2760</v>
      </c>
      <c r="D466" t="s">
        <v>2764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2771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2772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2773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2774</v>
      </c>
    </row>
    <row r="471" spans="1:4" x14ac:dyDescent="0.3">
      <c r="A471">
        <v>495</v>
      </c>
      <c r="B471" s="13">
        <v>45841</v>
      </c>
      <c r="C471" t="s">
        <v>2780</v>
      </c>
      <c r="D471" t="s">
        <v>2783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2784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2785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2786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2791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2792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2794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2795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2797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2798</v>
      </c>
    </row>
    <row r="481" spans="1:4" x14ac:dyDescent="0.3">
      <c r="A481">
        <v>505</v>
      </c>
      <c r="B481" s="13">
        <v>45845</v>
      </c>
      <c r="C481" t="s">
        <v>1452</v>
      </c>
      <c r="D481" t="s">
        <v>2799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2800</v>
      </c>
    </row>
    <row r="483" spans="1:4" x14ac:dyDescent="0.3">
      <c r="A483">
        <v>507</v>
      </c>
      <c r="B483" s="13">
        <v>45845</v>
      </c>
      <c r="C483" t="s">
        <v>2807</v>
      </c>
      <c r="D483" t="s">
        <v>2811</v>
      </c>
    </row>
    <row r="484" spans="1:4" x14ac:dyDescent="0.3">
      <c r="A484">
        <v>508</v>
      </c>
      <c r="B484" s="13">
        <v>45845</v>
      </c>
      <c r="C484" t="s">
        <v>2613</v>
      </c>
      <c r="D484" t="s">
        <v>2812</v>
      </c>
    </row>
    <row r="485" spans="1:4" x14ac:dyDescent="0.3">
      <c r="A485">
        <v>509</v>
      </c>
      <c r="B485" s="13">
        <v>45845</v>
      </c>
      <c r="C485" t="s">
        <v>2801</v>
      </c>
      <c r="D485" t="s">
        <v>2813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2814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2815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2816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2818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2821</v>
      </c>
    </row>
    <row r="491" spans="1:4" x14ac:dyDescent="0.3">
      <c r="A491">
        <v>515</v>
      </c>
      <c r="B491" s="13">
        <v>45846</v>
      </c>
      <c r="C491" t="s">
        <v>2807</v>
      </c>
      <c r="D491" t="s">
        <v>2824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2825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2826</v>
      </c>
    </row>
    <row r="494" spans="1:4" x14ac:dyDescent="0.3">
      <c r="A494">
        <v>518</v>
      </c>
      <c r="B494" s="13">
        <v>45846</v>
      </c>
      <c r="C494" t="s">
        <v>2827</v>
      </c>
      <c r="D494" t="s">
        <v>2831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2833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2834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2835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2836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2837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2839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2843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2844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2845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2846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2847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2848</v>
      </c>
    </row>
    <row r="507" spans="1:4" x14ac:dyDescent="0.3">
      <c r="A507">
        <v>531</v>
      </c>
      <c r="B507" s="13">
        <v>45848</v>
      </c>
      <c r="C507" t="s">
        <v>2743</v>
      </c>
      <c r="D507" t="s">
        <v>2853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2855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2856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2857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2859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2869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2870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2871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2872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2873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2874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2875</v>
      </c>
    </row>
    <row r="519" spans="1:4" x14ac:dyDescent="0.3">
      <c r="A519">
        <v>543</v>
      </c>
      <c r="B519" s="13">
        <v>45849</v>
      </c>
      <c r="C519" t="s">
        <v>2876</v>
      </c>
      <c r="D519" t="s">
        <v>2877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2880</v>
      </c>
    </row>
    <row r="521" spans="1:4" x14ac:dyDescent="0.3">
      <c r="A521">
        <v>545</v>
      </c>
      <c r="B521" s="13">
        <v>45850</v>
      </c>
      <c r="C521" t="s">
        <v>2743</v>
      </c>
      <c r="D521" t="s">
        <v>2882</v>
      </c>
    </row>
    <row r="522" spans="1:4" x14ac:dyDescent="0.3">
      <c r="A522">
        <v>546</v>
      </c>
      <c r="B522" s="13">
        <v>45852</v>
      </c>
      <c r="C522" t="s">
        <v>2887</v>
      </c>
      <c r="D522" t="s">
        <v>2890</v>
      </c>
    </row>
    <row r="523" spans="1:4" x14ac:dyDescent="0.3">
      <c r="A523">
        <v>547</v>
      </c>
      <c r="B523" s="13">
        <v>45852</v>
      </c>
      <c r="C523" t="s">
        <v>2891</v>
      </c>
      <c r="D523" t="s">
        <v>2895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2896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2897</v>
      </c>
    </row>
    <row r="526" spans="1:4" x14ac:dyDescent="0.3">
      <c r="A526">
        <v>550</v>
      </c>
      <c r="B526" s="13">
        <v>45852</v>
      </c>
      <c r="C526" t="s">
        <v>2331</v>
      </c>
      <c r="D526" t="s">
        <v>2899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2900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2901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2912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2913</v>
      </c>
    </row>
    <row r="531" spans="1:4" x14ac:dyDescent="0.3">
      <c r="A531">
        <v>555</v>
      </c>
      <c r="B531" s="13">
        <v>45853</v>
      </c>
      <c r="C531" t="s">
        <v>2914</v>
      </c>
      <c r="D531" t="s">
        <v>2917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2918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2919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2920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2921</v>
      </c>
    </row>
    <row r="536" spans="1:4" x14ac:dyDescent="0.3">
      <c r="A536">
        <v>560</v>
      </c>
      <c r="B536" s="13">
        <v>45853</v>
      </c>
      <c r="C536" t="s">
        <v>2908</v>
      </c>
      <c r="D536" t="s">
        <v>2923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2924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2930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2932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2933</v>
      </c>
    </row>
    <row r="541" spans="1:4" x14ac:dyDescent="0.3">
      <c r="A541">
        <v>565</v>
      </c>
      <c r="B541" s="13">
        <v>45854</v>
      </c>
      <c r="C541" t="s">
        <v>2934</v>
      </c>
      <c r="D541" t="s">
        <v>2936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2943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2945</v>
      </c>
    </row>
    <row r="544" spans="1:4" x14ac:dyDescent="0.3">
      <c r="A544">
        <v>568</v>
      </c>
      <c r="B544" s="13">
        <v>45855</v>
      </c>
      <c r="C544" t="s">
        <v>2641</v>
      </c>
      <c r="D544" t="s">
        <v>2946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2947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2952</v>
      </c>
    </row>
    <row r="547" spans="1:4" x14ac:dyDescent="0.3">
      <c r="A547">
        <v>571</v>
      </c>
      <c r="B547" s="13">
        <v>45856</v>
      </c>
      <c r="C547" t="s">
        <v>2953</v>
      </c>
      <c r="D547" t="s">
        <v>2957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2959</v>
      </c>
    </row>
    <row r="549" spans="1:4" x14ac:dyDescent="0.3">
      <c r="A549">
        <v>573</v>
      </c>
      <c r="B549" s="13">
        <v>45856</v>
      </c>
      <c r="C549" t="s">
        <v>2960</v>
      </c>
      <c r="D549" t="s">
        <v>2962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2963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2964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2969</v>
      </c>
    </row>
    <row r="553" spans="1:4" x14ac:dyDescent="0.3">
      <c r="A553">
        <v>577</v>
      </c>
      <c r="B553" s="13">
        <v>45859</v>
      </c>
      <c r="C553" t="s">
        <v>2626</v>
      </c>
      <c r="D553" t="s">
        <v>2971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2974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2975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2977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2978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2979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2980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2981</v>
      </c>
    </row>
    <row r="561" spans="1:4" x14ac:dyDescent="0.3">
      <c r="A561">
        <v>585</v>
      </c>
      <c r="B561" s="13">
        <v>45860</v>
      </c>
      <c r="C561" t="s">
        <v>2982</v>
      </c>
      <c r="D561" t="s">
        <v>2986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2987</v>
      </c>
    </row>
    <row r="563" spans="1:4" x14ac:dyDescent="0.3">
      <c r="A563">
        <v>587</v>
      </c>
      <c r="B563" s="13">
        <v>45860</v>
      </c>
      <c r="C563" t="s">
        <v>2908</v>
      </c>
      <c r="D563" t="s">
        <v>2988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2994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2995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2996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2997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2998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2999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3000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3007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3008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3009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3010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3011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3014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3015</v>
      </c>
    </row>
    <row r="578" spans="1:4" x14ac:dyDescent="0.3">
      <c r="A578">
        <v>602</v>
      </c>
      <c r="B578" s="13">
        <v>45862</v>
      </c>
      <c r="C578" t="s">
        <v>3016</v>
      </c>
      <c r="D578" t="s">
        <v>3017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3020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3024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3025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3026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3027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3029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3030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3031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3032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3033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3034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3035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3036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3037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3038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3039</v>
      </c>
    </row>
    <row r="595" spans="1:4" x14ac:dyDescent="0.3">
      <c r="A595">
        <v>619</v>
      </c>
      <c r="B595" s="13">
        <v>45866</v>
      </c>
      <c r="C595" t="s">
        <v>3040</v>
      </c>
      <c r="D595" t="s">
        <v>3043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3044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3045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3046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3047</v>
      </c>
    </row>
    <row r="600" spans="1:4" x14ac:dyDescent="0.3">
      <c r="A600">
        <v>624</v>
      </c>
      <c r="B600" s="13">
        <v>45866</v>
      </c>
      <c r="C600" t="s">
        <v>3048</v>
      </c>
      <c r="D600" t="s">
        <v>3053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3080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3081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3082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3083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3084</v>
      </c>
    </row>
    <row r="606" spans="1:4" x14ac:dyDescent="0.3">
      <c r="A606">
        <v>630</v>
      </c>
      <c r="B606" s="13">
        <v>45867</v>
      </c>
      <c r="C606" t="s">
        <v>2934</v>
      </c>
      <c r="D606" t="s">
        <v>3085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3086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3087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3090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3091</v>
      </c>
    </row>
    <row r="611" spans="1:4" x14ac:dyDescent="0.3">
      <c r="A611">
        <v>635</v>
      </c>
      <c r="B611" s="13">
        <v>45868</v>
      </c>
      <c r="C611" t="s">
        <v>2807</v>
      </c>
      <c r="D611" t="s">
        <v>3092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3094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3095</v>
      </c>
    </row>
    <row r="614" spans="1:4" x14ac:dyDescent="0.3">
      <c r="A614">
        <v>638</v>
      </c>
      <c r="B614" s="13">
        <v>45868</v>
      </c>
      <c r="C614" t="s">
        <v>3096</v>
      </c>
      <c r="D614" t="s">
        <v>3100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3101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3104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3105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3106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3107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3108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3111</v>
      </c>
    </row>
    <row r="622" spans="1:4" x14ac:dyDescent="0.3">
      <c r="A622">
        <v>646</v>
      </c>
      <c r="B622" s="13">
        <v>45870</v>
      </c>
      <c r="C622" t="s">
        <v>3112</v>
      </c>
      <c r="D622" t="s">
        <v>3113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3114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3115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3119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3120</v>
      </c>
    </row>
    <row r="627" spans="1:4" x14ac:dyDescent="0.3">
      <c r="A627">
        <v>651</v>
      </c>
      <c r="B627" s="13">
        <v>45873</v>
      </c>
      <c r="C627" t="s">
        <v>2891</v>
      </c>
      <c r="D627" t="s">
        <v>3121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3122</v>
      </c>
    </row>
    <row r="629" spans="1:4" x14ac:dyDescent="0.3">
      <c r="A629">
        <v>653</v>
      </c>
      <c r="B629" s="13">
        <v>45873</v>
      </c>
      <c r="C629" t="s">
        <v>2891</v>
      </c>
      <c r="D629" t="s">
        <v>3123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3124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3125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3126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3127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3128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3130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3131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3132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3133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3146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3147</v>
      </c>
    </row>
    <row r="641" spans="1:4" x14ac:dyDescent="0.3">
      <c r="A641">
        <v>665</v>
      </c>
      <c r="B641" s="13">
        <v>45875</v>
      </c>
      <c r="C641" t="s">
        <v>3140</v>
      </c>
      <c r="D641" t="s">
        <v>3152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3154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3155</v>
      </c>
    </row>
    <row r="644" spans="1:4" x14ac:dyDescent="0.3">
      <c r="A644">
        <v>668</v>
      </c>
      <c r="B644" s="13">
        <v>45875</v>
      </c>
      <c r="C644" t="s">
        <v>3156</v>
      </c>
      <c r="D644" t="s">
        <v>3157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3158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3160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3161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3165</v>
      </c>
    </row>
    <row r="649" spans="1:4" x14ac:dyDescent="0.3">
      <c r="A649">
        <v>673</v>
      </c>
      <c r="B649" s="13">
        <v>45876</v>
      </c>
      <c r="C649" t="s">
        <v>2801</v>
      </c>
      <c r="D649" t="s">
        <v>3166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3167</v>
      </c>
    </row>
    <row r="651" spans="1:4" x14ac:dyDescent="0.3">
      <c r="A651">
        <v>675</v>
      </c>
      <c r="B651" s="13">
        <v>45877</v>
      </c>
      <c r="C651" t="s">
        <v>3169</v>
      </c>
      <c r="D651" t="s">
        <v>3170</v>
      </c>
    </row>
    <row r="652" spans="1:4" x14ac:dyDescent="0.3">
      <c r="A652">
        <v>676</v>
      </c>
      <c r="B652" s="13">
        <v>45877</v>
      </c>
      <c r="C652" t="s">
        <v>3171</v>
      </c>
      <c r="D652" t="s">
        <v>3175</v>
      </c>
    </row>
    <row r="653" spans="1:4" x14ac:dyDescent="0.3">
      <c r="A653">
        <v>677</v>
      </c>
      <c r="B653" s="13">
        <v>45877</v>
      </c>
      <c r="C653" t="s">
        <v>3169</v>
      </c>
      <c r="D653" t="s">
        <v>3176</v>
      </c>
    </row>
    <row r="654" spans="1:4" x14ac:dyDescent="0.3">
      <c r="A654">
        <v>678</v>
      </c>
      <c r="B654" s="13">
        <v>45877</v>
      </c>
      <c r="C654" t="s">
        <v>3171</v>
      </c>
      <c r="D654" t="s">
        <v>3177</v>
      </c>
    </row>
    <row r="655" spans="1:4" x14ac:dyDescent="0.3">
      <c r="A655">
        <v>679</v>
      </c>
      <c r="B655" s="13">
        <v>45877</v>
      </c>
      <c r="C655" t="s">
        <v>3169</v>
      </c>
      <c r="D655" t="s">
        <v>3178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3180</v>
      </c>
    </row>
    <row r="657" spans="1:4" x14ac:dyDescent="0.3">
      <c r="A657">
        <v>681</v>
      </c>
      <c r="B657" s="13">
        <v>45878</v>
      </c>
      <c r="C657" t="s">
        <v>3181</v>
      </c>
      <c r="D657" t="s">
        <v>3182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3183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3184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3185</v>
      </c>
    </row>
    <row r="661" spans="1:4" x14ac:dyDescent="0.3">
      <c r="A661">
        <v>685</v>
      </c>
      <c r="B661" t="s">
        <v>3187</v>
      </c>
      <c r="C661" t="s">
        <v>1502</v>
      </c>
      <c r="D661" t="s">
        <v>3188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3189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3190</v>
      </c>
    </row>
    <row r="664" spans="1:4" x14ac:dyDescent="0.3">
      <c r="A664">
        <v>688</v>
      </c>
      <c r="B664" s="13">
        <v>45880</v>
      </c>
      <c r="C664" t="s">
        <v>2934</v>
      </c>
      <c r="D664" t="s">
        <v>3191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3192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3193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3194</v>
      </c>
    </row>
    <row r="668" spans="1:4" x14ac:dyDescent="0.3">
      <c r="A668">
        <v>692</v>
      </c>
      <c r="B668" s="13">
        <v>45881</v>
      </c>
      <c r="C668" t="s">
        <v>3016</v>
      </c>
      <c r="D668" t="s">
        <v>3196</v>
      </c>
    </row>
    <row r="669" spans="1:4" x14ac:dyDescent="0.3">
      <c r="A669">
        <v>693</v>
      </c>
      <c r="B669" s="13">
        <v>45882</v>
      </c>
      <c r="C669" t="s">
        <v>1814</v>
      </c>
      <c r="D669" t="s">
        <v>3198</v>
      </c>
    </row>
    <row r="670" spans="1:4" x14ac:dyDescent="0.3">
      <c r="A670">
        <v>694</v>
      </c>
      <c r="B670" s="13">
        <v>45882</v>
      </c>
      <c r="C670" t="s">
        <v>1588</v>
      </c>
      <c r="D670" t="s">
        <v>3199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3200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3201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3202</v>
      </c>
    </row>
    <row r="674" spans="1:4" x14ac:dyDescent="0.3">
      <c r="A674">
        <v>698</v>
      </c>
      <c r="B674" s="13">
        <v>45882</v>
      </c>
      <c r="C674" t="s">
        <v>3206</v>
      </c>
      <c r="D674" t="s">
        <v>3210</v>
      </c>
    </row>
    <row r="675" spans="1:4" x14ac:dyDescent="0.3">
      <c r="A675">
        <v>699</v>
      </c>
      <c r="B675" s="13">
        <v>45882</v>
      </c>
      <c r="C675" t="s">
        <v>3203</v>
      </c>
      <c r="D675" t="s">
        <v>3212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3213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3215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3217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3218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3220</v>
      </c>
    </row>
    <row r="681" spans="1:4" x14ac:dyDescent="0.3">
      <c r="A681">
        <v>705</v>
      </c>
      <c r="B681" s="13">
        <v>45883</v>
      </c>
      <c r="C681" t="s">
        <v>3221</v>
      </c>
      <c r="D681" t="s">
        <v>3223</v>
      </c>
    </row>
    <row r="682" spans="1:4" x14ac:dyDescent="0.3">
      <c r="A682">
        <v>706</v>
      </c>
      <c r="B682" s="13">
        <v>45883</v>
      </c>
      <c r="C682" t="s">
        <v>2613</v>
      </c>
      <c r="D682" t="s">
        <v>3224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3225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3228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3229</v>
      </c>
    </row>
    <row r="686" spans="1:4" x14ac:dyDescent="0.3">
      <c r="A686">
        <v>710</v>
      </c>
      <c r="B686" s="13">
        <v>45884</v>
      </c>
      <c r="C686" t="s">
        <v>3230</v>
      </c>
      <c r="D686" t="s">
        <v>3233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3234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3235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3241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3242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3243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3246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3247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3248</v>
      </c>
    </row>
    <row r="695" spans="1:4" x14ac:dyDescent="0.3">
      <c r="A695">
        <v>719</v>
      </c>
      <c r="B695" s="13">
        <v>45887</v>
      </c>
      <c r="C695" t="s">
        <v>2626</v>
      </c>
      <c r="D695" t="s">
        <v>3250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3252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3254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3256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3257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3258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3259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3261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3263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3264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3265</v>
      </c>
    </row>
    <row r="706" spans="1:4" x14ac:dyDescent="0.3">
      <c r="A706">
        <v>730</v>
      </c>
      <c r="B706" s="13">
        <v>45889</v>
      </c>
      <c r="C706" t="s">
        <v>2572</v>
      </c>
      <c r="D706" t="s">
        <v>3267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3268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3270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3271</v>
      </c>
    </row>
    <row r="710" spans="1:4" x14ac:dyDescent="0.3">
      <c r="A710">
        <v>734</v>
      </c>
      <c r="B710" s="13">
        <v>45890</v>
      </c>
      <c r="C710" t="s">
        <v>2934</v>
      </c>
      <c r="D710" t="s">
        <v>3272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3273</v>
      </c>
    </row>
    <row r="712" spans="1:4" x14ac:dyDescent="0.3">
      <c r="A712">
        <v>736</v>
      </c>
      <c r="B712" s="13">
        <v>45890</v>
      </c>
      <c r="C712" t="s">
        <v>2572</v>
      </c>
      <c r="D712" t="s">
        <v>3274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3276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3279</v>
      </c>
    </row>
    <row r="715" spans="1:4" x14ac:dyDescent="0.3">
      <c r="A715">
        <v>739</v>
      </c>
      <c r="B715" s="13">
        <v>45890</v>
      </c>
      <c r="C715" t="s">
        <v>3140</v>
      </c>
      <c r="D715" t="s">
        <v>3280</v>
      </c>
    </row>
    <row r="716" spans="1:4" x14ac:dyDescent="0.3">
      <c r="A716">
        <v>740</v>
      </c>
      <c r="B716" s="13">
        <v>45891</v>
      </c>
      <c r="C716" t="s">
        <v>2876</v>
      </c>
      <c r="D716" t="s">
        <v>3283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3285</v>
      </c>
    </row>
    <row r="718" spans="1:4" x14ac:dyDescent="0.3">
      <c r="A718">
        <v>742</v>
      </c>
      <c r="B718" s="13">
        <v>45891</v>
      </c>
      <c r="C718" t="s">
        <v>3286</v>
      </c>
      <c r="D718" t="s">
        <v>3290</v>
      </c>
    </row>
    <row r="719" spans="1:4" x14ac:dyDescent="0.3">
      <c r="A719">
        <v>743</v>
      </c>
      <c r="B719" s="13">
        <v>45891</v>
      </c>
      <c r="C719" t="s">
        <v>2626</v>
      </c>
      <c r="D719" t="s">
        <v>3291</v>
      </c>
    </row>
    <row r="720" spans="1:4" x14ac:dyDescent="0.3">
      <c r="A720">
        <v>744</v>
      </c>
      <c r="B720" s="13">
        <v>45891</v>
      </c>
      <c r="C720" t="s">
        <v>3292</v>
      </c>
      <c r="D720" t="s">
        <v>3298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3300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3305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3306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3307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3308</v>
      </c>
    </row>
    <row r="726" spans="1:4" x14ac:dyDescent="0.3">
      <c r="A726">
        <v>750</v>
      </c>
      <c r="B726" s="13">
        <v>45894</v>
      </c>
      <c r="C726" t="s">
        <v>3140</v>
      </c>
      <c r="D726" t="s">
        <v>3312</v>
      </c>
    </row>
    <row r="727" spans="1:4" x14ac:dyDescent="0.3">
      <c r="A727">
        <v>751</v>
      </c>
      <c r="B727" s="13">
        <v>45894</v>
      </c>
      <c r="C727" t="s">
        <v>2934</v>
      </c>
      <c r="D727" t="s">
        <v>3313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3314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3315</v>
      </c>
    </row>
    <row r="730" spans="1:4" x14ac:dyDescent="0.3">
      <c r="A730">
        <v>754</v>
      </c>
      <c r="B730" s="13">
        <v>45894</v>
      </c>
      <c r="C730" t="s">
        <v>2572</v>
      </c>
      <c r="D730" t="s">
        <v>3316</v>
      </c>
    </row>
    <row r="731" spans="1:4" x14ac:dyDescent="0.3">
      <c r="A731">
        <v>755</v>
      </c>
      <c r="B731" s="13">
        <v>45894</v>
      </c>
      <c r="C731" t="s">
        <v>3317</v>
      </c>
      <c r="D731" t="s">
        <v>3321</v>
      </c>
    </row>
    <row r="732" spans="1:4" x14ac:dyDescent="0.3">
      <c r="A732">
        <v>756</v>
      </c>
      <c r="B732" s="13">
        <v>45894</v>
      </c>
      <c r="C732" t="s">
        <v>3317</v>
      </c>
      <c r="D732" t="s">
        <v>3322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3323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3325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3326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3327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3328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3329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3333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3334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3335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3337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3338</v>
      </c>
    </row>
    <row r="744" spans="1:4" x14ac:dyDescent="0.3">
      <c r="A744">
        <v>768</v>
      </c>
      <c r="B744" s="13">
        <v>45895</v>
      </c>
      <c r="C744" t="s">
        <v>2876</v>
      </c>
      <c r="D744" t="s">
        <v>3341</v>
      </c>
    </row>
    <row r="745" spans="1:4" x14ac:dyDescent="0.3">
      <c r="A745">
        <v>769</v>
      </c>
      <c r="B745" s="13">
        <v>45895</v>
      </c>
      <c r="C745" t="s">
        <v>2876</v>
      </c>
      <c r="D745" t="s">
        <v>3342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3346</v>
      </c>
    </row>
    <row r="747" spans="1:4" x14ac:dyDescent="0.3">
      <c r="A747">
        <v>771</v>
      </c>
      <c r="B747" s="13">
        <v>45896</v>
      </c>
      <c r="C747" t="s">
        <v>3134</v>
      </c>
      <c r="D747" t="s">
        <v>3348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3349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3350</v>
      </c>
    </row>
    <row r="750" spans="1:4" x14ac:dyDescent="0.3">
      <c r="A750">
        <v>774</v>
      </c>
      <c r="B750" s="13">
        <v>45896</v>
      </c>
      <c r="C750" t="s">
        <v>2479</v>
      </c>
      <c r="D750" t="s">
        <v>3351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3359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3360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3361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3362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3363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3364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3365</v>
      </c>
    </row>
    <row r="758" spans="1:4" x14ac:dyDescent="0.3">
      <c r="A758">
        <v>782</v>
      </c>
      <c r="B758" s="13">
        <v>45898</v>
      </c>
      <c r="C758" t="s">
        <v>3016</v>
      </c>
      <c r="D758" t="s">
        <v>3370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3371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3372</v>
      </c>
    </row>
    <row r="761" spans="1:4" x14ac:dyDescent="0.3">
      <c r="A761">
        <v>785</v>
      </c>
      <c r="B761" s="13">
        <v>45898</v>
      </c>
      <c r="C761" t="s">
        <v>3221</v>
      </c>
      <c r="D761" t="s">
        <v>3373</v>
      </c>
    </row>
    <row r="762" spans="1:4" x14ac:dyDescent="0.3">
      <c r="A762">
        <v>786</v>
      </c>
      <c r="B762" s="13">
        <v>45899</v>
      </c>
      <c r="C762" t="s">
        <v>2887</v>
      </c>
      <c r="D762" t="s">
        <v>3374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3375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3382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3383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3384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3385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3386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3387</v>
      </c>
    </row>
    <row r="770" spans="1:4" x14ac:dyDescent="0.3">
      <c r="A770">
        <v>794</v>
      </c>
      <c r="B770" s="13">
        <v>45901</v>
      </c>
      <c r="C770" t="s">
        <v>2780</v>
      </c>
      <c r="D770" t="s">
        <v>3388</v>
      </c>
    </row>
    <row r="771" spans="1:4" x14ac:dyDescent="0.3">
      <c r="A771">
        <v>795</v>
      </c>
      <c r="B771" s="13">
        <v>45901</v>
      </c>
      <c r="C771" t="s">
        <v>3376</v>
      </c>
      <c r="D771" t="s">
        <v>3389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3390</v>
      </c>
    </row>
    <row r="773" spans="1:4" x14ac:dyDescent="0.3">
      <c r="A773">
        <v>797</v>
      </c>
      <c r="B773" s="13">
        <v>45902</v>
      </c>
      <c r="C773" t="s">
        <v>1179</v>
      </c>
      <c r="D773" t="s">
        <v>3394</v>
      </c>
    </row>
    <row r="774" spans="1:4" x14ac:dyDescent="0.3">
      <c r="A774">
        <v>798</v>
      </c>
      <c r="B774" s="13">
        <v>45902</v>
      </c>
      <c r="C774" t="s">
        <v>1989</v>
      </c>
      <c r="D774" t="s">
        <v>3395</v>
      </c>
    </row>
    <row r="775" spans="1:4" x14ac:dyDescent="0.3">
      <c r="A775">
        <v>799</v>
      </c>
      <c r="B775" s="13">
        <v>45902</v>
      </c>
      <c r="C775" t="s">
        <v>3016</v>
      </c>
      <c r="D775" t="s">
        <v>3396</v>
      </c>
    </row>
    <row r="776" spans="1:4" x14ac:dyDescent="0.3">
      <c r="A776">
        <v>800</v>
      </c>
      <c r="B776" s="13">
        <v>45902</v>
      </c>
      <c r="C776" t="s">
        <v>1152</v>
      </c>
      <c r="D776" t="s">
        <v>3397</v>
      </c>
    </row>
    <row r="777" spans="1:4" x14ac:dyDescent="0.3">
      <c r="A777">
        <v>801</v>
      </c>
      <c r="B777" s="13">
        <v>45902</v>
      </c>
      <c r="C777" t="s">
        <v>1585</v>
      </c>
      <c r="D777" t="s">
        <v>3398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3400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3401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3402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3403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3404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3406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3408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3411</v>
      </c>
    </row>
    <row r="786" spans="1:4" x14ac:dyDescent="0.3">
      <c r="A786">
        <v>810</v>
      </c>
      <c r="B786" s="13">
        <v>45903</v>
      </c>
      <c r="C786" t="s">
        <v>3317</v>
      </c>
      <c r="D786" t="s">
        <v>3412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3416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3417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3421</v>
      </c>
    </row>
    <row r="790" spans="1:4" x14ac:dyDescent="0.3">
      <c r="A790">
        <v>814</v>
      </c>
      <c r="B790" s="13">
        <v>45903</v>
      </c>
      <c r="C790" t="s">
        <v>3418</v>
      </c>
      <c r="D790" t="s">
        <v>3422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3423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3424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3426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3428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3429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3439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3440</v>
      </c>
    </row>
    <row r="798" spans="1:4" x14ac:dyDescent="0.3">
      <c r="A798">
        <v>822</v>
      </c>
      <c r="B798" s="13">
        <v>45904</v>
      </c>
      <c r="C798" t="s">
        <v>2934</v>
      </c>
      <c r="D798" t="s">
        <v>3441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3442</v>
      </c>
    </row>
    <row r="800" spans="1:4" x14ac:dyDescent="0.3">
      <c r="A800">
        <v>824</v>
      </c>
      <c r="B800" s="13">
        <v>45904</v>
      </c>
      <c r="C800" t="s">
        <v>3435</v>
      </c>
      <c r="D800" t="s">
        <v>3443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3446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3447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3448</v>
      </c>
    </row>
    <row r="804" spans="1:4" x14ac:dyDescent="0.3">
      <c r="A804">
        <v>828</v>
      </c>
      <c r="B804" s="13">
        <v>45904</v>
      </c>
      <c r="C804" t="s">
        <v>3427</v>
      </c>
      <c r="D804" t="s">
        <v>3449</v>
      </c>
    </row>
    <row r="805" spans="1:4" x14ac:dyDescent="0.3">
      <c r="A805">
        <v>829</v>
      </c>
      <c r="B805" s="13">
        <v>45904</v>
      </c>
      <c r="C805" t="s">
        <v>3427</v>
      </c>
      <c r="D805" t="s">
        <v>3450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3451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3452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3453</v>
      </c>
    </row>
    <row r="809" spans="1:4" x14ac:dyDescent="0.3">
      <c r="A809">
        <v>833</v>
      </c>
      <c r="B809" s="13">
        <v>45904</v>
      </c>
      <c r="C809" t="s">
        <v>3435</v>
      </c>
      <c r="D809" t="s">
        <v>3454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3455</v>
      </c>
    </row>
    <row r="811" spans="1:4" x14ac:dyDescent="0.3">
      <c r="A811">
        <v>835</v>
      </c>
      <c r="B811" s="13">
        <v>45904</v>
      </c>
      <c r="C811" t="s">
        <v>2934</v>
      </c>
      <c r="D811" t="s">
        <v>3456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3457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3458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3465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3466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3468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3469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3471</v>
      </c>
    </row>
    <row r="819" spans="1:4" x14ac:dyDescent="0.3">
      <c r="A819">
        <v>843</v>
      </c>
      <c r="B819" s="13">
        <v>45905</v>
      </c>
      <c r="C819" t="s">
        <v>3169</v>
      </c>
      <c r="D819" t="s">
        <v>3472</v>
      </c>
    </row>
    <row r="820" spans="1:4" x14ac:dyDescent="0.3">
      <c r="A820">
        <v>844</v>
      </c>
      <c r="B820" s="13">
        <v>45905</v>
      </c>
      <c r="C820" t="s">
        <v>3473</v>
      </c>
      <c r="D820" t="s">
        <v>3474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3475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3487</v>
      </c>
    </row>
    <row r="823" spans="1:4" x14ac:dyDescent="0.3">
      <c r="A823">
        <v>847</v>
      </c>
      <c r="B823" s="13">
        <v>45906</v>
      </c>
      <c r="C823" t="s">
        <v>3488</v>
      </c>
      <c r="D823" t="s">
        <v>3497</v>
      </c>
    </row>
    <row r="824" spans="1:4" x14ac:dyDescent="0.3">
      <c r="A824">
        <v>848</v>
      </c>
      <c r="B824" s="13">
        <v>45906</v>
      </c>
      <c r="C824" t="s">
        <v>3016</v>
      </c>
      <c r="D824" t="s">
        <v>3499</v>
      </c>
    </row>
    <row r="825" spans="1:4" x14ac:dyDescent="0.3">
      <c r="A825">
        <v>849</v>
      </c>
      <c r="B825" s="13">
        <v>45906</v>
      </c>
      <c r="C825" t="s">
        <v>3491</v>
      </c>
      <c r="D825" t="s">
        <v>3501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3503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3504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3505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3506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3509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3510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3511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3512</v>
      </c>
    </row>
    <row r="834" spans="1:4" x14ac:dyDescent="0.3">
      <c r="A834">
        <v>858</v>
      </c>
      <c r="B834" s="13">
        <v>45909</v>
      </c>
      <c r="C834" t="s">
        <v>2641</v>
      </c>
      <c r="D834" t="s">
        <v>3526</v>
      </c>
    </row>
    <row r="835" spans="1:4" x14ac:dyDescent="0.3">
      <c r="A835">
        <v>859</v>
      </c>
      <c r="B835" s="13">
        <v>45909</v>
      </c>
      <c r="C835" t="s">
        <v>2422</v>
      </c>
      <c r="D835" t="s">
        <v>3527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3528</v>
      </c>
    </row>
    <row r="837" spans="1:4" x14ac:dyDescent="0.3">
      <c r="A837">
        <v>861</v>
      </c>
      <c r="B837" s="13">
        <v>45909</v>
      </c>
      <c r="C837" t="s">
        <v>2479</v>
      </c>
      <c r="D837" t="s">
        <v>3529</v>
      </c>
    </row>
    <row r="838" spans="1:4" x14ac:dyDescent="0.3">
      <c r="A838">
        <v>862</v>
      </c>
      <c r="B838" s="13">
        <v>45909</v>
      </c>
      <c r="C838" t="s">
        <v>1878</v>
      </c>
      <c r="D838" t="s">
        <v>3530</v>
      </c>
    </row>
    <row r="839" spans="1:4" x14ac:dyDescent="0.3">
      <c r="A839">
        <v>863</v>
      </c>
      <c r="B839" s="13">
        <v>45910</v>
      </c>
      <c r="C839" t="s">
        <v>1457</v>
      </c>
      <c r="D839" t="s">
        <v>3531</v>
      </c>
    </row>
    <row r="840" spans="1:4" x14ac:dyDescent="0.3">
      <c r="A840">
        <v>864</v>
      </c>
      <c r="B840" s="13">
        <v>45910</v>
      </c>
      <c r="C840" t="s">
        <v>1679</v>
      </c>
      <c r="D840" t="s">
        <v>3532</v>
      </c>
    </row>
    <row r="841" spans="1:4" x14ac:dyDescent="0.3">
      <c r="A841">
        <v>865</v>
      </c>
      <c r="B841" s="13">
        <v>45910</v>
      </c>
      <c r="C841" t="s">
        <v>1881</v>
      </c>
      <c r="D841" t="s">
        <v>3534</v>
      </c>
    </row>
    <row r="842" spans="1:4" x14ac:dyDescent="0.3">
      <c r="A842">
        <v>866</v>
      </c>
      <c r="B842" s="13">
        <v>45910</v>
      </c>
      <c r="C842" t="s">
        <v>1549</v>
      </c>
      <c r="D842" t="s">
        <v>3537</v>
      </c>
    </row>
    <row r="843" spans="1:4" x14ac:dyDescent="0.3">
      <c r="A843">
        <v>867</v>
      </c>
      <c r="B843" s="13">
        <v>45910</v>
      </c>
      <c r="C843" t="s">
        <v>3535</v>
      </c>
      <c r="D843" t="s">
        <v>3541</v>
      </c>
    </row>
    <row r="844" spans="1:4" x14ac:dyDescent="0.3">
      <c r="A844">
        <v>868</v>
      </c>
      <c r="B844" s="13">
        <v>45910</v>
      </c>
      <c r="C844" t="s">
        <v>1452</v>
      </c>
      <c r="D844" t="s">
        <v>3542</v>
      </c>
    </row>
    <row r="845" spans="1:4" x14ac:dyDescent="0.3">
      <c r="A845">
        <v>869</v>
      </c>
      <c r="B845" s="13">
        <v>45910</v>
      </c>
      <c r="C845" t="s">
        <v>3418</v>
      </c>
      <c r="D845" t="s">
        <v>3543</v>
      </c>
    </row>
    <row r="846" spans="1:4" x14ac:dyDescent="0.3">
      <c r="A846">
        <v>870</v>
      </c>
      <c r="B846" s="13">
        <v>45910</v>
      </c>
      <c r="C846" t="s">
        <v>1452</v>
      </c>
      <c r="D846" t="s">
        <v>3544</v>
      </c>
    </row>
    <row r="847" spans="1:4" x14ac:dyDescent="0.3">
      <c r="A847">
        <v>871</v>
      </c>
      <c r="B847" s="13">
        <v>45910</v>
      </c>
      <c r="C847" t="s">
        <v>1313</v>
      </c>
      <c r="D847" t="s">
        <v>3545</v>
      </c>
    </row>
    <row r="848" spans="1:4" x14ac:dyDescent="0.3">
      <c r="A848">
        <v>872</v>
      </c>
      <c r="B848" s="13">
        <v>45910</v>
      </c>
      <c r="C848" t="s">
        <v>2801</v>
      </c>
      <c r="D848" t="s">
        <v>3546</v>
      </c>
    </row>
    <row r="849" spans="1:4" x14ac:dyDescent="0.3">
      <c r="A849">
        <v>873</v>
      </c>
      <c r="B849" s="13">
        <v>45910</v>
      </c>
      <c r="C849" t="s">
        <v>2801</v>
      </c>
      <c r="D849" t="s">
        <v>3547</v>
      </c>
    </row>
    <row r="850" spans="1:4" x14ac:dyDescent="0.3">
      <c r="A850">
        <v>874</v>
      </c>
      <c r="B850" s="13">
        <v>45910</v>
      </c>
      <c r="C850" t="s">
        <v>1457</v>
      </c>
      <c r="D850" t="s">
        <v>3548</v>
      </c>
    </row>
    <row r="851" spans="1:4" x14ac:dyDescent="0.3">
      <c r="A851">
        <v>875</v>
      </c>
      <c r="B851" s="13">
        <v>45910</v>
      </c>
      <c r="C851" t="s">
        <v>1457</v>
      </c>
      <c r="D851" t="s">
        <v>3549</v>
      </c>
    </row>
    <row r="852" spans="1:4" x14ac:dyDescent="0.3">
      <c r="A852">
        <v>876</v>
      </c>
      <c r="B852" s="13">
        <v>45910</v>
      </c>
      <c r="C852" t="s">
        <v>1799</v>
      </c>
      <c r="D852" t="s">
        <v>3550</v>
      </c>
    </row>
    <row r="853" spans="1:4" x14ac:dyDescent="0.3">
      <c r="A853">
        <v>877</v>
      </c>
      <c r="B853" s="13">
        <v>45911</v>
      </c>
      <c r="C853" t="s">
        <v>1475</v>
      </c>
      <c r="D853" t="s">
        <v>3557</v>
      </c>
    </row>
    <row r="854" spans="1:4" x14ac:dyDescent="0.3">
      <c r="A854">
        <v>878</v>
      </c>
      <c r="B854" s="13">
        <v>45911</v>
      </c>
      <c r="C854" t="s">
        <v>1087</v>
      </c>
      <c r="D854" t="s">
        <v>3558</v>
      </c>
    </row>
    <row r="855" spans="1:4" x14ac:dyDescent="0.3">
      <c r="A855">
        <v>879</v>
      </c>
      <c r="B855" s="13">
        <v>45911</v>
      </c>
      <c r="C855" t="s">
        <v>1087</v>
      </c>
      <c r="D855" t="s">
        <v>3559</v>
      </c>
    </row>
    <row r="856" spans="1:4" x14ac:dyDescent="0.3">
      <c r="A856">
        <v>880</v>
      </c>
      <c r="B856" s="13">
        <v>45911</v>
      </c>
      <c r="C856" t="s">
        <v>1821</v>
      </c>
      <c r="D856" t="s">
        <v>3560</v>
      </c>
    </row>
    <row r="857" spans="1:4" x14ac:dyDescent="0.3">
      <c r="A857">
        <v>881</v>
      </c>
      <c r="B857" s="13">
        <v>45911</v>
      </c>
      <c r="C857" t="s">
        <v>988</v>
      </c>
      <c r="D857" t="s">
        <v>3561</v>
      </c>
    </row>
    <row r="858" spans="1:4" x14ac:dyDescent="0.3">
      <c r="A858">
        <v>882</v>
      </c>
      <c r="B858" s="13">
        <v>45911</v>
      </c>
      <c r="C858" t="s">
        <v>1457</v>
      </c>
      <c r="D858" t="s">
        <v>3564</v>
      </c>
    </row>
    <row r="859" spans="1:4" x14ac:dyDescent="0.3">
      <c r="A859">
        <v>883</v>
      </c>
      <c r="B859" s="13">
        <v>45911</v>
      </c>
      <c r="C859" t="s">
        <v>1407</v>
      </c>
      <c r="D859" t="s">
        <v>3565</v>
      </c>
    </row>
    <row r="860" spans="1:4" x14ac:dyDescent="0.3">
      <c r="A860">
        <v>884</v>
      </c>
      <c r="B860" s="13">
        <v>45911</v>
      </c>
      <c r="C860" t="s">
        <v>1407</v>
      </c>
      <c r="D860" t="s">
        <v>3566</v>
      </c>
    </row>
    <row r="861" spans="1:4" x14ac:dyDescent="0.3">
      <c r="A861">
        <v>885</v>
      </c>
      <c r="B861" s="13">
        <v>45911</v>
      </c>
      <c r="C861" t="s">
        <v>1799</v>
      </c>
      <c r="D861" t="s">
        <v>3567</v>
      </c>
    </row>
    <row r="862" spans="1:4" x14ac:dyDescent="0.3">
      <c r="A862">
        <v>886</v>
      </c>
      <c r="B862" s="13">
        <v>45911</v>
      </c>
      <c r="C862" t="s">
        <v>3134</v>
      </c>
      <c r="D862" t="s">
        <v>3568</v>
      </c>
    </row>
    <row r="863" spans="1:4" x14ac:dyDescent="0.3">
      <c r="A863">
        <v>887</v>
      </c>
      <c r="B863" s="13">
        <v>45912</v>
      </c>
      <c r="C863" t="s">
        <v>1481</v>
      </c>
      <c r="D863" t="s">
        <v>3570</v>
      </c>
    </row>
    <row r="864" spans="1:4" x14ac:dyDescent="0.3">
      <c r="A864">
        <v>888</v>
      </c>
      <c r="B864" s="13">
        <v>45912</v>
      </c>
      <c r="C864" t="s">
        <v>1679</v>
      </c>
      <c r="D864" t="s">
        <v>3571</v>
      </c>
    </row>
    <row r="865" spans="1:4" x14ac:dyDescent="0.3">
      <c r="A865">
        <v>889</v>
      </c>
      <c r="B865" s="13">
        <v>45912</v>
      </c>
      <c r="C865" t="s">
        <v>1730</v>
      </c>
      <c r="D865" t="s">
        <v>3572</v>
      </c>
    </row>
    <row r="866" spans="1:4" x14ac:dyDescent="0.3">
      <c r="A866">
        <v>890</v>
      </c>
      <c r="B866" s="13">
        <v>45912</v>
      </c>
      <c r="C866" t="s">
        <v>2934</v>
      </c>
      <c r="D866" t="s">
        <v>3573</v>
      </c>
    </row>
    <row r="867" spans="1:4" x14ac:dyDescent="0.3">
      <c r="A867">
        <v>891</v>
      </c>
      <c r="B867" s="13">
        <v>45912</v>
      </c>
      <c r="C867" t="s">
        <v>1730</v>
      </c>
      <c r="D867" t="s">
        <v>3575</v>
      </c>
    </row>
    <row r="868" spans="1:4" x14ac:dyDescent="0.3">
      <c r="A868">
        <v>892</v>
      </c>
      <c r="B868" s="13">
        <v>45912</v>
      </c>
      <c r="C868" t="s">
        <v>1477</v>
      </c>
      <c r="D868" t="s">
        <v>3576</v>
      </c>
    </row>
    <row r="869" spans="1:4" x14ac:dyDescent="0.3">
      <c r="A869">
        <v>893</v>
      </c>
      <c r="B869" s="13">
        <v>45912</v>
      </c>
      <c r="C869" t="s">
        <v>3577</v>
      </c>
      <c r="D869" t="s">
        <v>3580</v>
      </c>
    </row>
    <row r="870" spans="1:4" x14ac:dyDescent="0.3">
      <c r="A870">
        <v>894</v>
      </c>
      <c r="B870" s="13">
        <v>45913</v>
      </c>
      <c r="C870" t="s">
        <v>1730</v>
      </c>
      <c r="D870" t="s">
        <v>3584</v>
      </c>
    </row>
    <row r="871" spans="1:4" x14ac:dyDescent="0.3">
      <c r="A871">
        <v>895</v>
      </c>
      <c r="B871" s="13">
        <v>45915</v>
      </c>
      <c r="C871" t="s">
        <v>1457</v>
      </c>
      <c r="D871" t="s">
        <v>3588</v>
      </c>
    </row>
    <row r="872" spans="1:4" x14ac:dyDescent="0.3">
      <c r="A872">
        <v>896</v>
      </c>
      <c r="B872" s="13">
        <v>45915</v>
      </c>
      <c r="C872" t="s">
        <v>1992</v>
      </c>
      <c r="D872" t="s">
        <v>3589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3590</v>
      </c>
    </row>
    <row r="874" spans="1:4" x14ac:dyDescent="0.3">
      <c r="A874">
        <v>898</v>
      </c>
      <c r="B874" s="13">
        <v>45915</v>
      </c>
      <c r="C874" t="s">
        <v>1872</v>
      </c>
      <c r="D874" t="s">
        <v>3591</v>
      </c>
    </row>
    <row r="875" spans="1:4" x14ac:dyDescent="0.3">
      <c r="A875">
        <v>899</v>
      </c>
      <c r="B875" s="13">
        <v>45915</v>
      </c>
      <c r="C875" t="s">
        <v>1407</v>
      </c>
      <c r="D875" t="s">
        <v>3592</v>
      </c>
    </row>
    <row r="876" spans="1:4" x14ac:dyDescent="0.3">
      <c r="A876">
        <v>900</v>
      </c>
      <c r="B876" s="13">
        <v>45915</v>
      </c>
      <c r="C876" t="s">
        <v>1152</v>
      </c>
      <c r="D876" t="s">
        <v>3593</v>
      </c>
    </row>
    <row r="877" spans="1:4" x14ac:dyDescent="0.3">
      <c r="A877">
        <v>901</v>
      </c>
      <c r="B877" s="13">
        <v>45915</v>
      </c>
      <c r="C877" t="s">
        <v>1452</v>
      </c>
      <c r="D877" t="s">
        <v>3598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185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 t="s">
        <v>3581</v>
      </c>
    </row>
    <row r="3" spans="1:11" x14ac:dyDescent="0.3">
      <c r="A3" s="47">
        <v>2</v>
      </c>
      <c r="B3" t="s">
        <v>2608</v>
      </c>
      <c r="C3" t="s">
        <v>2609</v>
      </c>
      <c r="E3" t="s">
        <v>2610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900000</v>
      </c>
      <c r="I5" s="52" t="s">
        <v>3581</v>
      </c>
    </row>
    <row r="6" spans="1:11" x14ac:dyDescent="0.3">
      <c r="A6" s="47">
        <v>5</v>
      </c>
      <c r="B6" t="s">
        <v>1283</v>
      </c>
      <c r="C6" t="s">
        <v>2611</v>
      </c>
      <c r="E6" t="s">
        <v>2612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3875000</v>
      </c>
      <c r="I10" s="52" t="s">
        <v>3581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3021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3353</v>
      </c>
      <c r="F13" t="s">
        <v>32</v>
      </c>
      <c r="G13" t="s">
        <v>3343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1291</v>
      </c>
      <c r="C14" t="s">
        <v>2515</v>
      </c>
      <c r="E14" t="s">
        <v>2516</v>
      </c>
      <c r="F14" t="s">
        <v>963</v>
      </c>
      <c r="G14" t="s">
        <v>2517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17970000.199999999</v>
      </c>
      <c r="I17" s="52" t="s">
        <v>3581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3102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6515000</v>
      </c>
      <c r="I19" s="52" t="s">
        <v>3581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2694999.6999999993</v>
      </c>
      <c r="I20" s="52" t="s">
        <v>3581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3226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3419</v>
      </c>
      <c r="E24" t="s">
        <v>3420</v>
      </c>
      <c r="F24" t="s">
        <v>1187</v>
      </c>
      <c r="H24" s="194">
        <f>SUMIF(주문_리스트!C:C,거래처!B24,주문_리스트!K:K)+SUMIF(주문_리스트!C:C,거래처!B24,주문_리스트!L:L)</f>
        <v>0</v>
      </c>
      <c r="I24" s="52" t="s">
        <v>3555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3486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3299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1210000</v>
      </c>
      <c r="I32" s="52" t="s">
        <v>3581</v>
      </c>
    </row>
    <row r="33" spans="1:9" x14ac:dyDescent="0.3">
      <c r="A33" s="47">
        <v>32</v>
      </c>
      <c r="B33" t="s">
        <v>1306</v>
      </c>
      <c r="C33" t="s">
        <v>3354</v>
      </c>
      <c r="E33" t="s">
        <v>3355</v>
      </c>
      <c r="F33" t="s">
        <v>3356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5093000</v>
      </c>
      <c r="I37" s="52" t="s">
        <v>3581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-9.999999962747097E-2</v>
      </c>
      <c r="I38" s="52" t="s">
        <v>3513</v>
      </c>
    </row>
    <row r="39" spans="1:9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0</v>
      </c>
      <c r="I43" s="52" t="s">
        <v>3555</v>
      </c>
    </row>
    <row r="44" spans="1:9" x14ac:dyDescent="0.3">
      <c r="A44" s="47">
        <v>43</v>
      </c>
      <c r="B44" t="s">
        <v>1315</v>
      </c>
      <c r="C44" t="s">
        <v>2662</v>
      </c>
      <c r="E44" t="s">
        <v>2663</v>
      </c>
      <c r="F44" t="s">
        <v>963</v>
      </c>
      <c r="G44" t="s">
        <v>2664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1317</v>
      </c>
      <c r="C46" t="s">
        <v>2454</v>
      </c>
      <c r="E46" t="s">
        <v>2456</v>
      </c>
      <c r="F46" t="s">
        <v>1187</v>
      </c>
      <c r="G46" t="s">
        <v>2455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1000000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2644</v>
      </c>
      <c r="F54" t="s">
        <v>32</v>
      </c>
      <c r="G54" t="s">
        <v>2645</v>
      </c>
      <c r="H54" s="194">
        <f>SUMIF(주문_리스트!C:C,거래처!B54,주문_리스트!K:K)+SUMIF(주문_리스트!C:C,거래처!B54,주문_리스트!L:L)-4015000</f>
        <v>320000</v>
      </c>
      <c r="I54" s="52" t="s">
        <v>3581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3581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3299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2621</v>
      </c>
      <c r="E62" t="s">
        <v>2622</v>
      </c>
      <c r="F62" t="s">
        <v>2623</v>
      </c>
      <c r="G62" t="s">
        <v>2624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2636</v>
      </c>
      <c r="E65" t="s">
        <v>2637</v>
      </c>
      <c r="F65" t="s">
        <v>2638</v>
      </c>
      <c r="G65" t="s">
        <v>2639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400000</v>
      </c>
      <c r="I68" s="52" t="s">
        <v>3581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2518</v>
      </c>
      <c r="E71" t="s">
        <v>2519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300000</v>
      </c>
      <c r="I72" s="52" t="s">
        <v>3581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3368</v>
      </c>
      <c r="J73" t="s">
        <v>3393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  <c r="I76" s="52" t="s">
        <v>3581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1320000</v>
      </c>
      <c r="I77" s="52" t="s">
        <v>3555</v>
      </c>
    </row>
    <row r="78" spans="1:10" x14ac:dyDescent="0.3">
      <c r="A78" s="47">
        <v>77</v>
      </c>
      <c r="B78" t="s">
        <v>1342</v>
      </c>
      <c r="C78" t="s">
        <v>3436</v>
      </c>
      <c r="E78" t="s">
        <v>3437</v>
      </c>
      <c r="F78" t="s">
        <v>963</v>
      </c>
      <c r="G78" t="s">
        <v>3438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4150000</v>
      </c>
      <c r="I79" s="52" t="s">
        <v>3581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3409</v>
      </c>
      <c r="E82" t="s">
        <v>3410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3109</v>
      </c>
      <c r="K82" t="s">
        <v>3430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1500000</v>
      </c>
      <c r="I84" s="52" t="s">
        <v>3581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3139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1330000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2965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1210000</v>
      </c>
      <c r="I95" s="52" t="s">
        <v>3581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2519000</v>
      </c>
      <c r="I97" s="52" t="s">
        <v>3581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3525</v>
      </c>
      <c r="H99" s="194">
        <f>SUMIF(주문_리스트!C:C,거래처!B99,주문_리스트!K:K)+SUMIF(주문_리스트!C:C,거래처!B99,주문_리스트!L:L)</f>
        <v>0</v>
      </c>
      <c r="I99" s="52" t="s">
        <v>3555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3555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3555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3148</v>
      </c>
      <c r="C107" t="s">
        <v>3149</v>
      </c>
      <c r="E107" t="s">
        <v>3150</v>
      </c>
      <c r="F107" t="s">
        <v>963</v>
      </c>
      <c r="G107" t="s">
        <v>3151</v>
      </c>
      <c r="H107" s="194">
        <f>SUMIF(주문_리스트!C:C,거래처!B107,주문_리스트!K:K)+SUMIF(주문_리스트!C:C,거래처!B107,주문_리스트!L:L)-450000</f>
        <v>0</v>
      </c>
      <c r="I107" s="52" t="s">
        <v>3299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  <c r="I108" s="52" t="s">
        <v>3581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3581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3581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1550000</v>
      </c>
      <c r="I112" s="52" t="s">
        <v>3581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1550000</v>
      </c>
      <c r="I113" s="52" t="s">
        <v>3513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3281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0</v>
      </c>
      <c r="I116" s="52" t="s">
        <v>3513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2881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2503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8470000</v>
      </c>
      <c r="I125" s="52" t="s">
        <v>3581</v>
      </c>
    </row>
    <row r="126" spans="1:9" x14ac:dyDescent="0.3">
      <c r="A126" s="47">
        <v>125</v>
      </c>
      <c r="B126" t="s">
        <v>1849</v>
      </c>
      <c r="C126" t="s">
        <v>3116</v>
      </c>
      <c r="E126" t="s">
        <v>3117</v>
      </c>
      <c r="F126" t="s">
        <v>963</v>
      </c>
      <c r="G126" t="s">
        <v>3118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2802</v>
      </c>
      <c r="C132" t="s">
        <v>2803</v>
      </c>
      <c r="E132" t="s">
        <v>2804</v>
      </c>
      <c r="F132" t="s">
        <v>2805</v>
      </c>
      <c r="G132" t="s">
        <v>2806</v>
      </c>
      <c r="H132" s="194">
        <f>SUMIF(주문_리스트!C:C,거래처!B132,주문_리스트!K:K)+SUMIF(주문_리스트!C:C,거래처!B132,주문_리스트!L:L)</f>
        <v>0</v>
      </c>
      <c r="I132" s="52" t="s">
        <v>3555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3332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3139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2775</v>
      </c>
      <c r="C138" t="s">
        <v>2776</v>
      </c>
      <c r="E138" t="s">
        <v>2777</v>
      </c>
      <c r="F138" t="s">
        <v>2778</v>
      </c>
      <c r="G138" t="s">
        <v>2779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2480</v>
      </c>
      <c r="C144" t="s">
        <v>2481</v>
      </c>
      <c r="E144" t="s">
        <v>2483</v>
      </c>
      <c r="F144" t="s">
        <v>2482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2484</v>
      </c>
      <c r="C145" t="s">
        <v>2966</v>
      </c>
      <c r="E145" t="s">
        <v>2967</v>
      </c>
      <c r="F145" t="s">
        <v>963</v>
      </c>
      <c r="G145" t="s">
        <v>2968</v>
      </c>
      <c r="H145" s="194">
        <f>SUMIF(주문_리스트!C:C,거래처!B145,주문_리스트!K:K)+SUMIF(주문_리스트!C:C,거래처!B145,주문_리스트!L:L)</f>
        <v>-200000</v>
      </c>
      <c r="K145" t="s">
        <v>3431</v>
      </c>
    </row>
    <row r="146" spans="1:11" x14ac:dyDescent="0.3">
      <c r="A146" s="47">
        <v>145</v>
      </c>
      <c r="B146" t="s">
        <v>2499</v>
      </c>
      <c r="C146" t="s">
        <v>2500</v>
      </c>
      <c r="E146" t="s">
        <v>2501</v>
      </c>
      <c r="F146" t="s">
        <v>963</v>
      </c>
      <c r="G146" t="s">
        <v>2502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2695</v>
      </c>
      <c r="C147" t="s">
        <v>2693</v>
      </c>
      <c r="E147" t="s">
        <v>2694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2575</v>
      </c>
      <c r="C148" t="s">
        <v>2576</v>
      </c>
      <c r="E148" t="s">
        <v>2577</v>
      </c>
      <c r="F148" t="s">
        <v>977</v>
      </c>
      <c r="G148" t="s">
        <v>2578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2651</v>
      </c>
      <c r="C149" t="s">
        <v>2652</v>
      </c>
      <c r="D149" t="s">
        <v>2653</v>
      </c>
      <c r="E149" t="s">
        <v>2654</v>
      </c>
      <c r="F149" t="s">
        <v>32</v>
      </c>
      <c r="G149" t="s">
        <v>2655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2722</v>
      </c>
      <c r="C150" t="s">
        <v>2723</v>
      </c>
      <c r="E150" t="s">
        <v>2724</v>
      </c>
      <c r="F150" t="s">
        <v>963</v>
      </c>
      <c r="G150" t="s">
        <v>2725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2750</v>
      </c>
      <c r="C151" t="s">
        <v>2751</v>
      </c>
      <c r="E151" t="s">
        <v>2752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2760</v>
      </c>
      <c r="C152" t="s">
        <v>2761</v>
      </c>
      <c r="E152" t="s">
        <v>2762</v>
      </c>
      <c r="F152" t="s">
        <v>963</v>
      </c>
      <c r="G152" t="s">
        <v>2763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2780</v>
      </c>
      <c r="C153" t="s">
        <v>2781</v>
      </c>
      <c r="E153" t="s">
        <v>2782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2787</v>
      </c>
      <c r="C154" t="s">
        <v>2788</v>
      </c>
      <c r="E154" t="s">
        <v>2789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2807</v>
      </c>
      <c r="C155" t="s">
        <v>2808</v>
      </c>
      <c r="E155" t="s">
        <v>2809</v>
      </c>
      <c r="F155" t="s">
        <v>1187</v>
      </c>
      <c r="G155" t="s">
        <v>2810</v>
      </c>
      <c r="H155" s="194">
        <f>SUMIF(주문_리스트!C:C,거래처!B155,주문_리스트!K:K)+SUMIF(주문_리스트!C:C,거래처!B155,주문_리스트!L:L)</f>
        <v>0</v>
      </c>
      <c r="I155" s="52" t="s">
        <v>3102</v>
      </c>
    </row>
    <row r="156" spans="1:11" x14ac:dyDescent="0.3">
      <c r="A156" s="47">
        <v>155</v>
      </c>
      <c r="B156" t="s">
        <v>2827</v>
      </c>
      <c r="C156" t="s">
        <v>2828</v>
      </c>
      <c r="E156" t="s">
        <v>2829</v>
      </c>
      <c r="F156" t="s">
        <v>977</v>
      </c>
      <c r="G156" t="s">
        <v>2830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2878</v>
      </c>
      <c r="C157" t="s">
        <v>2884</v>
      </c>
      <c r="E157" t="s">
        <v>2885</v>
      </c>
      <c r="F157" t="s">
        <v>977</v>
      </c>
      <c r="G157" t="s">
        <v>3282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2887</v>
      </c>
      <c r="C158" t="s">
        <v>2888</v>
      </c>
      <c r="E158" t="s">
        <v>2889</v>
      </c>
      <c r="F158" t="s">
        <v>1187</v>
      </c>
      <c r="G158" t="s">
        <v>2898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2891</v>
      </c>
      <c r="C159" t="s">
        <v>2892</v>
      </c>
      <c r="E159" t="s">
        <v>2893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2908</v>
      </c>
      <c r="C160" t="s">
        <v>2909</v>
      </c>
      <c r="E160" t="s">
        <v>2910</v>
      </c>
      <c r="F160" t="s">
        <v>963</v>
      </c>
      <c r="G160" t="s">
        <v>2911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2914</v>
      </c>
      <c r="C161" t="s">
        <v>2915</v>
      </c>
      <c r="E161" t="s">
        <v>2916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2934</v>
      </c>
      <c r="C162" t="s">
        <v>2935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900000</v>
      </c>
      <c r="I162" s="52" t="s">
        <v>3581</v>
      </c>
    </row>
    <row r="163" spans="1:9" x14ac:dyDescent="0.3">
      <c r="A163" s="47">
        <v>162</v>
      </c>
      <c r="B163" t="s">
        <v>2948</v>
      </c>
      <c r="C163" t="s">
        <v>2949</v>
      </c>
      <c r="E163" t="s">
        <v>2950</v>
      </c>
      <c r="F163" t="s">
        <v>977</v>
      </c>
      <c r="G163" t="s">
        <v>2951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2953</v>
      </c>
      <c r="C164" t="s">
        <v>2954</v>
      </c>
      <c r="E164" t="s">
        <v>2955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2965</v>
      </c>
    </row>
    <row r="165" spans="1:9" x14ac:dyDescent="0.3">
      <c r="A165" s="47">
        <v>164</v>
      </c>
      <c r="B165" t="s">
        <v>2960</v>
      </c>
      <c r="C165" t="s">
        <v>2949</v>
      </c>
      <c r="E165" t="s">
        <v>2950</v>
      </c>
      <c r="F165" t="s">
        <v>977</v>
      </c>
      <c r="G165" t="s">
        <v>2951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2982</v>
      </c>
      <c r="C166" t="s">
        <v>2983</v>
      </c>
      <c r="E166" t="s">
        <v>2984</v>
      </c>
      <c r="F166" t="s">
        <v>963</v>
      </c>
      <c r="G166" t="s">
        <v>2985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3040</v>
      </c>
      <c r="C167" t="s">
        <v>3041</v>
      </c>
      <c r="E167" t="s">
        <v>3042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3048</v>
      </c>
      <c r="C168" t="s">
        <v>3049</v>
      </c>
      <c r="D168" t="s">
        <v>3050</v>
      </c>
      <c r="E168" t="s">
        <v>3051</v>
      </c>
      <c r="F168" t="s">
        <v>977</v>
      </c>
      <c r="G168" t="s">
        <v>3052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3096</v>
      </c>
      <c r="C169" t="s">
        <v>3097</v>
      </c>
      <c r="E169" t="s">
        <v>3098</v>
      </c>
      <c r="F169" t="s">
        <v>977</v>
      </c>
      <c r="G169" t="s">
        <v>3099</v>
      </c>
      <c r="H169" s="194">
        <f>SUMIF(주문_리스트!C:C,거래처!B169,주문_리스트!K:K)+SUMIF(주문_리스트!C:C,거래처!B169,주문_리스트!L:L)</f>
        <v>0</v>
      </c>
      <c r="I169" s="52" t="s">
        <v>3102</v>
      </c>
    </row>
    <row r="170" spans="1:9" x14ac:dyDescent="0.3">
      <c r="A170" s="47">
        <v>169</v>
      </c>
      <c r="B170" t="s">
        <v>3140</v>
      </c>
      <c r="C170" t="s">
        <v>3141</v>
      </c>
      <c r="E170" t="s">
        <v>3142</v>
      </c>
      <c r="F170" t="s">
        <v>963</v>
      </c>
      <c r="G170" t="s">
        <v>3143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3171</v>
      </c>
      <c r="C171" t="s">
        <v>3172</v>
      </c>
      <c r="E171" t="s">
        <v>3173</v>
      </c>
      <c r="F171" t="s">
        <v>977</v>
      </c>
      <c r="G171" t="s">
        <v>3174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3203</v>
      </c>
      <c r="C172" t="s">
        <v>3204</v>
      </c>
      <c r="E172" t="s">
        <v>3205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3207</v>
      </c>
      <c r="C173" t="s">
        <v>3208</v>
      </c>
      <c r="E173" t="s">
        <v>3209</v>
      </c>
      <c r="F173" t="s">
        <v>32</v>
      </c>
      <c r="G173" t="s">
        <v>3214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3230</v>
      </c>
      <c r="C174" t="s">
        <v>3231</v>
      </c>
      <c r="E174" t="s">
        <v>3232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3286</v>
      </c>
      <c r="C175" t="s">
        <v>3287</v>
      </c>
      <c r="E175" t="s">
        <v>3288</v>
      </c>
      <c r="F175" t="s">
        <v>1187</v>
      </c>
      <c r="G175" t="s">
        <v>2810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3292</v>
      </c>
      <c r="C176" t="s">
        <v>3293</v>
      </c>
      <c r="E176" t="s">
        <v>3294</v>
      </c>
      <c r="F176" t="s">
        <v>1187</v>
      </c>
      <c r="G176" t="s">
        <v>3295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3317</v>
      </c>
      <c r="C177" t="s">
        <v>3318</v>
      </c>
      <c r="E177" t="s">
        <v>3319</v>
      </c>
      <c r="F177" t="s">
        <v>977</v>
      </c>
      <c r="G177" t="s">
        <v>3320</v>
      </c>
      <c r="H177" s="194">
        <f>SUMIF(주문_리스트!C:C,거래처!B177,주문_리스트!K:K)+SUMIF(주문_리스트!C:C,거래처!B177,주문_리스트!L:L)</f>
        <v>0</v>
      </c>
      <c r="K177" t="s">
        <v>3430</v>
      </c>
    </row>
    <row r="178" spans="1:11" x14ac:dyDescent="0.3">
      <c r="A178" s="47">
        <v>177</v>
      </c>
      <c r="B178" t="s">
        <v>3377</v>
      </c>
      <c r="C178" t="s">
        <v>3378</v>
      </c>
      <c r="E178" t="s">
        <v>3379</v>
      </c>
      <c r="F178" t="s">
        <v>3380</v>
      </c>
      <c r="G178" t="s">
        <v>3381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3432</v>
      </c>
      <c r="C179" t="s">
        <v>3433</v>
      </c>
      <c r="E179" t="s">
        <v>3434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3481</v>
      </c>
      <c r="C180" t="s">
        <v>3482</v>
      </c>
      <c r="E180" t="s">
        <v>3483</v>
      </c>
      <c r="F180" t="s">
        <v>3484</v>
      </c>
      <c r="G180" t="s">
        <v>3485</v>
      </c>
      <c r="H180" s="194">
        <f>SUMIF(주문_리스트!C:C,거래처!B180,주문_리스트!K:K)+SUMIF(주문_리스트!C:C,거래처!B180,주문_리스트!L:L)</f>
        <v>0</v>
      </c>
      <c r="I180" s="52" t="s">
        <v>2881</v>
      </c>
    </row>
    <row r="181" spans="1:11" x14ac:dyDescent="0.3">
      <c r="A181" s="47">
        <v>180</v>
      </c>
      <c r="B181" t="s">
        <v>3488</v>
      </c>
      <c r="C181" t="s">
        <v>3489</v>
      </c>
      <c r="E181" t="s">
        <v>3490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3492</v>
      </c>
      <c r="C182" t="s">
        <v>3493</v>
      </c>
      <c r="E182" t="s">
        <v>3494</v>
      </c>
      <c r="F182" t="s">
        <v>1187</v>
      </c>
      <c r="G182" t="s">
        <v>2810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3535</v>
      </c>
      <c r="C183" t="s">
        <v>3536</v>
      </c>
      <c r="E183" t="s">
        <v>3540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3555</v>
      </c>
    </row>
    <row r="184" spans="1:11" x14ac:dyDescent="0.3">
      <c r="A184" s="47">
        <v>184</v>
      </c>
      <c r="B184" t="s">
        <v>3577</v>
      </c>
      <c r="C184" t="s">
        <v>3578</v>
      </c>
      <c r="E184" t="s">
        <v>3579</v>
      </c>
      <c r="F184" t="s">
        <v>1187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0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231</v>
      </c>
    </row>
    <row r="2" spans="1:11" x14ac:dyDescent="0.3">
      <c r="A2">
        <v>1</v>
      </c>
      <c r="B2">
        <v>2</v>
      </c>
      <c r="C2" s="288">
        <v>28120504</v>
      </c>
      <c r="D2" s="288" t="s">
        <v>2533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-36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2536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2700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2704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-17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-16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-77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-88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-24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-24</v>
      </c>
    </row>
    <row r="31" spans="1:9" x14ac:dyDescent="0.3">
      <c r="A31">
        <v>30</v>
      </c>
      <c r="B31">
        <v>3</v>
      </c>
      <c r="C31" s="288" t="s">
        <v>1769</v>
      </c>
      <c r="D31" s="288" t="s">
        <v>3496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2478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2592</v>
      </c>
      <c r="D34" s="288" t="s">
        <v>2593</v>
      </c>
      <c r="E34" s="288" t="s">
        <v>2592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2738</v>
      </c>
      <c r="D47" s="288" t="s">
        <v>2350</v>
      </c>
      <c r="E47" s="288" t="s">
        <v>2738</v>
      </c>
      <c r="F47" s="52">
        <v>350000</v>
      </c>
      <c r="H47">
        <f>SUMIF(재고!D:D,제품!D47,재고!G:G)-SUMIF(주문_리스트!E:E,제품!D47,주문_리스트!H:H)</f>
        <v>-38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-22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-11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-12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-24</v>
      </c>
    </row>
    <row r="59" spans="1:9" x14ac:dyDescent="0.3">
      <c r="A59">
        <v>58</v>
      </c>
      <c r="B59">
        <v>3</v>
      </c>
      <c r="C59" s="288" t="s">
        <v>2766</v>
      </c>
      <c r="D59" s="288" t="s">
        <v>2218</v>
      </c>
      <c r="E59" s="288" t="s">
        <v>2766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2702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2536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2537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2594</v>
      </c>
      <c r="D73" s="288" t="s">
        <v>2595</v>
      </c>
      <c r="E73" s="288" t="s">
        <v>2594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2768</v>
      </c>
      <c r="D86" s="288" t="s">
        <v>2755</v>
      </c>
      <c r="E86" s="288" t="s">
        <v>2768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-37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-27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-32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2852</v>
      </c>
      <c r="D99" s="288" t="s">
        <v>2510</v>
      </c>
      <c r="E99" s="288" t="s">
        <v>2852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-58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-88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-12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2536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2842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2536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-10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-24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2703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2701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2598</v>
      </c>
      <c r="D149" s="288" t="s">
        <v>2353</v>
      </c>
      <c r="E149" s="288" t="s">
        <v>2598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2705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-4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2532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2712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2536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2597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2485</v>
      </c>
      <c r="D167" s="288" t="s">
        <v>2486</v>
      </c>
      <c r="E167" s="288" t="s">
        <v>2485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2536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-9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-16</v>
      </c>
    </row>
    <row r="172" spans="1:9" x14ac:dyDescent="0.3">
      <c r="A172">
        <v>171</v>
      </c>
      <c r="C172" s="288">
        <v>415089709</v>
      </c>
      <c r="D172" s="288" t="s">
        <v>2536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3089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2685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2905</v>
      </c>
      <c r="D178" s="288" t="s">
        <v>2906</v>
      </c>
      <c r="E178" s="288" t="s">
        <v>2905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2907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2527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2526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2581</v>
      </c>
      <c r="D189" s="288" t="s">
        <v>2582</v>
      </c>
      <c r="E189" s="288" t="s">
        <v>2581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2840</v>
      </c>
      <c r="D190" s="288" t="s">
        <v>2841</v>
      </c>
      <c r="E190" s="288" t="s">
        <v>2840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2631</v>
      </c>
      <c r="D191" s="288" t="s">
        <v>2632</v>
      </c>
      <c r="E191" s="288" t="s">
        <v>2631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2640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2669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2707</v>
      </c>
      <c r="D194" s="288" t="s">
        <v>2708</v>
      </c>
      <c r="E194" s="288" t="s">
        <v>2707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2730</v>
      </c>
      <c r="D195" s="288" t="s">
        <v>2731</v>
      </c>
      <c r="E195" s="288" t="s">
        <v>2730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2742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2767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2769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2770</v>
      </c>
    </row>
    <row r="199" spans="1:9" x14ac:dyDescent="0.3">
      <c r="A199">
        <v>198</v>
      </c>
      <c r="B199">
        <v>14</v>
      </c>
      <c r="C199" s="288" t="s">
        <v>2860</v>
      </c>
      <c r="D199" s="288" t="s">
        <v>2861</v>
      </c>
      <c r="E199" s="288" t="s">
        <v>2860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2862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2866</v>
      </c>
      <c r="D201" s="288" t="s">
        <v>2868</v>
      </c>
      <c r="E201" s="288" t="s">
        <v>2866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2940</v>
      </c>
      <c r="D202" s="288" t="s">
        <v>2941</v>
      </c>
      <c r="E202" s="288" t="s">
        <v>2940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2902</v>
      </c>
      <c r="D203" s="288" t="s">
        <v>2903</v>
      </c>
      <c r="E203" s="288" t="s">
        <v>2902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2904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2922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2942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3145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3136</v>
      </c>
      <c r="D208" s="288" t="s">
        <v>3569</v>
      </c>
      <c r="E208" s="288" t="s">
        <v>3136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2972</v>
      </c>
      <c r="D209" s="288" t="s">
        <v>2973</v>
      </c>
      <c r="E209" s="288" t="s">
        <v>2972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2976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3005</v>
      </c>
      <c r="D211" s="288" t="s">
        <v>3006</v>
      </c>
      <c r="E211" s="288" t="s">
        <v>3005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3093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2937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3144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3144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3153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3186</v>
      </c>
      <c r="D217" s="288" t="s">
        <v>2396</v>
      </c>
      <c r="E217" s="288" t="s">
        <v>3186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3236</v>
      </c>
      <c r="D218" s="288" t="s">
        <v>3237</v>
      </c>
      <c r="E218" s="288" t="s">
        <v>3236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3238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3303</v>
      </c>
      <c r="D220" s="288" t="s">
        <v>3239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3304</v>
      </c>
      <c r="D221" s="288" t="s">
        <v>3301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3302</v>
      </c>
    </row>
    <row r="222" spans="1:9" x14ac:dyDescent="0.3">
      <c r="A222">
        <v>221</v>
      </c>
      <c r="B222">
        <v>4</v>
      </c>
      <c r="C222" s="288" t="s">
        <v>3310</v>
      </c>
      <c r="D222" s="288" t="s">
        <v>3311</v>
      </c>
      <c r="E222" s="288" t="s">
        <v>3310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3339</v>
      </c>
      <c r="D223" s="288" t="s">
        <v>3340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3413</v>
      </c>
      <c r="D224" s="288" t="s">
        <v>3414</v>
      </c>
      <c r="E224" s="288" t="s">
        <v>3413</v>
      </c>
      <c r="H224">
        <f>SUMIF(재고!D:D,제품!D224,재고!G:G)-SUMIF(주문_리스트!E:E,제품!D224,주문_리스트!H:H)</f>
        <v>-1</v>
      </c>
      <c r="I224" s="52" t="s">
        <v>3415</v>
      </c>
    </row>
    <row r="225" spans="1:8" x14ac:dyDescent="0.3">
      <c r="A225">
        <v>224</v>
      </c>
      <c r="B225">
        <v>1</v>
      </c>
      <c r="C225" s="288" t="s">
        <v>3444</v>
      </c>
      <c r="D225" s="288" t="s">
        <v>3445</v>
      </c>
      <c r="E225" s="288" t="s">
        <v>3444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3470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3507</v>
      </c>
      <c r="D227" s="288" t="s">
        <v>3508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3556</v>
      </c>
      <c r="D228" s="288" t="s">
        <v>3244</v>
      </c>
      <c r="E228" s="288" t="s">
        <v>3556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3585</v>
      </c>
      <c r="D229" s="288" t="s">
        <v>3586</v>
      </c>
      <c r="E229" s="288" t="s">
        <v>3585</v>
      </c>
    </row>
    <row r="230" spans="1:8" x14ac:dyDescent="0.3">
      <c r="A230">
        <v>230</v>
      </c>
      <c r="B230">
        <v>3</v>
      </c>
      <c r="D230" s="288" t="s">
        <v>3594</v>
      </c>
      <c r="F230" s="52">
        <v>300000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2533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2939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2536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2700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2704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2478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2592</v>
      </c>
      <c r="D34" s="190" t="s">
        <v>2593</v>
      </c>
      <c r="E34" s="190" t="s">
        <v>2592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2738</v>
      </c>
      <c r="D47" s="190" t="s">
        <v>2350</v>
      </c>
      <c r="E47" s="190" t="s">
        <v>2738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2766</v>
      </c>
      <c r="D59" s="190" t="s">
        <v>2218</v>
      </c>
      <c r="E59" s="190" t="s">
        <v>2766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2702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2536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2594</v>
      </c>
      <c r="D73" s="190" t="s">
        <v>2595</v>
      </c>
      <c r="E73" s="190" t="s">
        <v>2594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2768</v>
      </c>
      <c r="D86" s="190" t="s">
        <v>2755</v>
      </c>
      <c r="E86" s="190" t="s">
        <v>2768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2852</v>
      </c>
      <c r="D99" s="190" t="s">
        <v>2510</v>
      </c>
      <c r="E99" s="190" t="s">
        <v>2852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2536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2842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2536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2703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2701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2598</v>
      </c>
      <c r="D150" s="190" t="s">
        <v>2353</v>
      </c>
      <c r="E150" s="190" t="s">
        <v>2598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2705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2532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2536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2597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2485</v>
      </c>
      <c r="D168" s="190" t="s">
        <v>2486</v>
      </c>
      <c r="E168" s="190" t="s">
        <v>2485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2536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2536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2685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2905</v>
      </c>
      <c r="D179" s="190" t="s">
        <v>2906</v>
      </c>
      <c r="E179" s="190" t="s">
        <v>2905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2467</v>
      </c>
      <c r="F186" s="52">
        <v>850000</v>
      </c>
    </row>
    <row r="187" spans="1:6" x14ac:dyDescent="0.3">
      <c r="A187">
        <v>186</v>
      </c>
      <c r="D187" s="190" t="s">
        <v>2511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2527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2526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2581</v>
      </c>
      <c r="D190" s="190" t="s">
        <v>2582</v>
      </c>
      <c r="E190" s="190" t="s">
        <v>2581</v>
      </c>
      <c r="F190" s="52">
        <v>1000000</v>
      </c>
    </row>
    <row r="191" spans="1:6" x14ac:dyDescent="0.3">
      <c r="A191">
        <v>190</v>
      </c>
      <c r="C191" s="191" t="s">
        <v>2840</v>
      </c>
      <c r="D191" s="190" t="s">
        <v>2841</v>
      </c>
      <c r="E191" s="190" t="s">
        <v>2840</v>
      </c>
      <c r="F191" s="52">
        <v>1600000</v>
      </c>
    </row>
    <row r="192" spans="1:6" x14ac:dyDescent="0.3">
      <c r="A192">
        <v>191</v>
      </c>
      <c r="C192" s="191" t="s">
        <v>2631</v>
      </c>
      <c r="D192" s="190" t="s">
        <v>2632</v>
      </c>
      <c r="E192" s="190" t="s">
        <v>2631</v>
      </c>
      <c r="F192" s="52">
        <v>1500000</v>
      </c>
    </row>
    <row r="193" spans="1:6" x14ac:dyDescent="0.3">
      <c r="A193">
        <v>192</v>
      </c>
      <c r="D193" s="190" t="s">
        <v>2640</v>
      </c>
      <c r="F193" s="52">
        <v>1100000</v>
      </c>
    </row>
    <row r="194" spans="1:6" x14ac:dyDescent="0.3">
      <c r="A194">
        <v>193</v>
      </c>
      <c r="D194" s="190" t="s">
        <v>2669</v>
      </c>
      <c r="F194" s="52">
        <v>1700000</v>
      </c>
    </row>
    <row r="195" spans="1:6" x14ac:dyDescent="0.3">
      <c r="A195">
        <v>194</v>
      </c>
      <c r="C195" s="191" t="s">
        <v>2707</v>
      </c>
      <c r="D195" s="190" t="s">
        <v>2708</v>
      </c>
      <c r="E195" s="190" t="s">
        <v>2707</v>
      </c>
      <c r="F195" s="52">
        <v>400000</v>
      </c>
    </row>
    <row r="196" spans="1:6" x14ac:dyDescent="0.3">
      <c r="A196">
        <v>195</v>
      </c>
      <c r="C196" s="191" t="s">
        <v>2730</v>
      </c>
      <c r="D196" s="190" t="s">
        <v>2731</v>
      </c>
      <c r="E196" s="190" t="s">
        <v>2730</v>
      </c>
      <c r="F196" s="52">
        <v>1500000</v>
      </c>
    </row>
    <row r="197" spans="1:6" x14ac:dyDescent="0.3">
      <c r="A197">
        <v>196</v>
      </c>
      <c r="D197" s="190" t="s">
        <v>2742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2767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2769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2860</v>
      </c>
      <c r="D200" s="190" t="s">
        <v>2861</v>
      </c>
      <c r="E200" s="190" t="s">
        <v>2860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2866</v>
      </c>
      <c r="D202" s="190" t="s">
        <v>2868</v>
      </c>
      <c r="E202" s="190" t="s">
        <v>2866</v>
      </c>
      <c r="F202" s="52">
        <v>75000</v>
      </c>
    </row>
    <row r="203" spans="1:6" x14ac:dyDescent="0.3">
      <c r="A203">
        <v>202</v>
      </c>
      <c r="C203" s="191" t="s">
        <v>2940</v>
      </c>
      <c r="D203" s="190" t="s">
        <v>2941</v>
      </c>
      <c r="E203" s="190" t="s">
        <v>2940</v>
      </c>
      <c r="F203" s="52">
        <v>13000</v>
      </c>
    </row>
    <row r="204" spans="1:6" x14ac:dyDescent="0.3">
      <c r="A204">
        <v>203</v>
      </c>
      <c r="C204" s="191" t="s">
        <v>2902</v>
      </c>
      <c r="D204" s="190" t="s">
        <v>2903</v>
      </c>
      <c r="E204" s="190" t="s">
        <v>2902</v>
      </c>
    </row>
    <row r="205" spans="1:6" x14ac:dyDescent="0.3">
      <c r="A205">
        <v>204</v>
      </c>
      <c r="C205" s="191">
        <v>709013001</v>
      </c>
      <c r="D205" s="190" t="s">
        <v>2904</v>
      </c>
      <c r="E205" s="190">
        <v>709013001</v>
      </c>
    </row>
    <row r="206" spans="1:6" x14ac:dyDescent="0.3">
      <c r="A206">
        <v>205</v>
      </c>
      <c r="D206" s="190" t="s">
        <v>2922</v>
      </c>
      <c r="F206" s="52">
        <v>50000</v>
      </c>
    </row>
    <row r="207" spans="1:6" x14ac:dyDescent="0.3">
      <c r="A207">
        <v>206</v>
      </c>
      <c r="D207" s="190" t="s">
        <v>2942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3145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2958</v>
      </c>
      <c r="F209" s="52">
        <v>1000000</v>
      </c>
    </row>
    <row r="210" spans="1:6" x14ac:dyDescent="0.3">
      <c r="C210" s="191" t="s">
        <v>2972</v>
      </c>
      <c r="D210" s="190" t="s">
        <v>2973</v>
      </c>
      <c r="E210" s="190" t="s">
        <v>2972</v>
      </c>
      <c r="F210" s="52">
        <v>500000</v>
      </c>
    </row>
    <row r="211" spans="1:6" x14ac:dyDescent="0.3">
      <c r="C211" s="191">
        <v>33108841535</v>
      </c>
      <c r="D211" s="190" t="s">
        <v>2976</v>
      </c>
      <c r="E211" s="190">
        <v>33108841535</v>
      </c>
      <c r="F211" s="52">
        <v>1200000</v>
      </c>
    </row>
    <row r="212" spans="1:6" x14ac:dyDescent="0.3">
      <c r="C212" s="191" t="s">
        <v>3005</v>
      </c>
      <c r="D212" s="190" t="s">
        <v>3006</v>
      </c>
      <c r="E212" s="190" t="s">
        <v>3005</v>
      </c>
      <c r="F212" s="52">
        <v>250000</v>
      </c>
    </row>
    <row r="213" spans="1:6" x14ac:dyDescent="0.3">
      <c r="D213" s="190" t="s">
        <v>3093</v>
      </c>
      <c r="F213" s="52">
        <v>200000</v>
      </c>
    </row>
    <row r="214" spans="1:6" x14ac:dyDescent="0.3">
      <c r="C214" s="191">
        <v>2212500301</v>
      </c>
      <c r="D214" s="190" t="s">
        <v>2937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3144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3144</v>
      </c>
      <c r="E216" s="190">
        <v>6058008068</v>
      </c>
    </row>
    <row r="217" spans="1:6" x14ac:dyDescent="0.3">
      <c r="D217" s="190" t="s">
        <v>3153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2793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3054</v>
      </c>
      <c r="J86" s="53" t="s">
        <v>2191</v>
      </c>
      <c r="K86" s="17" t="s">
        <v>3054</v>
      </c>
      <c r="L86" s="17">
        <v>2200000</v>
      </c>
    </row>
    <row r="87" spans="6:12" ht="18" customHeight="1" x14ac:dyDescent="0.3">
      <c r="F87" s="17">
        <v>72</v>
      </c>
      <c r="I87" s="17" t="s">
        <v>3055</v>
      </c>
      <c r="J87" s="53" t="s">
        <v>3067</v>
      </c>
      <c r="K87" s="17" t="s">
        <v>3055</v>
      </c>
      <c r="L87" s="17">
        <v>1500000</v>
      </c>
    </row>
    <row r="88" spans="6:12" ht="18" customHeight="1" x14ac:dyDescent="0.3">
      <c r="F88" s="17">
        <v>73</v>
      </c>
      <c r="I88" s="17" t="s">
        <v>3056</v>
      </c>
      <c r="J88" s="53" t="s">
        <v>2210</v>
      </c>
      <c r="K88" s="17" t="s">
        <v>3056</v>
      </c>
      <c r="L88" s="17">
        <v>50000</v>
      </c>
    </row>
    <row r="89" spans="6:12" ht="18" customHeight="1" x14ac:dyDescent="0.3">
      <c r="F89" s="17">
        <v>58</v>
      </c>
      <c r="I89" s="17" t="s">
        <v>2766</v>
      </c>
      <c r="J89" s="53" t="s">
        <v>2430</v>
      </c>
      <c r="K89" s="17" t="s">
        <v>2766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2768</v>
      </c>
      <c r="J103" s="53" t="s">
        <v>2858</v>
      </c>
      <c r="K103" s="17" t="s">
        <v>2768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2894</v>
      </c>
      <c r="J110" s="53" t="s">
        <v>2396</v>
      </c>
      <c r="K110" s="17" t="s">
        <v>2894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3068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2715</v>
      </c>
      <c r="J115" s="53" t="s">
        <v>1569</v>
      </c>
      <c r="K115" s="17" t="s">
        <v>2715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3057</v>
      </c>
      <c r="J118" s="53" t="s">
        <v>3069</v>
      </c>
      <c r="K118" s="17" t="s">
        <v>3057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2697</v>
      </c>
      <c r="J122" s="53" t="s">
        <v>1504</v>
      </c>
      <c r="K122" s="17" t="s">
        <v>2697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3070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2852</v>
      </c>
      <c r="J128" s="53" t="s">
        <v>1745</v>
      </c>
      <c r="K128" s="17" t="s">
        <v>2852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2462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2660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2025-09-15T09:11:44Z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