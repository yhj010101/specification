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2DC35DB-C789-47B3-A28A-7D1219B3A14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주문_리스트!$A$1:$K$1593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5" i="4" l="1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<sst xmlns="http://schemas.openxmlformats.org/spreadsheetml/2006/main" count="10529" uniqueCount="3600">
  <si>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</si>
  <si>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</si>
  <si>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</si>
  <si>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</si>
  <si>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</si>
  <si>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</si>
  <si>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</si>
  <si>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</si>
  <si>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</si>
  <si>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</si>
  <si>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</si>
  <si>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</si>
  <si>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</si>
  <si>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</si>
  <si>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</si>
  <si>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</si>
  <si>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</si>
  <si>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</si>
  <si>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</si>
  <si>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</si>
  <si>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</si>
  <si>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</si>
  <si>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</si>
  <si>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</si>
  <si>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</si>
  <si>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</si>
  <si>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</si>
  <si>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</si>
  <si>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</si>
  <si>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</si>
  <si>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</si>
  <si>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</si>
  <si>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</si>
  <si>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</si>
  <si>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</si>
  <si>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</si>
  <si>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</si>
  <si>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</si>
  <si>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</si>
  <si>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</si>
  <si>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</si>
  <si>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</si>
  <si>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</si>
  <si>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</si>
  <si>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</si>
  <si>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</si>
  <si>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</si>
  <si>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</si>
  <si>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</si>
  <si>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</si>
  <si>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</si>
  <si>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</si>
  <si>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</si>
  <si>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</si>
  <si>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</si>
  <si>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</si>
  <si>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</si>
  <si>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</si>
  <si>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</si>
  <si>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</si>
  <si>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</si>
  <si>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</si>
  <si>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</si>
  <si>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</si>
  <si>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</si>
  <si>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</si>
  <si>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</si>
  <si>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</si>
  <si>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</si>
  <si>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</si>
  <si>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</si>
  <si>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</si>
  <si>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</si>
  <si>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</si>
  <si>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</si>
  <si>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</si>
  <si>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</si>
  <si>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</si>
  <si>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</si>
  <si>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</si>
  <si>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</si>
  <si>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</si>
  <si>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</si>
  <si>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</si>
  <si>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</si>
  <si>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</si>
  <si>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</si>
  <si>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</si>
  <si>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</si>
  <si>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</si>
  <si>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</si>
  <si>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</si>
  <si>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</si>
  <si>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</si>
  <si>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</si>
  <si>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</si>
  <si>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</si>
  <si>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</si>
  <si>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</si>
  <si>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</si>
  <si>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</si>
  <si>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</si>
  <si>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</si>
  <si>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</si>
  <si>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</si>
  <si>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</si>
  <si>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</si>
  <si>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</si>
  <si>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</si>
  <si>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</si>
  <si>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</si>
  <si>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</si>
  <si>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</si>
  <si>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</si>
  <si>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</si>
  <si>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</si>
  <si>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</si>
  <si>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</si>
  <si>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</si>
  <si>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</si>
  <si>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</si>
  <si>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</si>
  <si>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</si>
  <si>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</si>
  <si>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</si>
  <si>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</si>
  <si>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</si>
  <si>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</si>
  <si>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</si>
  <si>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</si>
  <si>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</si>
  <si>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</si>
  <si>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</si>
  <si>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</si>
  <si>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</si>
  <si>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</si>
  <si>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</si>
  <si>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</si>
  <si>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</si>
  <si>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</si>
  <si>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</si>
  <si>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</si>
  <si>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</si>
  <si>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</si>
  <si>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</si>
  <si>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</si>
  <si>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</si>
  <si>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</si>
  <si>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</si>
  <si>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</si>
  <si>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</si>
  <si>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</si>
  <si>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</si>
  <si>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</si>
  <si>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</si>
  <si>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</si>
  <si>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</si>
  <si>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</si>
  <si>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</si>
  <si>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</si>
  <si>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</si>
  <si>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</si>
  <si>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</si>
  <si>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</si>
  <si>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</si>
  <si>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</si>
  <si>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</si>
  <si>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</si>
  <si>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</si>
  <si>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</si>
  <si>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</si>
  <si>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</si>
  <si>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</si>
  <si>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</si>
  <si>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</si>
  <si>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</si>
  <si>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</si>
  <si>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</si>
  <si>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</si>
  <si>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</si>
  <si>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</si>
  <si>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</si>
  <si>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</si>
  <si>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</si>
  <si>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</si>
  <si>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</si>
  <si>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</si>
  <si>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</si>
  <si>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</si>
  <si>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</si>
  <si>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</si>
  <si>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</si>
  <si>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</si>
  <si>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</si>
  <si>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</si>
  <si>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</si>
  <si>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</si>
  <si>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</si>
  <si>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</si>
  <si>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</si>
  <si>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</si>
  <si>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</si>
  <si>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</si>
  <si>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</si>
  <si>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</si>
  <si>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</si>
  <si>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</si>
  <si>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</si>
  <si>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</si>
  <si>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</si>
  <si>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</si>
  <si>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</si>
  <si>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</si>
  <si>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</si>
  <si>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</si>
  <si>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</si>
  <si>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</si>
  <si>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</si>
  <si>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</si>
  <si>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</si>
  <si>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</si>
  <si>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</si>
  <si>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</si>
  <si>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</si>
  <si>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</si>
  <si>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</si>
  <si>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</si>
  <si>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</si>
  <si>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</si>
  <si>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</si>
  <si>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</si>
  <si>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</si>
  <si>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</si>
  <si>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</si>
  <si>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</si>
  <si>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</si>
  <si>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</si>
  <si>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</si>
  <si>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</si>
  <si>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</si>
  <si>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</si>
  <si>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</si>
  <si>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</si>
  <si>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</si>
  <si>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</si>
  <si>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</si>
  <si>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</si>
  <si>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</si>
  <si>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</si>
  <si>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</si>
  <si>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</si>
  <si>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</si>
  <si>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</si>
  <si>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</si>
  <si>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</si>
  <si>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</si>
  <si>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</si>
  <si>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</si>
  <si>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</si>
  <si>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</si>
  <si>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</si>
  <si>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</si>
  <si>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</si>
  <si>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</si>
  <si>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</si>
  <si>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</si>
  <si>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</si>
  <si>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</si>
  <si>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</si>
  <si>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</si>
  <si>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</si>
  <si>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</si>
  <si>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</si>
  <si>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</si>
  <si>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</si>
  <si>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</si>
  <si>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</si>
  <si>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</si>
  <si>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</si>
  <si>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</si>
  <si>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</si>
  <si>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</si>
  <si>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</si>
  <si>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</si>
  <si>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</si>
  <si>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</si>
  <si>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</si>
  <si>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</si>
  <si>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</si>
  <si>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</si>
  <si>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</si>
  <si>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</si>
  <si>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</si>
  <si>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</si>
  <si>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</si>
  <si>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</si>
  <si>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</si>
  <si>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</si>
  <si>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</si>
  <si>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</si>
  <si>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</si>
  <si>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</si>
  <si>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</si>
  <si>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</si>
  <si>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</si>
  <si>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</si>
  <si>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</si>
  <si>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</si>
  <si>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</si>
  <si>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</si>
  <si>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</si>
  <si>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</si>
  <si>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</si>
  <si>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</si>
  <si>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</si>
  <si>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</si>
  <si>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</si>
  <si>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</si>
  <si>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</si>
  <si>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</si>
  <si>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</si>
  <si>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</si>
  <si>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</si>
  <si>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</si>
  <si>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</si>
  <si>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</si>
  <si>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</si>
  <si>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</si>
  <si>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</si>
  <si>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</si>
  <si>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</si>
  <si>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</si>
  <si>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</si>
  <si>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</si>
  <si>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</si>
  <si>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</si>
  <si>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</si>
  <si>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</si>
  <si>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</si>
  <si>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</si>
  <si>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</si>
  <si>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</si>
  <si>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</si>
  <si>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</si>
  <si>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</si>
  <si>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</si>
  <si>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</si>
  <si>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</si>
  <si>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</si>
  <si>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</si>
  <si>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</si>
  <si>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</si>
  <si>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</si>
  <si>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</si>
  <si>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</si>
  <si>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</si>
  <si>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</si>
  <si>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</si>
  <si>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</si>
  <si>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</si>
  <si>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</si>
  <si>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</si>
  <si>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</si>
  <si>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</si>
  <si>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</si>
  <si>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</si>
  <si>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</si>
  <si>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</si>
  <si>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</si>
  <si>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</si>
  <si>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</si>
  <si>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</si>
  <si>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</si>
  <si>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</si>
  <si>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</si>
  <si>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</si>
  <si>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</si>
  <si>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</si>
  <si>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</si>
  <si>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</si>
  <si>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</si>
  <si>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</si>
  <si>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</si>
  <si>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</si>
  <si>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</si>
  <si>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</si>
  <si>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</si>
  <si>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</si>
  <si>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</si>
  <si>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</si>
  <si>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</si>
  <si>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</si>
  <si>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</si>
  <si>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</si>
  <si>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</si>
  <si>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</si>
  <si>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</si>
  <si>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</si>
  <si>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</si>
  <si>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</si>
  <si>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</si>
  <si>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</si>
  <si>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</si>
  <si>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</si>
  <si>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</si>
  <si>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</si>
  <si>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</si>
  <si>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</si>
  <si>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</si>
  <si>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</si>
  <si>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</si>
  <si>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</si>
  <si>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</si>
  <si>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</si>
  <si>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</si>
  <si>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</si>
  <si>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</si>
  <si>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</si>
  <si>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</si>
  <si>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</si>
  <si>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</si>
  <si>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</si>
  <si>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</si>
  <si>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</si>
  <si>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</si>
  <si>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</si>
  <si>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</si>
  <si>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</si>
  <si>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</si>
  <si>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</si>
  <si>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</si>
  <si>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</si>
  <si>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</si>
  <si>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</si>
  <si>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</si>
  <si>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</si>
  <si>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</si>
  <si>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</si>
  <si>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</si>
  <si>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</si>
  <si>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</si>
  <si>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</si>
  <si>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</si>
  <si>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</si>
  <si>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</si>
  <si>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</si>
  <si>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</si>
  <si>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</si>
  <si>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</si>
  <si>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</si>
  <si>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</si>
  <si>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</si>
  <si>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</si>
  <si>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</si>
  <si>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</si>
  <si>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</si>
  <si>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</si>
  <si>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</si>
  <si>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</si>
  <si>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</si>
  <si>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</si>
  <si>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</si>
  <si>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</si>
  <si>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</si>
  <si>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</si>
  <si>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</si>
  <si>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</si>
  <si>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</si>
  <si>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</si>
  <si>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</si>
  <si>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</si>
  <si>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</si>
  <si>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</si>
  <si>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</si>
  <si>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</si>
  <si>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</si>
  <si>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</si>
  <si>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</si>
  <si>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</si>
  <si>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</si>
  <si>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</si>
  <si>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</si>
  <si>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</si>
  <si>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</si>
  <si>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</si>
  <si>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</si>
  <si>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</si>
  <si>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</si>
  <si>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</si>
  <si>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</si>
  <si>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</si>
  <si>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</si>
  <si>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</si>
  <si>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</si>
  <si>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</si>
  <si>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</si>
  <si>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</si>
  <si>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</si>
  <si>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</si>
  <si>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</si>
  <si>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</si>
  <si>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</si>
  <si>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</si>
  <si>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</si>
  <si>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</si>
  <si>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</si>
  <si>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</si>
  <si>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</si>
  <si>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</si>
  <si>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</si>
  <si>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</si>
  <si>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</si>
  <si>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</si>
  <si>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</si>
  <si>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</si>
  <si>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</si>
  <si>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</si>
  <si>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</si>
  <si>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</si>
  <si>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</si>
  <si>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</si>
  <si>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</si>
  <si>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</si>
  <si>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</si>
  <si>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</si>
  <si>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</si>
  <si>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</si>
  <si>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</si>
  <si>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</si>
  <si>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</si>
  <si>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</si>
  <si>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</si>
  <si>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</si>
  <si>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</si>
  <si>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</si>
  <si>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</si>
  <si>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</si>
  <si>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</si>
  <si>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</si>
  <si>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</si>
  <si>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</si>
  <si>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</si>
  <si>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</si>
  <si>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</si>
  <si>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</si>
  <si>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</si>
  <si>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</si>
  <si>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</si>
  <si>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</si>
  <si>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</si>
  <si>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</si>
  <si>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</si>
  <si>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</si>
  <si>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</si>
  <si>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</si>
  <si>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</si>
  <si>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</si>
  <si>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</si>
  <si>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</si>
  <si>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</si>
  <si>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</si>
  <si>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</si>
  <si>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</si>
  <si>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</si>
  <si>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</si>
  <si>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</si>
  <si>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</si>
  <si>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</si>
  <si>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</si>
  <si>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</si>
  <si>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</si>
  <si>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</si>
  <si>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</si>
  <si>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</si>
  <si>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</si>
  <si>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</si>
  <si>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</si>
  <si>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</si>
  <si>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</si>
  <si>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</si>
  <si>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</si>
  <si>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</si>
  <si>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</si>
  <si>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</si>
  <si>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</si>
  <si>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</si>
  <si>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</si>
  <si>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</si>
  <si>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</si>
  <si>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</si>
  <si>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</si>
  <si>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</si>
  <si>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</si>
  <si>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</si>
  <si>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</si>
  <si>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</si>
  <si>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</si>
  <si>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</si>
  <si>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</si>
  <si>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</si>
  <si>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</si>
  <si>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</si>
  <si>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</si>
  <si>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</si>
  <si>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</si>
  <si>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</si>
  <si>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</si>
  <si>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</si>
  <si>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</si>
  <si>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</si>
  <si>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</si>
  <si>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</si>
  <si>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</si>
  <si>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</si>
  <si>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</si>
  <si>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</si>
  <si>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</si>
  <si>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</si>
  <si>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</si>
  <si>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</si>
  <si>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</si>
  <si>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</si>
  <si>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</si>
  <si>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</si>
  <si>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</si>
  <si>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</si>
  <si>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</si>
  <si>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</si>
  <si>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</si>
  <si>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</si>
  <si>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</si>
  <si>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</si>
  <si>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</si>
  <si>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</si>
  <si>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</si>
  <si>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</si>
  <si>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</si>
  <si>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</si>
  <si>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</si>
  <si>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</si>
  <si>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</si>
  <si>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</si>
  <si>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</si>
  <si>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</si>
  <si>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</si>
  <si>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</si>
  <si>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</si>
  <si>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</si>
  <si>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</si>
  <si>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</si>
  <si>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</si>
  <si>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</si>
  <si>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</si>
  <si>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</si>
  <si>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</si>
  <si>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</si>
  <si>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</si>
  <si>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</si>
  <si>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</si>
  <si>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</si>
  <si>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</si>
  <si>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</si>
  <si>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</si>
  <si>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</si>
  <si>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</si>
  <si>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</si>
  <si>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</si>
  <si>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</si>
  <si>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</si>
  <si>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</si>
  <si>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</si>
  <si>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</si>
  <si>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</si>
  <si>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</si>
  <si>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</si>
  <si>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</si>
  <si>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</si>
  <si>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</si>
  <si>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</si>
  <si>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</si>
  <si>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</si>
  <si>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</si>
  <si>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</si>
  <si>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</si>
  <si>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</si>
  <si>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</si>
  <si>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</si>
  <si>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</si>
  <si>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</si>
  <si>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</si>
  <si>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</si>
  <si>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</si>
  <si>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</si>
  <si>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</si>
  <si>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</si>
  <si>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</si>
  <si>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</si>
  <si>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</si>
  <si>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</si>
  <si>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</si>
  <si>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</si>
  <si>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</si>
  <si>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</si>
  <si>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</si>
  <si>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</si>
  <si>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</si>
  <si>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</si>
  <si>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</si>
  <si>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</si>
  <si>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</si>
  <si>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</si>
  <si>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</si>
  <si>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</si>
  <si>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</si>
  <si>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</si>
  <si>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</si>
  <si>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</si>
  <si>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</si>
  <si>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</si>
  <si>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</si>
  <si>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</si>
  <si>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</si>
  <si>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</si>
  <si>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</si>
  <si>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</si>
  <si>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</si>
  <si>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</si>
  <si>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</si>
  <si>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</si>
  <si>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</si>
  <si>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</si>
  <si>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</si>
  <si>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</si>
  <si>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</si>
  <si>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</si>
  <si>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</si>
  <si>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</si>
  <si>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</si>
  <si>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</si>
  <si>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</si>
  <si>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</si>
  <si>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</si>
  <si>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</si>
  <si>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</si>
  <si>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</si>
  <si>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</si>
  <si>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</si>
  <si>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</si>
  <si>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</si>
  <si>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</si>
  <si>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</si>
  <si>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</si>
  <si>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</si>
  <si>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</si>
  <si>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</si>
  <si>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</si>
  <si>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</si>
  <si>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</si>
  <si>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</si>
  <si>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</si>
  <si>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</si>
  <si>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</si>
  <si>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</si>
  <si>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</si>
  <si>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</si>
  <si>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</si>
  <si>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</si>
  <si>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</si>
  <si>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</si>
  <si>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</si>
  <si>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</si>
  <si>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</si>
  <si>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</si>
  <si>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</si>
  <si>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</si>
  <si>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</si>
  <si>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</si>
  <si>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</si>
  <si>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</si>
  <si>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</si>
  <si>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</si>
  <si>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</si>
  <si>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</si>
  <si>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</si>
  <si>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</si>
  <si>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</si>
  <si>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</si>
  <si>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</si>
  <si>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</si>
  <si>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</si>
  <si>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</si>
  <si>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</si>
  <si>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</si>
  <si>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</si>
  <si>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</si>
  <si>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</si>
  <si>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</si>
  <si>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</si>
  <si>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</si>
  <si>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</si>
  <si>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</si>
  <si>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</si>
  <si>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</si>
  <si>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</si>
  <si>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</si>
  <si>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</si>
  <si>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</si>
  <si>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</si>
  <si>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</si>
  <si>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</si>
  <si>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</si>
  <si>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</si>
  <si>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</si>
  <si>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</si>
  <si>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</si>
  <si>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</si>
  <si>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</si>
  <si>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</si>
  <si>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</si>
  <si>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</si>
  <si>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</si>
  <si>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</si>
  <si>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</si>
  <si>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</si>
  <si>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</si>
  <si>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</si>
  <si>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</si>
  <si>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</si>
  <si>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</si>
  <si>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</si>
  <si>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</si>
  <si>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</si>
  <si>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</si>
  <si>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</si>
  <si>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</si>
  <si>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</si>
  <si>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</si>
  <si>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</si>
  <si>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</si>
  <si>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</si>
  <si>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</si>
  <si>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</si>
  <si>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</si>
  <si>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</si>
  <si>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</si>
  <si>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</si>
  <si>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</si>
  <si>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</si>
  <si>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</si>
  <si>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</si>
  <si>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</si>
  <si>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</si>
  <si>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</si>
  <si>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</si>
  <si>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</si>
  <si>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</si>
  <si>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</si>
  <si>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</si>
  <si>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</si>
  <si>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</si>
  <si>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</si>
  <si>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</si>
  <si>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</si>
  <si>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</si>
  <si>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</si>
  <si>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</si>
  <si>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</si>
  <si>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</si>
  <si>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</si>
  <si>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</si>
  <si>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</si>
  <si>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</si>
  <si>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</si>
  <si>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</si>
  <si>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</si>
  <si>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</si>
  <si>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</si>
  <si>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</si>
  <si>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</si>
  <si>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</si>
  <si>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</si>
  <si>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</si>
  <si>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</si>
  <si>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</si>
  <si>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</si>
  <si>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</si>
  <si>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</si>
  <si>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</si>
  <si>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</si>
  <si>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</si>
  <si>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</si>
  <si>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</si>
  <si>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</si>
  <si>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</si>
  <si>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</si>
  <si>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</si>
  <si>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</si>
  <si>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</si>
  <si>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</si>
  <si>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</si>
  <si>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</si>
  <si>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</si>
  <si>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</si>
  <si>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</si>
  <si>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</si>
  <si>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</si>
  <si>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</si>
  <si>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</si>
  <si>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</si>
  <si>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</si>
  <si>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</si>
  <si>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</si>
  <si>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</si>
  <si>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</si>
  <si>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</si>
  <si>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</si>
  <si>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</si>
  <si>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</si>
  <si>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</si>
  <si>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</si>
  <si>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</si>
  <si>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</si>
  <si>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</si>
  <si>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</si>
  <si>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</si>
  <si>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</si>
  <si>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</si>
  <si>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</si>
  <si>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</si>
  <si>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</si>
  <si>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</si>
  <si>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</si>
  <si>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</si>
  <si>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</si>
  <si>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</si>
  <si>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</si>
  <si>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</si>
  <si>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</si>
  <si>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</si>
  <si>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</si>
  <si>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</si>
  <si>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</si>
  <si>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</si>
  <si>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</si>
  <si>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</si>
  <si>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</si>
  <si>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</si>
  <si>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</si>
  <si>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</si>
  <si>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</si>
  <si>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</si>
  <si>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</si>
  <si>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</si>
  <si>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</si>
  <si>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</si>
  <si>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</si>
  <si>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</si>
  <si>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</si>
  <si>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</si>
  <si>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</si>
  <si>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</si>
  <si>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</si>
  <si>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</si>
  <si>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</si>
  <si>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</si>
  <si>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</si>
  <si>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</si>
  <si>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</si>
  <si>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</si>
  <si>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</si>
  <si>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</si>
  <si>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</si>
  <si>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</si>
  <si>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</si>
  <si>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</si>
  <si>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</si>
  <si>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</si>
  <si>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</si>
  <si>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</si>
  <si>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</si>
  <si>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</si>
  <si>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</si>
  <si>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</si>
  <si>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</si>
  <si>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</si>
  <si>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</si>
  <si>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</si>
  <si>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</si>
  <si>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</si>
  <si>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</si>
  <si>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</si>
  <si>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</si>
  <si>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</si>
  <si>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</si>
  <si>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</si>
  <si>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</si>
  <si>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</si>
  <si>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</si>
  <si>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</si>
  <si>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</si>
  <si>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</si>
  <si>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</si>
  <si>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</si>
  <si>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</si>
  <si>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</si>
  <si>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</si>
  <si>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</si>
  <si>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</si>
  <si>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</si>
  <si>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</si>
  <si>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</si>
  <si>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</si>
  <si>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</si>
  <si>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</si>
  <si>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</si>
  <si>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</si>
  <si>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</si>
  <si>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</si>
  <si>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</si>
  <si>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</si>
  <si>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</si>
  <si>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</si>
  <si>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</si>
  <si>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</si>
  <si>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</si>
  <si>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</si>
  <si>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</si>
  <si>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</si>
  <si>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</si>
  <si>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</si>
  <si>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</si>
  <si>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</si>
  <si>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</si>
  <si>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</si>
  <si>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</si>
  <si>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</si>
  <si>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</si>
  <si>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</si>
  <si>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</si>
  <si>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</si>
  <si>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</si>
  <si>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</si>
  <si>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</si>
  <si>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</si>
  <si>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</si>
  <si>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</si>
  <si>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</si>
  <si>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</si>
  <si>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</si>
  <si>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</si>
  <si>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</si>
  <si>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</si>
  <si>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</si>
  <si>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</si>
  <si>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</si>
  <si>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</si>
  <si>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</si>
  <si>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</si>
  <si>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</si>
  <si>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</si>
  <si>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</si>
  <si>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</si>
  <si>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</si>
  <si>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</si>
  <si>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</si>
  <si>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</si>
  <si>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</si>
  <si>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</si>
  <si>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</si>
  <si>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</si>
  <si>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</si>
  <si>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</si>
  <si>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</si>
  <si>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</si>
  <si>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</si>
  <si>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</si>
  <si>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</si>
  <si>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</si>
  <si>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</si>
  <si>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</si>
  <si>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</si>
  <si>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</si>
  <si>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</si>
  <si>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</si>
  <si>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</si>
  <si>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</si>
  <si>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</si>
  <si>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</si>
  <si>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</si>
  <si>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</si>
  <si>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</si>
  <si>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</si>
  <si>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</si>
  <si>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</si>
  <si>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</si>
  <si>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</si>
  <si>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</si>
  <si>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</si>
  <si>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</si>
  <si>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</si>
  <si>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</si>
  <si>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</si>
  <si>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</si>
  <si>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</si>
  <si>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</si>
  <si>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</si>
  <si>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</si>
  <si>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</si>
  <si>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</si>
  <si>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</si>
  <si>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</si>
  <si>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</si>
  <si>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</si>
  <si>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</si>
  <si>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</si>
  <si>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</si>
  <si>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</si>
  <si>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</si>
  <si>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</si>
  <si>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</si>
  <si>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</si>
  <si>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</si>
  <si>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</si>
  <si>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</si>
  <si>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</si>
  <si>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</si>
  <si>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</si>
  <si>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</si>
  <si>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</si>
  <si>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</si>
  <si>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</si>
  <si>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</si>
  <si>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</si>
  <si>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</si>
  <si>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</si>
  <si>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</si>
  <si>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</si>
  <si>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</si>
  <si>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</si>
  <si>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</si>
  <si>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</si>
  <si>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</si>
  <si>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</si>
  <si>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</si>
  <si>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</si>
  <si>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</si>
  <si>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</si>
  <si>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</si>
  <si>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</si>
  <si>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</si>
  <si>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</si>
  <si>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</si>
  <si>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</si>
  <si>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</si>
  <si>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</si>
  <si>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</si>
  <si>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</si>
  <si>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</si>
  <si>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</si>
  <si>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</si>
  <si>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</si>
  <si>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</si>
  <si>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</si>
  <si>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</si>
  <si>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</si>
  <si>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</si>
  <si>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</si>
  <si>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</si>
  <si>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</si>
  <si>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</si>
  <si>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</si>
  <si>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</si>
  <si>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</si>
  <si>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</si>
  <si>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</si>
  <si>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</si>
  <si>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</si>
  <si>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</si>
  <si>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</si>
  <si>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</si>
  <si>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</si>
  <si>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</si>
  <si>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</si>
  <si>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</si>
  <si>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</si>
  <si>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</si>
  <si>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</si>
  <si>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</si>
  <si>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</si>
  <si>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</si>
  <si>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</si>
  <si>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</si>
  <si>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</si>
  <si>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</si>
  <si>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</si>
  <si>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</si>
  <si>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</si>
  <si>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</si>
  <si>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</si>
  <si>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</si>
  <si>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</si>
  <si>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</si>
  <si>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</si>
  <si>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</si>
  <si>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</si>
  <si>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</si>
  <si>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</si>
  <si>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</si>
  <si>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</si>
  <si>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</si>
  <si>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</si>
  <si>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</si>
  <si>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</si>
  <si>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</si>
  <si>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</si>
  <si>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</si>
  <si>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</si>
  <si>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</si>
  <si>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</si>
  <si>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</si>
  <si>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</si>
  <si>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</si>
  <si>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</si>
  <si>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</si>
  <si>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</si>
  <si>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</si>
  <si>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</si>
  <si>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</si>
  <si>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</si>
  <si>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</si>
  <si>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</si>
  <si>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</si>
  <si>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</si>
  <si>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</si>
  <si>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</si>
  <si>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</si>
  <si>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</si>
  <si>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</si>
  <si>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</si>
  <si>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</si>
  <si>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</si>
  <si>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</si>
  <si>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</si>
  <si>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</si>
  <si>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</si>
  <si>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</si>
  <si>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</si>
  <si>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</si>
  <si>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</si>
  <si>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</si>
  <si>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</si>
  <si>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</si>
  <si>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</si>
  <si>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</si>
  <si>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</si>
  <si>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</si>
  <si>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</si>
  <si>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</si>
  <si>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</si>
  <si>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</si>
  <si>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</si>
  <si>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</si>
  <si>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</si>
  <si>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</si>
  <si>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</si>
  <si>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</si>
  <si>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</si>
  <si>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</si>
  <si>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</si>
  <si>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</si>
  <si>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</si>
  <si>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</si>
  <si>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</si>
  <si>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</si>
  <si>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</si>
  <si>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</si>
  <si>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</si>
  <si>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</si>
  <si>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</si>
  <si>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</si>
  <si>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</si>
  <si>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</si>
  <si>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</si>
  <si>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</si>
  <si>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</si>
  <si>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</si>
  <si>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</si>
  <si>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</si>
  <si>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</si>
  <si>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</si>
  <si>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</si>
  <si>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</si>
  <si>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</si>
  <si>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</si>
  <si>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</si>
  <si>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</si>
  <si>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</si>
  <si>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</si>
  <si>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</si>
  <si>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</si>
  <si>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</si>
  <si>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</si>
  <si>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</si>
  <si>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</si>
  <si>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</si>
  <si>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</si>
  <si>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</si>
  <si>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</si>
  <si>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</si>
  <si>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</si>
  <si>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</si>
  <si>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</si>
  <si>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</si>
  <si>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</si>
  <si>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</si>
  <si>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</si>
  <si>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</si>
  <si>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</si>
  <si>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</si>
  <si>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</si>
  <si>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</si>
  <si>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</si>
  <si>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</si>
  <si>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</si>
  <si>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</si>
  <si>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</si>
  <si>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</si>
  <si>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</si>
  <si>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</si>
  <si>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</si>
  <si>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</si>
  <si>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</si>
  <si>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</si>
  <si>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</si>
  <si>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</si>
  <si>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</si>
  <si>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</si>
  <si>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</si>
  <si>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</si>
  <si>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</si>
  <si>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</si>
  <si>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</si>
  <si>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</si>
  <si>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</si>
  <si>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</si>
  <si>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</si>
  <si>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</si>
  <si>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</si>
  <si>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</si>
  <si>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</si>
  <si>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</si>
  <si>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</si>
  <si>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</si>
  <si>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</si>
  <si>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</si>
  <si>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</si>
  <si>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</si>
  <si>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</si>
  <si>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</si>
  <si>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</si>
  <si>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</si>
  <si>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</si>
  <si>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</si>
  <si>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</si>
  <si>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</si>
  <si>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</si>
  <si>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</si>
  <si>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</si>
  <si>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</si>
  <si>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</si>
  <si>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</si>
  <si>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</si>
  <si>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</si>
  <si>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</si>
  <si>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</si>
  <si>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</si>
  <si>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</si>
  <si>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</si>
  <si>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</si>
  <si>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</si>
  <si>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</si>
  <si>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</si>
  <si>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</si>
  <si>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</si>
  <si>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</si>
  <si>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</si>
  <si>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</si>
  <si>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</si>
  <si>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</si>
  <si>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</si>
  <si>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</si>
  <si>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</si>
  <si>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</si>
  <si>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</si>
  <si>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</si>
  <si>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</si>
  <si>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</si>
  <si>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</si>
  <si>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</si>
  <si>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</si>
  <si>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</si>
  <si>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</si>
  <si>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</si>
  <si>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</si>
  <si>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</si>
  <si>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</si>
  <si>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</si>
  <si>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</si>
  <si>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</si>
  <si>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</si>
  <si>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</si>
  <si>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</si>
  <si>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</si>
  <si>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</si>
  <si>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</si>
  <si>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</si>
  <si>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</si>
  <si>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</si>
  <si>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</si>
  <si>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</si>
  <si>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</si>
  <si>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</si>
  <si>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</si>
  <si>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</si>
  <si>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</si>
  <si>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</si>
  <si>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</si>
  <si>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</si>
  <si>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</si>
  <si>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</si>
  <si>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</si>
  <si>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</si>
  <si>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</si>
  <si>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</si>
  <si>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</si>
  <si>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</si>
  <si>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</si>
  <si>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</si>
  <si>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</si>
  <si>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</si>
  <si>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</si>
  <si>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</si>
  <si>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</si>
  <si>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</si>
  <si>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</si>
  <si>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</si>
  <si>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</si>
  <si>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</si>
  <si>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</si>
  <si>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</si>
  <si>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</si>
  <si>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</si>
  <si>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</si>
  <si>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</si>
  <si>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</si>
  <si>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</si>
  <si>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</si>
  <si>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</si>
  <si>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</si>
  <si>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</si>
  <si>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</si>
  <si>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</si>
  <si>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</si>
  <si>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</si>
  <si>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</si>
  <si>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</si>
  <si>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</si>
  <si>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</si>
  <si>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</si>
  <si>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</si>
  <si>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</si>
  <si>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</si>
  <si>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</si>
  <si>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</si>
  <si>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</si>
  <si>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</si>
  <si>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</si>
  <si>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</si>
  <si>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</si>
  <si>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</si>
  <si>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</si>
  <si>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</si>
  <si>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</si>
  <si>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</si>
  <si>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</si>
  <si>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</si>
  <si>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</si>
  <si>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</si>
  <si>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</si>
  <si>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</si>
  <si>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</si>
  <si>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</si>
  <si>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</si>
  <si>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</si>
  <si>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</si>
  <si>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</si>
  <si>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</si>
  <si>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</si>
  <si>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</si>
  <si>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</si>
  <si>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</si>
  <si>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</si>
  <si>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</si>
  <si>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</si>
  <si>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</si>
  <si>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</si>
  <si>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</si>
  <si>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</si>
  <si>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</si>
  <si>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</si>
  <si>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</si>
  <si>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</si>
  <si>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</si>
  <si>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</si>
  <si>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</si>
  <si>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</si>
  <si>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</si>
  <si>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</si>
  <si>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</si>
  <si>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</si>
  <si>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</si>
  <si>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</si>
  <si>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</si>
  <si>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</si>
  <si>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</si>
  <si>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</si>
  <si>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</si>
  <si>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</si>
  <si>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</si>
  <si>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</si>
  <si>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</si>
  <si>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</si>
  <si>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</si>
  <si>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</si>
  <si>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</si>
  <si>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</si>
  <si>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</si>
  <si>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</si>
  <si>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</si>
  <si>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</si>
  <si>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</si>
  <si>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</si>
  <si>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</si>
  <si>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</si>
  <si>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</si>
  <si>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</si>
  <si>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</si>
  <si>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</si>
  <si>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</si>
  <si>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</si>
  <si>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</si>
  <si>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</si>
  <si>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</si>
  <si>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</si>
  <si>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</si>
  <si>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</si>
  <si>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</si>
  <si>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</si>
  <si>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</si>
  <si>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</si>
  <si>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</si>
  <si>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</si>
  <si>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</si>
  <si>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</si>
  <si>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</si>
  <si>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</si>
  <si>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</si>
  <si>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</si>
  <si>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</si>
  <si>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</si>
  <si>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</si>
  <si>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</si>
  <si>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</si>
  <si>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</si>
  <si>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</si>
  <si>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</si>
  <si>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</si>
  <si>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</si>
  <si>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</si>
  <si>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</si>
  <si>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</si>
  <si>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</si>
  <si>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</si>
  <si>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</si>
  <si>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</si>
  <si>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</si>
  <si>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</si>
  <si>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</si>
  <si>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</si>
  <si>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</si>
  <si>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</si>
  <si>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</si>
  <si>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</si>
  <si>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</si>
  <si>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</si>
  <si>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</si>
  <si>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</si>
  <si>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</si>
  <si>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</si>
  <si>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</si>
  <si>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</si>
  <si>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</si>
  <si>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</si>
  <si>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</si>
  <si>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</si>
  <si>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</si>
  <si>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</si>
  <si>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</si>
  <si>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</si>
  <si>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</si>
  <si>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</si>
  <si>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</si>
  <si>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</si>
  <si>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</si>
  <si>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</si>
  <si>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</si>
  <si>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</si>
  <si>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</si>
  <si>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</si>
  <si>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</si>
  <si>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</si>
  <si>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</si>
  <si>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</si>
  <si>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</si>
  <si>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</si>
  <si>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</si>
  <si>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</si>
  <si>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</si>
  <si>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</si>
  <si>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</si>
  <si>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</si>
  <si>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</si>
  <si>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</si>
  <si>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</si>
  <si>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</si>
  <si>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</si>
  <si>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</si>
  <si>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</si>
  <si>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</si>
  <si>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</si>
  <si>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</si>
  <si>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</si>
  <si>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</si>
  <si>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</si>
  <si>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</si>
  <si>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</si>
  <si>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</si>
  <si>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</si>
  <si>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</si>
  <si>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</si>
  <si>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</si>
  <si>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</si>
  <si>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</si>
  <si>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</si>
  <si>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</si>
  <si>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</si>
  <si>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</si>
  <si>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</si>
  <si>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</si>
  <si>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</si>
  <si>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</si>
  <si>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</si>
  <si>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</si>
  <si>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</si>
  <si>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</si>
  <si>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</si>
  <si>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</si>
  <si>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</si>
  <si>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</si>
  <si>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</si>
  <si>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</si>
  <si>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</si>
  <si>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</si>
  <si>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</si>
  <si>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</si>
  <si>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</si>
  <si>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</si>
  <si>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</si>
  <si>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</si>
  <si>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</si>
  <si>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</si>
  <si>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</si>
  <si>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</si>
  <si>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</si>
  <si>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</si>
  <si>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</si>
  <si>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</si>
  <si>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</si>
  <si>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</si>
  <si>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</si>
  <si>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</si>
  <si>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</si>
  <si>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</si>
  <si>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</si>
  <si>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</si>
  <si>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</si>
  <si>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</si>
  <si>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</si>
  <si>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</si>
  <si>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</si>
  <si>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</si>
  <si>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</si>
  <si>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</si>
  <si>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</si>
  <si>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</si>
  <si>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</si>
  <si>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</si>
  <si>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</si>
  <si>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</si>
  <si>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</si>
  <si>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</si>
  <si>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</si>
  <si>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</si>
  <si>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</si>
  <si>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</si>
  <si>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</si>
  <si>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</si>
  <si>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</si>
  <si>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</si>
  <si>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</si>
  <si>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</si>
  <si>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</si>
  <si>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</si>
  <si>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</si>
  <si>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</si>
  <si>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</si>
  <si>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</si>
  <si>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</si>
  <si>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</si>
  <si>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</si>
  <si>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</si>
  <si>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</si>
  <si>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</si>
  <si>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</si>
  <si>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</si>
  <si>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</si>
  <si>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</si>
  <si>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</si>
  <si>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</si>
  <si>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</si>
  <si>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</si>
  <si>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</si>
  <si>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</si>
  <si>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</si>
  <si>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</si>
  <si>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</si>
  <si>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</si>
  <si>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</si>
  <si>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</si>
  <si>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</si>
  <si>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</si>
  <si>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</si>
  <si>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</si>
  <si>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</si>
  <si>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</si>
  <si>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</si>
  <si>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</si>
  <si>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</si>
  <si>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</si>
  <si>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</si>
  <si>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</si>
  <si>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</si>
  <si>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</si>
  <si>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</si>
  <si>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</si>
  <si>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</si>
  <si>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</si>
  <si>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</si>
  <si>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</si>
  <si>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</si>
  <si>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</si>
  <si>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</si>
  <si>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</si>
  <si>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</si>
  <si>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</si>
  <si>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</si>
  <si>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</si>
  <si>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</si>
  <si>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</si>
  <si>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</si>
  <si>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</si>
  <si>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</si>
  <si>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</si>
  <si>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</si>
  <si>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</si>
  <si>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</si>
  <si>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</si>
  <si>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</si>
  <si>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</si>
  <si>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</si>
  <si>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</si>
  <si>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</si>
  <si>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</si>
  <si>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</si>
  <si>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</si>
  <si>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</si>
  <si>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</si>
  <si>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</si>
  <si>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</si>
  <si>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</si>
  <si>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</si>
  <si>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</si>
  <si>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</si>
  <si>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</si>
  <si>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</si>
  <si>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</si>
  <si>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</si>
  <si>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</si>
  <si>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</si>
  <si>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</si>
  <si>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</si>
  <si>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</si>
  <si>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</si>
  <si>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</si>
  <si>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</si>
  <si>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</si>
  <si>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</si>
  <si>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</si>
  <si>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</si>
  <si>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</si>
  <si>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</si>
  <si>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</si>
  <si>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</si>
  <si>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</si>
  <si>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</si>
  <si>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</si>
  <si>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</si>
  <si>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</si>
  <si>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</si>
  <si>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</si>
  <si>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</si>
  <si>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</si>
  <si>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</si>
  <si>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</si>
  <si>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</si>
  <si>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</si>
  <si>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</si>
  <si>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</si>
  <si>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</si>
  <si>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</si>
  <si>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</si>
  <si>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</si>
  <si>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</si>
  <si>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</si>
  <si>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</si>
  <si>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</si>
  <si>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</si>
  <si>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</si>
  <si>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</si>
  <si>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</si>
  <si>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</si>
  <si>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</si>
  <si>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</si>
  <si>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</si>
  <si>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</si>
  <si>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</si>
  <si>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</si>
  <si>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</si>
  <si>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</si>
  <si>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</si>
  <si>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</si>
  <si>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</si>
  <si>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</si>
  <si>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</si>
  <si>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</si>
  <si>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</si>
  <si>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</si>
  <si>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</si>
  <si>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</si>
  <si>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</si>
  <si>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</si>
  <si>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</si>
  <si>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</si>
  <si>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</si>
  <si>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</si>
  <si>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</si>
  <si>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</si>
  <si>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</si>
  <si>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</si>
  <si>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</si>
  <si>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</si>
  <si>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</si>
  <si>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</si>
  <si>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</si>
  <si>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</si>
  <si>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</si>
  <si>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</si>
  <si>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</si>
  <si>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</si>
  <si>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</si>
  <si>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</si>
  <si>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</si>
  <si>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</si>
  <si>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</si>
  <si>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</si>
  <si>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</si>
  <si>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</si>
  <si>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</si>
  <si>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</si>
  <si>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</si>
  <si>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</si>
  <si>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</si>
  <si>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</si>
  <si>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</si>
  <si>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</si>
  <si>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</si>
  <si>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</si>
  <si>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</si>
  <si>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</si>
  <si>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</si>
  <si>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</si>
  <si>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</si>
  <si>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</si>
  <si>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</si>
  <si>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</si>
  <si>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</si>
  <si>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</si>
  <si>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</si>
  <si>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</si>
  <si>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</si>
  <si>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</si>
  <si>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</si>
  <si>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</si>
  <si>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</si>
  <si>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</si>
  <si>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</si>
  <si>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</si>
  <si>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</si>
  <si>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</si>
  <si>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</si>
  <si>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</si>
  <si>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</si>
  <si>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</si>
  <si>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</si>
  <si>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</si>
  <si>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</si>
  <si>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</si>
  <si>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</si>
  <si>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</si>
  <si>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</si>
  <si>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</si>
  <si>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</si>
  <si>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</si>
  <si>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</si>
  <si>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</si>
  <si>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</si>
  <si>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</si>
  <si>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</si>
  <si>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</si>
  <si>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</si>
  <si>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</si>
  <si>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</si>
  <si>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</si>
  <si>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</si>
  <si>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</si>
  <si>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</si>
  <si>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</si>
  <si>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</si>
  <si>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</si>
  <si>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</si>
  <si>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</si>
  <si>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</si>
  <si>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</si>
  <si>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</si>
  <si>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</si>
  <si>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</si>
  <si>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</si>
  <si>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</si>
  <si>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</si>
  <si>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</si>
  <si>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</si>
  <si>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</si>
  <si>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</si>
  <si>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</si>
  <si>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</si>
  <si>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</si>
  <si>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</si>
  <si>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</si>
  <si>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</si>
  <si>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</si>
  <si>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</si>
  <si>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</si>
  <si>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</si>
  <si>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</si>
  <si>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</si>
  <si>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</si>
  <si>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</si>
  <si>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</si>
  <si>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</si>
  <si>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</si>
  <si>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</si>
  <si>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</si>
  <si>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</si>
  <si>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</si>
  <si>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</si>
  <si>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</si>
  <si>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</si>
  <si>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</si>
  <si>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</si>
  <si>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</si>
  <si>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</si>
  <si>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</si>
  <si>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</si>
  <si>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</si>
  <si>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</si>
  <si>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</si>
  <si>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</si>
  <si>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</si>
  <si>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</si>
  <si>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</si>
  <si>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</si>
  <si>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</si>
  <si>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</si>
  <si>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</si>
  <si>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</si>
  <si>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</si>
  <si>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</si>
  <si>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</si>
  <si>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</si>
  <si>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</si>
  <si>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</si>
  <si>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</si>
  <si>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</si>
  <si>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</si>
  <si>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</si>
  <si>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</si>
  <si>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</si>
  <si>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</si>
  <si>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</si>
  <si>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</si>
  <si>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</si>
  <si>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</si>
  <si>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</si>
  <si>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</si>
  <si>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</si>
  <si>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</si>
  <si>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</si>
  <si>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</si>
  <si>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</si>
  <si>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</si>
  <si>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</si>
  <si>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</si>
  <si>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</si>
  <si>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</si>
  <si>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</si>
  <si>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</si>
  <si>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</si>
  <si>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</si>
  <si>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</si>
  <si>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</si>
  <si>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</si>
  <si>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</si>
  <si>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</si>
  <si>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</si>
  <si>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</si>
  <si>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</si>
  <si>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</si>
  <si>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</si>
  <si>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</si>
  <si>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</si>
  <si>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</si>
  <si>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</si>
  <si>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</si>
  <si>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</si>
  <si>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</si>
  <si>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</si>
  <si>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</si>
  <si>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</si>
  <si>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</si>
  <si>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</si>
  <si>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</si>
  <si>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</si>
  <si>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</si>
  <si>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</si>
  <si>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</si>
  <si>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</si>
  <si>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</si>
  <si>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</si>
  <si>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</si>
  <si>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</si>
  <si>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</si>
  <si>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</si>
  <si>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</si>
  <si>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</si>
  <si>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</si>
  <si>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</si>
  <si>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</si>
  <si>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</si>
  <si>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</si>
  <si>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</si>
  <si>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</si>
  <si>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</si>
  <si>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</si>
  <si>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</si>
  <si>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</si>
  <si>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</si>
  <si>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</si>
  <si>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</si>
  <si>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</si>
  <si>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</si>
  <si>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</si>
  <si>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</si>
  <si>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</si>
  <si>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</si>
  <si>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</si>
  <si>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</si>
  <si>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</si>
  <si>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</si>
  <si>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</si>
  <si>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</si>
  <si>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</si>
  <si>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</si>
  <si>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</si>
  <si>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</si>
  <si>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</si>
  <si>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</si>
  <si>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</si>
  <si>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</si>
  <si>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</si>
  <si>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</si>
  <si>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</si>
  <si>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</si>
  <si>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</si>
  <si>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</si>
  <si>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</si>
  <si>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</si>
  <si>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</si>
  <si>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</si>
  <si>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</si>
  <si>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</si>
  <si>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</si>
  <si>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</si>
  <si>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</si>
  <si>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</si>
  <si>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</si>
  <si>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</si>
  <si>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</si>
  <si>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</si>
  <si>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</si>
  <si>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</si>
  <si>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</si>
  <si>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</si>
  <si>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</si>
  <si>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</si>
  <si>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</si>
  <si>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</si>
  <si>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</si>
  <si>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</si>
  <si>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</si>
  <si>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</si>
  <si>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</si>
  <si>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</si>
  <si>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</si>
  <si>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</si>
  <si>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</si>
  <si>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</si>
  <si>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</si>
  <si>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</si>
  <si>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</si>
  <si>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</si>
  <si>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</si>
  <si>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</si>
  <si>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</si>
  <si>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</si>
  <si>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</si>
  <si>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</si>
  <si>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</si>
  <si>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</si>
  <si>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</si>
  <si>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</si>
  <si>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</si>
  <si>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</si>
  <si>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</si>
  <si>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</si>
  <si>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</si>
  <si>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</si>
  <si>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</si>
  <si>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</si>
  <si>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</si>
  <si>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</si>
  <si>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</si>
  <si>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</si>
  <si>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</si>
  <si>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</si>
  <si>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</si>
  <si>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</si>
  <si>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</si>
  <si>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</si>
  <si>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</si>
  <si>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</si>
  <si>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</si>
  <si>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</si>
  <si>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</si>
  <si>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</si>
  <si>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</si>
  <si>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</si>
  <si>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</si>
  <si>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</si>
  <si>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</si>
  <si>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</si>
  <si>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</si>
  <si>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</si>
  <si>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</si>
  <si>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</si>
  <si>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</si>
  <si>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</si>
  <si>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</si>
  <si>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</si>
  <si>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</si>
  <si>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</si>
  <si>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</si>
  <si>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</si>
  <si>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</si>
  <si>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</si>
  <si>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</si>
  <si>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</si>
  <si>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</si>
  <si>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</si>
  <si>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</si>
  <si>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</si>
  <si>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</si>
  <si>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</si>
  <si>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</si>
  <si>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</si>
  <si>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</si>
  <si>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</si>
  <si>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</si>
  <si>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</si>
  <si>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</si>
  <si>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</si>
  <si>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</si>
  <si>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</si>
  <si>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</si>
  <si>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</si>
  <si>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</si>
  <si>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</si>
  <si>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</si>
  <si>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</si>
  <si>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</si>
  <si>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</si>
  <si>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</si>
  <si>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</si>
  <si>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</si>
  <si>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</si>
  <si>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</si>
  <si>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</si>
  <si>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</si>
  <si>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</si>
  <si>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</si>
  <si>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</si>
  <si>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</si>
  <si>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</si>
  <si>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</si>
  <si>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</si>
  <si>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</si>
  <si>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</si>
  <si>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</si>
  <si>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</si>
  <si>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</si>
  <si>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</si>
  <si>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</si>
  <si>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</si>
  <si>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</si>
  <si>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</si>
  <si>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</si>
  <si>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</si>
  <si>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</si>
  <si>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</si>
  <si>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</si>
  <si>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</si>
  <si>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</si>
  <si>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</si>
  <si>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</si>
  <si>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</si>
  <si>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</si>
  <si>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</si>
  <si>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</si>
  <si>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</si>
  <si>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</si>
  <si>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</si>
  <si>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</si>
  <si>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</si>
  <si>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</si>
  <si>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</si>
  <si>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</si>
  <si>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</si>
  <si>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</si>
  <si>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</si>
  <si>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</si>
  <si>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</si>
  <si>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</si>
  <si>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</si>
  <si>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</si>
  <si>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</si>
  <si>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</si>
  <si>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</si>
  <si>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</si>
  <si>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</si>
  <si>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</si>
  <si>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</si>
  <si>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</si>
  <si>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</si>
  <si>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</si>
  <si>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</si>
  <si>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</si>
  <si>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</si>
  <si>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</si>
  <si>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</si>
  <si>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</si>
  <si>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</si>
  <si>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</si>
  <si>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</si>
  <si>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</si>
  <si>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</si>
  <si>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</si>
  <si>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</si>
  <si>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</si>
  <si>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</si>
  <si>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</si>
  <si>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</si>
  <si>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</si>
  <si>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</si>
  <si>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</si>
  <si>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</si>
  <si>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</si>
  <si>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</si>
  <si>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</si>
  <si>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</si>
  <si>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</si>
  <si>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</si>
  <si>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</si>
  <si>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</si>
  <si>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</si>
  <si>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</si>
  <si>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</si>
  <si>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</si>
  <si>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</si>
  <si>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</si>
  <si>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</si>
  <si>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</si>
  <si>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</si>
  <si>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</si>
  <si>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</si>
  <si>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</si>
  <si>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</si>
  <si>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</si>
  <si>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</si>
  <si>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</si>
  <si>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</si>
  <si>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</si>
  <si>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</si>
  <si>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</si>
  <si>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</si>
  <si>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</si>
  <si>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</si>
  <si>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</si>
  <si>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</si>
  <si>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</si>
  <si>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</si>
  <si>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</si>
  <si>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</si>
  <si>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</si>
  <si>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</si>
  <si>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</si>
  <si>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</si>
  <si>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</si>
  <si>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</si>
  <si>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</si>
  <si>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</si>
  <si>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</si>
  <si>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</si>
  <si>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</si>
  <si>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</si>
  <si>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</si>
  <si>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</si>
  <si>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</si>
  <si>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</si>
  <si>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</si>
  <si>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</si>
  <si>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</si>
  <si>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</si>
  <si>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</si>
  <si>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</si>
  <si>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</si>
  <si>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</si>
  <si>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</si>
  <si>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</si>
  <si>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</si>
  <si>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</si>
  <si>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</si>
  <si>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</si>
  <si>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</si>
  <si>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</si>
  <si>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</si>
  <si>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</si>
  <si>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</si>
  <si>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</si>
  <si>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</si>
  <si>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</si>
  <si>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</si>
  <si>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</si>
  <si>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</si>
  <si>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</si>
  <si>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</si>
  <si>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</si>
  <si>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</si>
  <si>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</si>
  <si>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</si>
  <si>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</si>
  <si>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</si>
  <si>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</si>
  <si>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</si>
  <si>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</si>
  <si>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</si>
  <si>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</si>
  <si>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</si>
  <si>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</si>
  <si>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</si>
  <si>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</si>
  <si>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</si>
  <si>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</si>
  <si>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</si>
  <si>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</si>
  <si>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</si>
  <si>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</si>
  <si>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</si>
  <si>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</si>
  <si>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</si>
  <si>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</si>
  <si>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</si>
  <si>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</si>
  <si>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</si>
  <si>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</si>
  <si>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</si>
  <si>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</si>
  <si>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</si>
  <si>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</si>
  <si>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</si>
  <si>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</si>
  <si>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</si>
  <si>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</si>
  <si>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</si>
  <si>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</si>
  <si>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</si>
  <si>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</si>
  <si>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</si>
  <si>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</si>
  <si>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</si>
  <si>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</si>
  <si>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</si>
  <si>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</si>
  <si>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</si>
  <si>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</si>
  <si>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</si>
  <si>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</si>
  <si>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</si>
  <si>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</si>
  <si>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</si>
  <si>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</si>
  <si>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</si>
  <si>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</si>
  <si>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</si>
  <si>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</si>
  <si>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</si>
  <si>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</si>
  <si>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</si>
  <si>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</si>
  <si>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</si>
  <si>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</si>
  <si>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</si>
  <si>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</si>
  <si>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</si>
  <si>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</si>
  <si>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</si>
  <si>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</si>
  <si>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</si>
  <si>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</si>
  <si>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</si>
  <si>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</si>
  <si>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</si>
  <si>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</si>
  <si>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</si>
  <si>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</si>
  <si>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</si>
  <si>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</si>
  <si>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</si>
  <si>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</si>
  <si>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</si>
  <si>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</si>
  <si>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</si>
  <si>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</si>
  <si>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</si>
  <si>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</si>
  <si>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</si>
  <si>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</si>
  <si>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</si>
  <si>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</si>
  <si>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</si>
  <si>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</si>
  <si>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</si>
  <si>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</si>
  <si>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</si>
  <si>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</si>
  <si>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</si>
  <si>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</si>
  <si>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</si>
  <si>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</si>
  <si>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</si>
  <si>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</si>
  <si>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</si>
  <si>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</si>
  <si>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</si>
  <si>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</si>
  <si>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</si>
  <si>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</si>
  <si>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</si>
  <si>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</si>
  <si>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</si>
  <si>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</si>
  <si>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</si>
  <si>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</si>
  <si>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</si>
  <si>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</si>
  <si>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</si>
  <si>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</si>
  <si>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</si>
  <si>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</si>
  <si>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</si>
  <si>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</si>
  <si>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</si>
  <si>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</si>
  <si>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</si>
  <si>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</si>
  <si>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</si>
  <si>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</si>
  <si>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</si>
  <si>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</si>
  <si>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</si>
  <si>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</si>
  <si>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</si>
  <si>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</si>
  <si>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</si>
  <si>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</si>
  <si>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</si>
  <si>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</si>
  <si>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</si>
  <si>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</si>
  <si>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</si>
  <si>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</si>
  <si>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</si>
  <si>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</si>
  <si>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</si>
  <si>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</si>
  <si>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</si>
  <si>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</si>
  <si>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</si>
  <si>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</si>
  <si>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</si>
  <si>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</si>
  <si>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</si>
  <si>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</si>
  <si>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</si>
  <si>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</si>
  <si>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</si>
  <si>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</si>
  <si>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</si>
  <si>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</si>
  <si>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</si>
  <si>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</si>
  <si>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</si>
  <si>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</si>
  <si>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</si>
  <si>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</si>
  <si>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</si>
  <si>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</si>
  <si>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</si>
  <si>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</si>
  <si>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</si>
  <si>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</si>
  <si>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</si>
  <si>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</si>
  <si>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</si>
  <si>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</si>
  <si>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</si>
  <si>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</si>
  <si>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</si>
  <si>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</si>
  <si>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</si>
  <si>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</si>
  <si>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</si>
  <si>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</si>
  <si>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</si>
  <si>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</si>
  <si>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</si>
  <si>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</si>
  <si>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</si>
  <si>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</si>
  <si>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</si>
  <si>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</si>
  <si>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</si>
  <si>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</si>
  <si>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</si>
  <si>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</si>
  <si>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</si>
  <si>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</si>
  <si>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</si>
  <si>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</si>
  <si>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</si>
  <si>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</si>
  <si>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</si>
  <si>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</si>
  <si>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</si>
  <si>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</si>
  <si>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</si>
  <si>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</si>
  <si>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</si>
  <si>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</si>
  <si>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</si>
  <si>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</si>
  <si>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</si>
  <si>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</si>
  <si>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</si>
  <si>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</si>
  <si>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</si>
  <si>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</si>
  <si>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</si>
  <si>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</si>
  <si>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</si>
  <si>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</si>
  <si>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</si>
  <si>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</si>
  <si>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</si>
  <si>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</si>
  <si>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</si>
  <si>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</si>
  <si>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</si>
  <si>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</si>
  <si>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</si>
  <si>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</si>
  <si>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</si>
  <si>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</si>
  <si>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</si>
  <si>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</si>
  <si>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</si>
  <si>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</si>
  <si>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</si>
  <si>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</si>
  <si>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</si>
  <si>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</si>
  <si>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</si>
  <si>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</si>
  <si>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</si>
  <si>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</si>
  <si>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</si>
  <si>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</si>
  <si>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</si>
  <si>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</si>
  <si>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</si>
  <si>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</si>
  <si>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</si>
  <si>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</si>
  <si>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</si>
  <si>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</si>
  <si>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</si>
  <si>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</si>
  <si>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</si>
  <si>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</si>
  <si>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</si>
  <si>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</si>
  <si>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</si>
  <si>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</si>
  <si>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</si>
  <si>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</si>
  <si>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</si>
  <si>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</si>
  <si>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</si>
  <si>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</si>
  <si>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</si>
  <si>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</si>
  <si>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</si>
  <si>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</si>
  <si>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</si>
  <si>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</si>
  <si>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</si>
  <si>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</si>
  <si>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</si>
  <si>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</si>
  <si>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</si>
  <si>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</si>
  <si>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</si>
  <si>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</si>
  <si>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</si>
  <si>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</si>
  <si>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</si>
  <si>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</si>
  <si>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</si>
  <si>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</si>
  <si>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</si>
  <si>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</si>
  <si>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</si>
  <si>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</si>
  <si>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</si>
  <si>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</si>
  <si>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</si>
  <si>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</si>
  <si>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</si>
  <si>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</si>
  <si>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</si>
  <si>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</si>
  <si>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</si>
  <si>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</si>
  <si>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</si>
  <si>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</si>
  <si>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</si>
  <si>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</si>
  <si>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</si>
  <si>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</si>
  <si>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</si>
  <si>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</si>
  <si>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</si>
  <si>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</si>
  <si>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</si>
  <si>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</si>
  <si>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</si>
  <si>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</si>
  <si>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</si>
  <si>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</si>
  <si>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</si>
  <si>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</si>
  <si>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</si>
  <si>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</si>
  <si>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</si>
  <si>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</si>
  <si>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</si>
  <si>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</si>
  <si>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</si>
  <si>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</si>
  <si>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</si>
  <si>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</si>
  <si>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</si>
  <si>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</si>
  <si>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</si>
  <si>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</si>
  <si>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</si>
  <si>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</si>
  <si>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</si>
  <si>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</si>
  <si>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</si>
  <si>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</si>
  <si>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</si>
  <si>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</si>
  <si>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</si>
  <si>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</si>
  <si>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</si>
  <si>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</si>
  <si>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</si>
  <si>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</si>
  <si>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</si>
  <si>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</si>
  <si>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</si>
  <si>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</si>
  <si>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</si>
  <si>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</si>
  <si>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</si>
  <si>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</si>
  <si>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</si>
  <si>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</si>
  <si>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</si>
  <si>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</si>
  <si>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</si>
  <si>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</si>
  <si>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</si>
  <si>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</si>
  <si>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</si>
  <si>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</si>
  <si>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</si>
  <si>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</si>
  <si>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</si>
  <si>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</si>
  <si>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</si>
  <si>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</si>
  <si>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</si>
  <si>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</si>
  <si>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</si>
  <si>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</si>
  <si>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</si>
  <si>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</si>
  <si>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</si>
  <si>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</si>
  <si>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</si>
  <si>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</si>
  <si>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</si>
  <si>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</si>
  <si>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</si>
  <si>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</si>
  <si>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</si>
  <si>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</si>
  <si>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</si>
  <si>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</si>
  <si>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</si>
  <si>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</si>
  <si>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</si>
  <si>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</si>
  <si>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</si>
  <si>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</si>
  <si>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</si>
  <si>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</si>
  <si>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</si>
  <si>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</si>
  <si>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</si>
  <si>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</si>
  <si>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</si>
  <si>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</si>
  <si>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</si>
  <si>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</si>
  <si>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</si>
  <si>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</si>
  <si>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</si>
  <si>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</si>
  <si>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</si>
  <si>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</si>
  <si>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</si>
  <si>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</si>
  <si>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</si>
  <si>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</si>
  <si>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</si>
  <si>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</si>
  <si>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</si>
  <si>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</si>
  <si>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</si>
  <si>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</si>
  <si>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</si>
  <si>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</si>
  <si>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</si>
  <si>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</si>
  <si>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</si>
  <si>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</si>
  <si>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</si>
  <si>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</si>
  <si>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</si>
  <si>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</si>
  <si>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</si>
  <si>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</si>
  <si>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</si>
  <si>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</si>
  <si>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</si>
  <si>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</si>
  <si>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</si>
  <si>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</si>
  <si>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</si>
  <si>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</si>
  <si>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</si>
  <si>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</si>
  <si>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</si>
  <si>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</si>
  <si>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</si>
  <si>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</si>
  <si>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</si>
  <si>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</si>
  <si>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</si>
  <si>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</si>
  <si>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</si>
  <si>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</si>
  <si>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</si>
  <si>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</si>
  <si>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</si>
  <si>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</si>
  <si>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</si>
  <si>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</si>
  <si>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</si>
  <si>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</si>
  <si>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</si>
  <si>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</si>
  <si>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</si>
  <si>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</si>
  <si>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</si>
  <si>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</si>
  <si>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</si>
  <si>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</si>
  <si>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</si>
  <si>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</si>
  <si>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</si>
  <si>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</si>
  <si>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</si>
  <si>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</si>
  <si>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</si>
  <si>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</si>
  <si>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</si>
  <si>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</si>
  <si>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</si>
  <si>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</si>
  <si>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</si>
  <si>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</si>
  <si>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</si>
  <si>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</si>
  <si>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</si>
  <si>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</si>
  <si>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</si>
  <si>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</si>
  <si>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</si>
  <si>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</si>
  <si>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</si>
  <si>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</si>
  <si>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</si>
  <si>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</si>
  <si>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</si>
  <si>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</si>
  <si>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</si>
  <si>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</si>
  <si>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</si>
  <si>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</si>
  <si>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</si>
  <si>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</si>
  <si>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</si>
  <si>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</si>
  <si>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</si>
  <si>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</si>
  <si>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</si>
  <si>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</si>
  <si>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</si>
  <si>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</si>
  <si>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</si>
  <si>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</si>
  <si>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</si>
  <si>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</si>
  <si>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</si>
  <si>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</si>
  <si>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</si>
  <si>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</si>
  <si>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</si>
  <si>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</si>
  <si>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</si>
  <si>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</si>
  <si>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</si>
  <si>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</si>
  <si>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</si>
  <si>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</si>
  <si>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</si>
  <si>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</si>
  <si>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</si>
  <si>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</si>
  <si>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</si>
  <si>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</si>
  <si>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</si>
  <si>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</si>
  <si>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</si>
  <si>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</si>
  <si>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</si>
  <si>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</si>
  <si>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</si>
  <si>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</si>
  <si>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</si>
  <si>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</si>
  <si>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</si>
  <si>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</si>
  <si>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</si>
  <si>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</si>
  <si>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</si>
  <si>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</si>
  <si>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</si>
  <si>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</si>
  <si>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</si>
  <si>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</si>
  <si>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</si>
  <si>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</si>
  <si>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</si>
  <si>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</si>
  <si>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</si>
  <si>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</si>
  <si>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</si>
  <si>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</si>
  <si>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</si>
  <si>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</si>
  <si>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</si>
  <si>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</si>
  <si>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</si>
  <si>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</si>
  <si>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</si>
  <si>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</si>
  <si>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</si>
  <si>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</si>
  <si>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</si>
  <si>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</si>
  <si>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</si>
  <si>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</si>
  <si>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</si>
  <si>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</si>
  <si>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</si>
  <si>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</si>
  <si>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</si>
  <si>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</si>
  <si>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</si>
  <si>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</si>
  <si>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</si>
  <si>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</si>
  <si>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</si>
  <si>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</si>
  <si>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</si>
  <si>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</si>
  <si>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</si>
  <si>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</si>
  <si>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</si>
  <si>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</si>
  <si>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</si>
  <si>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</si>
  <si>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</si>
  <si>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</si>
  <si>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</si>
  <si>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</si>
  <si>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</si>
  <si>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</si>
  <si>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</si>
  <si>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</si>
  <si>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</si>
  <si>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</si>
  <si>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</si>
  <si>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</si>
  <si>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</si>
  <si>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</si>
  <si>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</si>
  <si>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</si>
  <si>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</si>
  <si>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</si>
  <si>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</si>
  <si>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</si>
  <si>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</si>
  <si>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</si>
  <si>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</si>
  <si>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</si>
  <si>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</si>
  <si>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</si>
  <si>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</si>
  <si>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</si>
  <si>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</si>
  <si>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</si>
  <si>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</si>
  <si>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</si>
  <si>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</si>
  <si>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</si>
  <si>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</si>
  <si>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</si>
  <si>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</si>
  <si>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</si>
  <si>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</si>
  <si>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</si>
  <si>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</si>
  <si>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</si>
  <si>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</si>
  <si>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</si>
  <si>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</si>
  <si>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</si>
  <si>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</si>
  <si>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</si>
  <si>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</si>
  <si>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</si>
  <si>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</si>
  <si>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</si>
  <si>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</si>
  <si>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</si>
  <si>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</si>
  <si>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</si>
  <si>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</si>
  <si>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</si>
  <si>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</si>
  <si>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</si>
  <si>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</si>
  <si>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</si>
  <si>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</si>
  <si>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</si>
  <si>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</si>
  <si>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</si>
  <si>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</si>
  <si>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</si>
  <si>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</si>
  <si>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</si>
  <si>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</si>
  <si>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</si>
  <si>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</si>
  <si>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</si>
  <si>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</si>
  <si>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</si>
  <si>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</si>
  <si>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</si>
  <si>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</si>
  <si>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</si>
  <si>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</si>
  <si>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</si>
  <si>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</si>
  <si>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</si>
  <si>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</si>
  <si>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</si>
  <si>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</si>
  <si>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</si>
  <si>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</si>
  <si>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</si>
  <si>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</si>
  <si>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</si>
  <si>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</si>
  <si>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</si>
  <si>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</si>
  <si>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</si>
  <si>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</si>
  <si>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</si>
  <si>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</si>
  <si>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</si>
  <si>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</si>
  <si>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</si>
  <si>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</si>
  <si>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</si>
  <si>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</si>
  <si>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</si>
  <si>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</si>
  <si>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</si>
  <si>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</si>
  <si>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</si>
  <si>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</si>
  <si>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</si>
  <si>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</si>
  <si>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</si>
  <si>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</si>
  <si>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</si>
  <si>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</si>
  <si>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</si>
  <si>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</si>
  <si>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</si>
  <si>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</si>
  <si>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</si>
  <si>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</si>
  <si>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</si>
  <si>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</si>
  <si>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</si>
  <si>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</si>
  <si>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</si>
  <si>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</si>
  <si>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</si>
  <si>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</si>
  <si>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</si>
  <si>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</si>
  <si>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</si>
  <si>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</si>
  <si>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</si>
  <si>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</si>
  <si>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</si>
  <si>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</si>
  <si>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</si>
  <si>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</si>
  <si>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</si>
  <si>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</si>
  <si>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</si>
  <si>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</si>
  <si>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</si>
  <si>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</si>
  <si>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</si>
  <si>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</si>
  <si>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</si>
  <si>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</si>
  <si>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</si>
  <si>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</si>
  <si>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</si>
  <si>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</si>
  <si>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</si>
  <si>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</si>
  <si>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</si>
  <si>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</si>
  <si>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</si>
  <si>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</si>
  <si>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</si>
  <si>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</si>
  <si>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</si>
  <si>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</si>
  <si>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</si>
  <si>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</si>
  <si>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</si>
  <si>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</si>
  <si>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</si>
  <si>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</si>
  <si>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</si>
  <si>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</si>
  <si>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</si>
  <si>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</si>
  <si>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</si>
  <si>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</si>
  <si>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</si>
  <si>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</si>
  <si>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</si>
  <si>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</si>
  <si>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</si>
  <si>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</si>
  <si>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</si>
  <si>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</si>
  <si>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</si>
  <si>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</si>
  <si>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</si>
  <si>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</si>
  <si>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</si>
  <si>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</si>
  <si>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</si>
  <si>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</si>
  <si>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</si>
  <si>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</si>
  <si>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</si>
  <si>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</si>
  <si>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</si>
  <si>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</si>
  <si>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</si>
  <si>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</si>
  <si>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</si>
  <si>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</si>
  <si>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</si>
  <si>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</si>
  <si>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</si>
  <si>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</si>
  <si>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</si>
  <si>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</si>
  <si>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</si>
  <si>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</si>
  <si>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</si>
  <si>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</si>
  <si>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</si>
  <si>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</si>
  <si>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</si>
  <si>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</si>
  <si>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</si>
  <si>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</si>
  <si>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</si>
  <si>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</si>
  <si>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</si>
  <si>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</si>
  <si>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</si>
  <si>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</si>
  <si>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</si>
  <si>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</si>
  <si>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</si>
  <si>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</si>
  <si>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</si>
  <si>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</si>
  <si>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</si>
  <si>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</si>
  <si>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</si>
  <si>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</si>
  <si>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</si>
  <si>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</si>
  <si>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</si>
  <si>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</si>
  <si>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</si>
  <si>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</si>
  <si>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</si>
  <si>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</si>
  <si>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</si>
  <si>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</si>
  <si>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</si>
  <si>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</si>
  <si>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</si>
  <si>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</si>
  <si>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</si>
  <si>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</si>
  <si>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</si>
  <si>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</si>
  <si>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</si>
  <si>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</si>
  <si>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</si>
  <si>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</si>
  <si>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</si>
  <si>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</si>
  <si>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</si>
  <si>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</si>
  <si>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</si>
  <si>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</si>
  <si>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</si>
  <si>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</si>
  <si>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</si>
  <si>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</si>
  <si>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</si>
  <si>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</si>
  <si>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</si>
  <si>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</si>
  <si>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</si>
  <si>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</si>
  <si>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</si>
  <si>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</si>
  <si>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</si>
  <si>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</si>
  <si>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</si>
  <si>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</si>
  <si>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</si>
  <si>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</si>
  <si>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</si>
  <si>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</si>
  <si>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</si>
  <si>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</si>
  <si>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</si>
  <si>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</si>
  <si>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</si>
  <si>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</si>
  <si>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</si>
  <si>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</si>
  <si>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</si>
  <si>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</si>
  <si>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</si>
  <si>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</si>
  <si>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</si>
  <si>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</si>
  <si>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</si>
  <si>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</si>
  <si>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</si>
  <si>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</si>
  <si>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</si>
  <si>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</si>
  <si>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</si>
  <si>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</si>
  <si>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</si>
  <si>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</si>
  <si>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</si>
  <si>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</si>
  <si>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</si>
  <si>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</si>
  <si>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</si>
  <si>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</si>
  <si>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</si>
  <si>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</si>
  <si>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</si>
  <si>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</si>
  <si>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</si>
  <si>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</si>
  <si>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</si>
  <si>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</si>
  <si>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</si>
  <si>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</si>
  <si>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</si>
  <si>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</si>
  <si>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</si>
  <si>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</si>
  <si>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</si>
  <si>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</si>
  <si>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</si>
  <si>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</si>
  <si>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</si>
  <si>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</si>
  <si>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</si>
  <si>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</si>
  <si>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</si>
  <si>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</si>
  <si>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</si>
  <si>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</si>
  <si>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</si>
  <si>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</si>
  <si>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</si>
  <si>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</si>
  <si>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</si>
  <si>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</si>
  <si>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</si>
  <si>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</si>
  <si>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</si>
  <si>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</si>
  <si>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</si>
  <si>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</si>
  <si>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</si>
  <si>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</si>
  <si>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</si>
  <si>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</si>
  <si>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</si>
  <si>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</si>
  <si>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</si>
  <si>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</si>
  <si>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</si>
  <si>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</si>
  <si>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</si>
  <si>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</si>
  <si>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</si>
  <si>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</si>
  <si>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</si>
  <si>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</si>
  <si>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</si>
  <si>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</si>
  <si>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</si>
  <si>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</si>
  <si>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</si>
  <si>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</si>
  <si>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</si>
  <si>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</si>
  <si>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</si>
  <si>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</si>
  <si>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</si>
  <si>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</si>
  <si>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</si>
  <si>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</si>
  <si>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</si>
  <si>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</si>
  <si>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</si>
  <si>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</si>
  <si>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</si>
  <si>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</si>
  <si>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</si>
  <si>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</si>
  <si>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</si>
  <si>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</si>
  <si>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</si>
  <si>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</si>
  <si>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</si>
  <si>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</si>
  <si>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</si>
  <si>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</si>
  <si>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</si>
  <si>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</si>
  <si>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</si>
  <si>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</si>
  <si>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</si>
  <si>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</si>
  <si>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</si>
  <si>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</si>
  <si>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</si>
  <si>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</si>
  <si>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</si>
  <si>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</si>
  <si>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</si>
  <si>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</si>
  <si>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</si>
  <si>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</si>
  <si>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</si>
  <si>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</si>
  <si>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</si>
  <si>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</si>
  <si>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</si>
  <si>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</si>
  <si>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</si>
  <si>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</si>
  <si>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</si>
  <si>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</si>
  <si>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</si>
  <si>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</si>
  <si>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</si>
  <si>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</si>
  <si>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</si>
  <si>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</si>
  <si>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</si>
  <si>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</si>
  <si>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</si>
  <si>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</si>
  <si>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</si>
  <si>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</si>
  <si>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</si>
  <si>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</si>
  <si>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</si>
  <si>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</si>
  <si>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</si>
  <si>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</si>
  <si>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</si>
  <si>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</si>
  <si>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</si>
  <si>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</si>
  <si>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</si>
  <si>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</si>
  <si>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</si>
  <si>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</si>
  <si>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</si>
  <si>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</si>
  <si>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</si>
  <si>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</si>
  <si>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</si>
  <si>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</si>
  <si>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</si>
  <si>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</si>
  <si>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</si>
  <si>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</si>
  <si>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</si>
  <si>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</si>
  <si>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</si>
  <si>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</si>
  <si>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</si>
  <si>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</si>
  <si>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</si>
  <si>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</si>
  <si>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</si>
  <si>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</si>
  <si>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</si>
  <si>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</si>
  <si>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</si>
  <si>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</si>
  <si>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</si>
  <si>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</si>
  <si>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</si>
  <si>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</si>
  <si>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</si>
  <si>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</si>
  <si>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</si>
  <si>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</si>
  <si>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</si>
  <si>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</si>
  <si>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</si>
  <si>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</si>
  <si>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</si>
  <si>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</si>
  <si>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</si>
  <si>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</si>
  <si>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</si>
  <si>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</si>
  <si>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</si>
  <si>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</si>
  <si>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</si>
  <si>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</si>
  <si>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</si>
  <si>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</si>
  <si>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</si>
  <si>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</si>
  <si>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</si>
  <si>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</si>
  <si>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</si>
  <si>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</si>
  <si>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</si>
  <si>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</si>
  <si>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</si>
  <si>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</si>
  <si>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</si>
  <si>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</si>
  <si>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</si>
  <si>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</si>
  <si>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</si>
  <si>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</si>
  <si>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</si>
  <si>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</si>
  <si>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</si>
  <si>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</si>
  <si>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</si>
  <si>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</si>
  <si>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</si>
  <si>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</si>
  <si>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</si>
  <si>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</si>
  <si>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</si>
  <si>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</si>
  <si>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</si>
  <si>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</si>
  <si>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</si>
  <si>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</si>
  <si>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</si>
  <si>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</si>
  <si>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</si>
  <si>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</si>
  <si>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</si>
  <si>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</si>
  <si>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</si>
  <si>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</si>
  <si>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</si>
  <si>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</si>
  <si>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</si>
  <si>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</si>
  <si>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</si>
  <si>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</si>
  <si>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</si>
  <si>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</si>
  <si>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</si>
  <si>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</si>
  <si>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</si>
  <si>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</si>
  <si>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</si>
  <si>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</si>
  <si>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</si>
  <si>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</si>
  <si>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</si>
  <si>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</si>
  <si>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</si>
  <si>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</si>
  <si>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</si>
  <si>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</si>
  <si>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</si>
  <si>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</si>
  <si>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</si>
  <si>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</si>
  <si>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</si>
  <si>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</si>
  <si>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</si>
  <si>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</si>
  <si>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</si>
  <si>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</si>
  <si>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</si>
  <si>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</si>
  <si>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</si>
  <si>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</si>
  <si>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</si>
  <si>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</si>
  <si>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</si>
  <si>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</si>
  <si>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</si>
  <si>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</si>
  <si>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</si>
  <si>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</si>
  <si>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2025-09-15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</si>
  <si>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</si>
  <si>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</si>
  <si>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</si>
  <si>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</si>
  <si>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</si>
  <si>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</si>
  <si>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</si>
  <si>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대구광역시 북구 산격동 14-149</t>
    <phoneticPr fontId="2" type="noConversion"/>
  </si>
  <si>
    <t>010-2806-9270</t>
    <phoneticPr fontId="2" type="noConversion"/>
  </si>
  <si>
    <t>0AM REPAIR KIT</t>
    <phoneticPr fontId="2" type="noConversion"/>
  </si>
  <si>
    <t>대륙오토(대구)_250915_181017.xlsx</t>
  </si>
  <si>
    <t>대륙오토(대구)_250915_181017.xlsx</t>
    <phoneticPr fontId="2" type="noConversion"/>
  </si>
  <si>
    <t>0B5_Clutch 작업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</si>
</sst>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6300000</c:v>
                </c:pt>
                <c:pt idx="1">
                  <c:v>5093000</c:v>
                </c:pt>
                <c:pt idx="2">
                  <c:v>3520000</c:v>
                </c:pt>
                <c:pt idx="3">
                  <c:v>5640000</c:v>
                </c:pt>
                <c:pt idx="4">
                  <c:v>2700000</c:v>
                </c:pt>
                <c:pt idx="5">
                  <c:v>2100000</c:v>
                </c:pt>
                <c:pt idx="6">
                  <c:v>2000000</c:v>
                </c:pt>
                <c:pt idx="7">
                  <c:v>4506000</c:v>
                </c:pt>
                <c:pt idx="8">
                  <c:v>1782000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3</c:v>
                      </c:pt>
                      <c:pt idx="4">
                        <c:v>10</c:v>
                      </c:pt>
                      <c:pt idx="5">
                        <c:v>16</c:v>
                      </c:pt>
                      <c:pt idx="6">
                        <c:v>17</c:v>
                      </c:pt>
                      <c:pt idx="7">
                        <c:v>5</c:v>
                      </c:pt>
                      <c:pt idx="8">
                        <c:v>18</c:v>
                      </c:pt>
                      <c:pt idx="9">
                        <c:v>20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2458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2459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2460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2461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2490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2524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2531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2531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2579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2460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2589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2607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2625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2514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2514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2646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2661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2665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2665</v>
      </c>
    </row>
    <row r="106" spans="1:6" x14ac:dyDescent="0.3">
      <c r="A106">
        <v>105</v>
      </c>
      <c r="B106" s="13">
        <v>45833</v>
      </c>
      <c r="C106" t="s">
        <v>2676</v>
      </c>
      <c r="D106" t="s">
        <v>2677</v>
      </c>
      <c r="E106">
        <v>24800</v>
      </c>
      <c r="F106" t="s">
        <v>2678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2709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2746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2756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2757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2460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2820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2838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2886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1204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2235</v>
      </c>
      <c r="D2" s="307"/>
      <c r="E2" s="307"/>
      <c r="F2" s="307"/>
      <c r="G2" s="308"/>
      <c r="H2" s="306" t="s">
        <v>77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45915</v>
      </c>
      <c r="U2" s="312"/>
    </row>
    <row r="3" spans="1:21" ht="24.95" customHeight="1" x14ac:dyDescent="0.3">
      <c r="A3" s="322" t="s">
        <v>1172</v>
      </c>
      <c r="B3" s="37" t="s">
        <v>59</v>
      </c>
      <c r="C3" s="325" t="s">
        <v>1296</v>
      </c>
      <c r="D3" s="326"/>
      <c r="E3" s="326"/>
      <c r="F3" s="326"/>
      <c r="G3" s="326"/>
      <c r="H3" s="326"/>
      <c r="I3" s="326"/>
      <c r="J3" s="327"/>
      <c r="K3" s="328" t="s">
        <v>1173</v>
      </c>
      <c r="L3" s="37" t="s">
        <v>59</v>
      </c>
      <c r="M3" s="331" t="s">
        <v>964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313" t="s">
        <v>73</v>
      </c>
      <c r="U4" s="316"/>
    </row>
    <row r="5" spans="1:21" ht="24.95" customHeight="1" x14ac:dyDescent="0.3">
      <c r="A5" s="323"/>
      <c r="B5" s="38" t="s">
        <v>10</v>
      </c>
      <c r="C5" s="313" t="s">
        <v>3594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 x14ac:dyDescent="0.3">
      <c r="A6" s="324"/>
      <c r="B6" s="38" t="s">
        <v>75</v>
      </c>
      <c r="C6" s="313" t="s">
        <v>3595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25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44</v>
      </c>
      <c r="G7" s="318"/>
      <c r="H7" s="318"/>
      <c r="I7" s="319"/>
      <c r="J7" s="320" t="s">
        <v>42</v>
      </c>
      <c r="K7" s="318"/>
      <c r="L7" s="318"/>
      <c r="M7" s="318"/>
      <c r="N7" s="319"/>
      <c r="O7" s="318" t="s">
        <v>50</v>
      </c>
      <c r="P7" s="319"/>
      <c r="Q7" s="320" t="s">
        <v>69</v>
      </c>
      <c r="R7" s="318"/>
      <c r="S7" s="319"/>
      <c r="T7" s="320" t="s">
        <v>68</v>
      </c>
      <c r="U7" s="321"/>
    </row>
    <row r="8" spans="1:21" ht="15.6" customHeight="1" x14ac:dyDescent="0.3">
      <c r="A8" s="346" t="s">
        <v>3596</v>
      </c>
      <c r="B8" s="347"/>
      <c r="C8" s="347"/>
      <c r="D8" s="347"/>
      <c r="E8" s="348"/>
      <c r="F8" s="349"/>
      <c r="G8" s="347"/>
      <c r="H8" s="347"/>
      <c r="I8" s="348"/>
      <c r="J8" s="355">
        <v>300000</v>
      </c>
      <c r="K8" s="355"/>
      <c r="L8" s="355"/>
      <c r="M8" s="355"/>
      <c r="N8" s="355"/>
      <c r="O8" s="356">
        <v>3</v>
      </c>
      <c r="P8" s="356"/>
      <c r="Q8" s="350"/>
      <c r="R8" s="351"/>
      <c r="S8" s="352"/>
      <c r="T8" s="353">
        <v>900000</v>
      </c>
      <c r="U8" s="354"/>
    </row>
    <row r="9" spans="1:21" ht="15.6" customHeight="1" x14ac:dyDescent="0.3">
      <c r="A9" s="337"/>
      <c r="B9" s="338"/>
      <c r="C9" s="338"/>
      <c r="D9" s="338"/>
      <c r="E9" s="339"/>
      <c r="F9" s="340"/>
      <c r="G9" s="338"/>
      <c r="H9" s="338"/>
      <c r="I9" s="339"/>
      <c r="J9" s="357"/>
      <c r="K9" s="357"/>
      <c r="L9" s="357"/>
      <c r="M9" s="357"/>
      <c r="N9" s="357"/>
      <c r="O9" s="358"/>
      <c r="P9" s="358"/>
      <c r="Q9" s="341"/>
      <c r="R9" s="342"/>
      <c r="S9" s="343"/>
      <c r="T9" s="344"/>
      <c r="U9" s="345"/>
    </row>
    <row r="10" spans="1:21" ht="15.6" customHeight="1" x14ac:dyDescent="0.3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 x14ac:dyDescent="0.3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 x14ac:dyDescent="0.3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 x14ac:dyDescent="0.3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 x14ac:dyDescent="0.3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 x14ac:dyDescent="0.35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 x14ac:dyDescent="0.3">
      <c r="A16" s="370" t="s">
        <v>2329</v>
      </c>
      <c r="B16" s="371"/>
      <c r="C16" s="371"/>
      <c r="D16" s="371"/>
      <c r="E16" s="372"/>
      <c r="F16" s="379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 x14ac:dyDescent="0.3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 x14ac:dyDescent="0.3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 x14ac:dyDescent="0.3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 x14ac:dyDescent="0.3">
      <c r="A20" s="317" t="s">
        <v>80</v>
      </c>
      <c r="B20" s="318"/>
      <c r="C20" s="318"/>
      <c r="D20" s="318"/>
      <c r="E20" s="318"/>
      <c r="F20" s="394">
        <v>6615000</v>
      </c>
      <c r="G20" s="394"/>
      <c r="H20" s="394"/>
      <c r="I20" s="395"/>
      <c r="J20" s="390">
        <f>SUM(J8:N19)</f>
        <v>300000</v>
      </c>
      <c r="K20" s="391"/>
      <c r="L20" s="391"/>
      <c r="M20" s="391"/>
      <c r="N20" s="392"/>
      <c r="O20" s="428">
        <f>SUM(O8:P19)</f>
        <v>3</v>
      </c>
      <c r="P20" s="428"/>
      <c r="Q20" s="393">
        <f>SUM(Q8:S19)</f>
        <v>0</v>
      </c>
      <c r="R20" s="394"/>
      <c r="S20" s="395"/>
      <c r="T20" s="394">
        <f>SUM(T8:U15)</f>
        <v>900000</v>
      </c>
      <c r="U20" s="396"/>
    </row>
    <row r="21" spans="1:21" ht="20.100000000000001" customHeight="1" thickBot="1" x14ac:dyDescent="0.35">
      <c r="A21" s="418" t="s">
        <v>90</v>
      </c>
      <c r="B21" s="419"/>
      <c r="C21" s="419"/>
      <c r="D21" s="419"/>
      <c r="E21" s="419"/>
      <c r="F21" s="420">
        <f>F20+T20</f>
        <v>7515000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19"/>
      <c r="Q21" s="388" t="str">
        <f>C3</f>
        <v>대륙오토(대구)</v>
      </c>
      <c r="R21" s="388"/>
      <c r="S21" s="388"/>
      <c r="T21" s="388"/>
      <c r="U21" s="389"/>
    </row>
    <row r="22" spans="1:21" ht="20.100000000000001" customHeight="1" x14ac:dyDescent="0.3">
      <c r="A22" s="429" t="s">
        <v>3598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">
      <c r="A24" s="299"/>
      <c r="B24" s="300"/>
      <c r="C24" s="300"/>
      <c r="D24" s="300"/>
      <c r="E24" s="300"/>
      <c r="F24" s="300"/>
      <c r="G24" s="30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1" t="s">
        <v>1204</v>
      </c>
      <c r="R24" s="301"/>
      <c r="S24" s="431">
        <f>S1</f>
        <v>0</v>
      </c>
      <c r="T24" s="431"/>
      <c r="U24" s="432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76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45915</v>
      </c>
      <c r="U25" s="312"/>
    </row>
    <row r="26" spans="1:21" ht="24.95" customHeight="1" x14ac:dyDescent="0.3">
      <c r="A26" s="322" t="s">
        <v>1172</v>
      </c>
      <c r="B26" s="37" t="s">
        <v>59</v>
      </c>
      <c r="C26" s="325" t="str">
        <f>C3</f>
        <v>대륙오토(대구)</v>
      </c>
      <c r="D26" s="326"/>
      <c r="E26" s="326"/>
      <c r="F26" s="326"/>
      <c r="G26" s="326"/>
      <c r="H26" s="326"/>
      <c r="I26" s="326"/>
      <c r="J26" s="327"/>
      <c r="K26" s="328" t="s">
        <v>1173</v>
      </c>
      <c r="L26" s="37" t="s">
        <v>59</v>
      </c>
      <c r="M26" s="331" t="s">
        <v>964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 x14ac:dyDescent="0.3">
      <c r="A27" s="323"/>
      <c r="B27" s="37" t="s">
        <v>61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61</v>
      </c>
      <c r="M27" s="313" t="s">
        <v>962</v>
      </c>
      <c r="N27" s="314"/>
      <c r="O27" s="314"/>
      <c r="P27" s="314"/>
      <c r="Q27" s="314"/>
      <c r="R27" s="315"/>
      <c r="S27" s="38" t="s">
        <v>62</v>
      </c>
      <c r="T27" s="313" t="s">
        <v>73</v>
      </c>
      <c r="U27" s="316"/>
    </row>
    <row r="28" spans="1:21" ht="24.95" customHeight="1" x14ac:dyDescent="0.3">
      <c r="A28" s="323"/>
      <c r="B28" s="38" t="s">
        <v>10</v>
      </c>
      <c r="C28" s="313" t="str">
        <f>C5</f>
        <v>대구광역시 북구 산격동 14-149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74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 x14ac:dyDescent="0.3">
      <c r="A29" s="324"/>
      <c r="B29" s="38" t="s">
        <v>75</v>
      </c>
      <c r="C29" s="313" t="str">
        <f>C6</f>
        <v>010-2806-9270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">
        <v>66</v>
      </c>
      <c r="N29" s="314"/>
      <c r="O29" s="314"/>
      <c r="P29" s="314"/>
      <c r="Q29" s="314"/>
      <c r="R29" s="315"/>
      <c r="S29" s="38" t="s">
        <v>22</v>
      </c>
      <c r="T29" s="313" t="str">
        <f>T6</f>
        <v>대구</v>
      </c>
      <c r="U29" s="316"/>
    </row>
    <row r="30" spans="1:21" ht="15.6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42</v>
      </c>
      <c r="K30" s="318"/>
      <c r="L30" s="318"/>
      <c r="M30" s="318"/>
      <c r="N30" s="319"/>
      <c r="O30" s="318" t="s">
        <v>50</v>
      </c>
      <c r="P30" s="319"/>
      <c r="Q30" s="320" t="s">
        <v>69</v>
      </c>
      <c r="R30" s="318"/>
      <c r="S30" s="319"/>
      <c r="T30" s="320" t="s">
        <v>68</v>
      </c>
      <c r="U30" s="321"/>
    </row>
    <row r="31" spans="1:21" ht="15.6" customHeight="1" x14ac:dyDescent="0.3">
      <c r="A31" s="405" t="str">
        <f>A8</f>
        <v>0AM REPAIR KIT</v>
      </c>
      <c r="B31" s="406"/>
      <c r="C31" s="406"/>
      <c r="D31" s="406"/>
      <c r="E31" s="406"/>
      <c r="F31" s="406">
        <f>F8</f>
        <v>0</v>
      </c>
      <c r="G31" s="406"/>
      <c r="H31" s="406"/>
      <c r="I31" s="406"/>
      <c r="J31" s="410">
        <f>J8</f>
        <v>300000</v>
      </c>
      <c r="K31" s="410"/>
      <c r="L31" s="410"/>
      <c r="M31" s="410"/>
      <c r="N31" s="410"/>
      <c r="O31" s="410">
        <f>O8</f>
        <v>3</v>
      </c>
      <c r="P31" s="410"/>
      <c r="Q31" s="407">
        <f>Q8</f>
        <v>0</v>
      </c>
      <c r="R31" s="407"/>
      <c r="S31" s="407"/>
      <c r="T31" s="408">
        <f>T8</f>
        <v>900000</v>
      </c>
      <c r="U31" s="409"/>
    </row>
    <row r="32" spans="1:21" ht="15.6" customHeight="1" x14ac:dyDescent="0.3">
      <c r="A32" s="400">
        <f t="shared" ref="A32:A38" si="0">A9</f>
        <v>0</v>
      </c>
      <c r="B32" s="401"/>
      <c r="C32" s="401"/>
      <c r="D32" s="401"/>
      <c r="E32" s="401"/>
      <c r="F32" s="401">
        <f t="shared" ref="F32:F38" si="1">F9</f>
        <v>0</v>
      </c>
      <c r="G32" s="401"/>
      <c r="H32" s="401"/>
      <c r="I32" s="401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0</v>
      </c>
      <c r="U32" s="404"/>
    </row>
    <row r="33" spans="1:21" ht="15.6" customHeight="1" x14ac:dyDescent="0.3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 x14ac:dyDescent="0.3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 x14ac:dyDescent="0.3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 x14ac:dyDescent="0.3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 x14ac:dyDescent="0.3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 x14ac:dyDescent="0.35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 x14ac:dyDescent="0.3">
      <c r="A39" s="370" t="s">
        <v>2329</v>
      </c>
      <c r="B39" s="371"/>
      <c r="C39" s="371"/>
      <c r="D39" s="371"/>
      <c r="E39" s="372"/>
      <c r="F39" s="379">
        <f>F16</f>
        <v>0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 x14ac:dyDescent="0.3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 x14ac:dyDescent="0.3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 x14ac:dyDescent="0.3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 x14ac:dyDescent="0.3">
      <c r="A43" s="317" t="s">
        <v>80</v>
      </c>
      <c r="B43" s="318"/>
      <c r="C43" s="318"/>
      <c r="D43" s="318"/>
      <c r="E43" s="318"/>
      <c r="F43" s="394">
        <f>F20</f>
        <v>6615000</v>
      </c>
      <c r="G43" s="394"/>
      <c r="H43" s="394"/>
      <c r="I43" s="395"/>
      <c r="J43" s="390">
        <f>J20</f>
        <v>300000</v>
      </c>
      <c r="K43" s="391"/>
      <c r="L43" s="391"/>
      <c r="M43" s="391"/>
      <c r="N43" s="392"/>
      <c r="O43" s="428">
        <f>O20</f>
        <v>3</v>
      </c>
      <c r="P43" s="428"/>
      <c r="Q43" s="393">
        <f>Q20</f>
        <v>0</v>
      </c>
      <c r="R43" s="394"/>
      <c r="S43" s="394"/>
      <c r="T43" s="394">
        <f>T20</f>
        <v>900000</v>
      </c>
      <c r="U43" s="396"/>
    </row>
    <row r="44" spans="1:21" ht="20.100000000000001" customHeight="1" thickBot="1" x14ac:dyDescent="0.35">
      <c r="A44" s="418" t="s">
        <v>90</v>
      </c>
      <c r="B44" s="419"/>
      <c r="C44" s="419"/>
      <c r="D44" s="419"/>
      <c r="E44" s="419"/>
      <c r="F44" s="420">
        <f>F21</f>
        <v>7515000</v>
      </c>
      <c r="G44" s="420"/>
      <c r="H44" s="420"/>
      <c r="I44" s="421"/>
      <c r="J44" s="422" t="s">
        <v>965</v>
      </c>
      <c r="K44" s="419"/>
      <c r="L44" s="423" t="str">
        <f>T27</f>
        <v>장효주</v>
      </c>
      <c r="M44" s="423"/>
      <c r="N44" s="423"/>
      <c r="O44" s="422" t="s">
        <v>64</v>
      </c>
      <c r="P44" s="424"/>
      <c r="Q44" s="425" t="str">
        <f>Q21</f>
        <v>대륙오토(대구)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300000</v>
      </c>
      <c r="H1" s="107">
        <f>SUM(H2:H4)</f>
        <v>3</v>
      </c>
      <c r="I1" s="107">
        <f>SUM(I2:I4)</f>
        <v>0</v>
      </c>
      <c r="J1" s="107">
        <f>SUM(J2:J4)</f>
        <v>900000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3586</v>
      </c>
      <c r="C2" s="47" t="s">
        <v>1452</v>
      </c>
      <c r="E2" t="s">
        <v>2207</v>
      </c>
      <c r="G2">
        <v>300000</v>
      </c>
      <c r="H2">
        <v>3</v>
      </c>
      <c r="I2" s="226"/>
      <c r="J2" s="226">
        <v>900000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1566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1567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638"/>
  <sheetViews>
    <sheetView workbookViewId="0">
      <pane xSplit="1" ySplit="1" topLeftCell="B1581" activePane="bottomRight" state="frozen"/>
      <selection activeCell="N26" sqref="N26"/>
      <selection pane="topRight" activeCell="N26" sqref="N26"/>
      <selection pane="bottomLeft" activeCell="N26" sqref="N26"/>
      <selection pane="bottomRight" activeCell="A1612" sqref="A1612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1128</v>
      </c>
      <c r="J1" s="262" t="s">
        <v>81</v>
      </c>
      <c r="K1" s="261" t="s">
        <v>58</v>
      </c>
      <c r="L1" s="261" t="s">
        <v>1678</v>
      </c>
      <c r="M1" s="261" t="s">
        <v>4</v>
      </c>
      <c r="N1" s="97">
        <v>1633</v>
      </c>
    </row>
    <row r="2" spans="1:15" x14ac:dyDescent="0.3">
      <c r="A2" s="271">
        <v>1</v>
      </c>
      <c r="B2" s="264">
        <v>45723</v>
      </c>
      <c r="C2" s="292" t="s">
        <v>1309</v>
      </c>
      <c r="D2" s="295">
        <v>2821402</v>
      </c>
      <c r="E2" s="292" t="s">
        <v>2720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1445</v>
      </c>
      <c r="D3" s="295" t="s">
        <v>1368</v>
      </c>
      <c r="E3" s="292" t="s">
        <v>1210</v>
      </c>
      <c r="F3" s="263" t="s">
        <v>1368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1445</v>
      </c>
      <c r="E4" s="292" t="s">
        <v>1150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1399</v>
      </c>
      <c r="E5" s="292" t="s">
        <v>1141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1407</v>
      </c>
      <c r="E6" s="292" t="s">
        <v>1142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1407</v>
      </c>
      <c r="E7" s="292" t="s">
        <v>1143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1407</v>
      </c>
      <c r="E8" s="292" t="s">
        <v>1149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1152</v>
      </c>
      <c r="E9" s="292" t="s">
        <v>1144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1450</v>
      </c>
      <c r="D10" s="295" t="s">
        <v>1368</v>
      </c>
      <c r="E10" s="292" t="s">
        <v>1210</v>
      </c>
      <c r="F10" s="263" t="s">
        <v>1368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1452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1407</v>
      </c>
      <c r="E12" s="292" t="s">
        <v>1145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1452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1452</v>
      </c>
      <c r="D14" s="295" t="s">
        <v>1130</v>
      </c>
      <c r="E14" s="292" t="s">
        <v>1130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1152</v>
      </c>
      <c r="E15" s="292" t="s">
        <v>1154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1152</v>
      </c>
      <c r="D16" s="295">
        <v>2821402</v>
      </c>
      <c r="E16" s="292" t="s">
        <v>1140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1152</v>
      </c>
      <c r="E17" s="292" t="s">
        <v>1148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1457</v>
      </c>
      <c r="E18" s="292" t="s">
        <v>1155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1407</v>
      </c>
      <c r="E19" s="292" t="s">
        <v>1144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1460</v>
      </c>
      <c r="E20" s="292" t="s">
        <v>1156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1462</v>
      </c>
      <c r="D21" s="297"/>
      <c r="E21" s="296" t="s">
        <v>1144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1464</v>
      </c>
      <c r="E22" s="292" t="s">
        <v>1159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1466</v>
      </c>
      <c r="E23" s="292" t="s">
        <v>1135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1407</v>
      </c>
      <c r="D24" s="295" t="s">
        <v>1368</v>
      </c>
      <c r="E24" s="292" t="s">
        <v>1210</v>
      </c>
      <c r="F24" s="263" t="s">
        <v>1368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1407</v>
      </c>
      <c r="E25" s="292" t="s">
        <v>1142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1452</v>
      </c>
      <c r="E26" s="292" t="s">
        <v>1137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1136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1087</v>
      </c>
      <c r="E28" s="292" t="s">
        <v>1135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1407</v>
      </c>
      <c r="E29" s="292" t="s">
        <v>1144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1407</v>
      </c>
      <c r="D30" s="295" t="s">
        <v>1220</v>
      </c>
      <c r="E30" s="292" t="s">
        <v>1134</v>
      </c>
      <c r="F30" s="269" t="s">
        <v>1472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1161</v>
      </c>
      <c r="D31" s="295" t="s">
        <v>1368</v>
      </c>
      <c r="E31" s="292" t="s">
        <v>1210</v>
      </c>
      <c r="F31" s="269" t="s">
        <v>1368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1475</v>
      </c>
      <c r="E32" s="292" t="s">
        <v>1168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1475</v>
      </c>
      <c r="E33" s="292" t="s">
        <v>1168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1475</v>
      </c>
      <c r="E34" s="292" t="s">
        <v>1169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1475</v>
      </c>
      <c r="E35" s="292" t="s">
        <v>1170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1477</v>
      </c>
      <c r="D36" s="295" t="s">
        <v>1266</v>
      </c>
      <c r="E36" s="292" t="s">
        <v>1267</v>
      </c>
      <c r="F36" s="269" t="s">
        <v>1266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1477</v>
      </c>
      <c r="E37" s="292" t="s">
        <v>1478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1272</v>
      </c>
      <c r="E38" s="292" t="s">
        <v>1273</v>
      </c>
      <c r="F38" s="269" t="s">
        <v>1272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1481</v>
      </c>
      <c r="D39" s="295" t="s">
        <v>1368</v>
      </c>
      <c r="E39" s="292" t="s">
        <v>1210</v>
      </c>
      <c r="F39" s="269" t="s">
        <v>1368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1407</v>
      </c>
      <c r="E40" s="292" t="s">
        <v>1483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1407</v>
      </c>
      <c r="E41" s="292" t="s">
        <v>1484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1179</v>
      </c>
      <c r="E42" s="292" t="s">
        <v>1144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1487</v>
      </c>
      <c r="E43" s="292" t="s">
        <v>1488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1490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1152</v>
      </c>
      <c r="E45" s="292" t="s">
        <v>1490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1493</v>
      </c>
      <c r="E46" s="292" t="s">
        <v>1494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1498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1477</v>
      </c>
      <c r="E48" s="292" t="s">
        <v>1500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1502</v>
      </c>
      <c r="D49" s="295" t="s">
        <v>1368</v>
      </c>
      <c r="E49" s="292" t="s">
        <v>1503</v>
      </c>
      <c r="F49" s="269" t="s">
        <v>1368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1502</v>
      </c>
      <c r="E50" s="292" t="s">
        <v>1504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1506</v>
      </c>
      <c r="D51" s="295" t="s">
        <v>1368</v>
      </c>
      <c r="E51" s="292" t="s">
        <v>1210</v>
      </c>
      <c r="F51" s="269" t="s">
        <v>1368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1407</v>
      </c>
      <c r="D52" s="295" t="s">
        <v>1223</v>
      </c>
      <c r="E52" s="292" t="s">
        <v>1224</v>
      </c>
      <c r="F52" s="269" t="s">
        <v>1223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1407</v>
      </c>
      <c r="E53" s="292" t="s">
        <v>1509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1511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1386</v>
      </c>
      <c r="E55" s="292" t="s">
        <v>1513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1386</v>
      </c>
      <c r="E56" s="292" t="s">
        <v>1514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1452</v>
      </c>
      <c r="E57" s="292" t="s">
        <v>1516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1452</v>
      </c>
      <c r="E58" s="292" t="s">
        <v>1517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1452</v>
      </c>
      <c r="E59" s="292" t="s">
        <v>1518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1245</v>
      </c>
      <c r="D60" s="295" t="s">
        <v>1211</v>
      </c>
      <c r="E60" s="292" t="s">
        <v>1212</v>
      </c>
      <c r="F60" s="269" t="s">
        <v>1211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1477</v>
      </c>
      <c r="D61" s="295" t="s">
        <v>1368</v>
      </c>
      <c r="E61" s="292" t="s">
        <v>1210</v>
      </c>
      <c r="F61" s="269" t="s">
        <v>1368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1235</v>
      </c>
      <c r="E62" s="292" t="s">
        <v>1511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1523</v>
      </c>
      <c r="E63" s="292" t="s">
        <v>1144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1525</v>
      </c>
      <c r="E64" s="292" t="s">
        <v>1526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1525</v>
      </c>
      <c r="E65" s="292" t="s">
        <v>1527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1529</v>
      </c>
      <c r="E66" s="292" t="s">
        <v>1532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1452</v>
      </c>
      <c r="D67" s="295" t="s">
        <v>1214</v>
      </c>
      <c r="E67" s="292" t="s">
        <v>1215</v>
      </c>
      <c r="F67" s="269" t="s">
        <v>1214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1452</v>
      </c>
      <c r="E68" s="292" t="s">
        <v>1416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1313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1245</v>
      </c>
      <c r="D70" s="295" t="s">
        <v>1368</v>
      </c>
      <c r="E70" s="292" t="s">
        <v>1210</v>
      </c>
      <c r="F70" s="269" t="s">
        <v>1368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1380</v>
      </c>
      <c r="E71" s="292" t="s">
        <v>1160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1179</v>
      </c>
      <c r="D72" s="295" t="s">
        <v>1368</v>
      </c>
      <c r="E72" s="292" t="s">
        <v>1210</v>
      </c>
      <c r="F72" s="269" t="s">
        <v>1368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1540</v>
      </c>
      <c r="D74" s="295" t="s">
        <v>1208</v>
      </c>
      <c r="E74" s="292" t="s">
        <v>1209</v>
      </c>
      <c r="F74" s="269" t="s">
        <v>1208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1457</v>
      </c>
      <c r="E75" s="292" t="s">
        <v>1543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1152</v>
      </c>
      <c r="D76" s="295" t="s">
        <v>1368</v>
      </c>
      <c r="E76" s="292" t="s">
        <v>1210</v>
      </c>
      <c r="F76" s="269" t="s">
        <v>1368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1546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1452</v>
      </c>
      <c r="E78" s="292" t="s">
        <v>1137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1452</v>
      </c>
      <c r="E79" s="292" t="s">
        <v>1137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1549</v>
      </c>
      <c r="E80" s="292" t="s">
        <v>1550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1552</v>
      </c>
      <c r="D81" s="295" t="s">
        <v>1223</v>
      </c>
      <c r="E81" s="292" t="s">
        <v>1224</v>
      </c>
      <c r="F81" s="269" t="s">
        <v>1223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1368</v>
      </c>
      <c r="E82" s="292" t="s">
        <v>1210</v>
      </c>
      <c r="F82" s="269" t="s">
        <v>1368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1504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1399</v>
      </c>
      <c r="D84" s="295" t="s">
        <v>1368</v>
      </c>
      <c r="E84" s="292" t="s">
        <v>1210</v>
      </c>
      <c r="F84" s="269" t="s">
        <v>1368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1403</v>
      </c>
      <c r="E85" s="292" t="s">
        <v>1144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1557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1559</v>
      </c>
      <c r="D87" s="295" t="s">
        <v>1368</v>
      </c>
      <c r="E87" s="292" t="s">
        <v>1210</v>
      </c>
      <c r="F87" s="269" t="s">
        <v>1368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1559</v>
      </c>
      <c r="E88" s="292" t="s">
        <v>1504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1562</v>
      </c>
      <c r="E89" s="292" t="s">
        <v>1563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1562</v>
      </c>
      <c r="D90" s="295" t="s">
        <v>1368</v>
      </c>
      <c r="E90" s="292" t="s">
        <v>1210</v>
      </c>
      <c r="F90" s="269" t="s">
        <v>1368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1230</v>
      </c>
      <c r="E91" s="292" t="s">
        <v>1569</v>
      </c>
      <c r="F91" s="269" t="s">
        <v>1230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1549</v>
      </c>
      <c r="D92" s="295" t="s">
        <v>1368</v>
      </c>
      <c r="E92" s="292" t="s">
        <v>1210</v>
      </c>
      <c r="F92" s="269" t="s">
        <v>1368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1549</v>
      </c>
      <c r="E93" s="292" t="s">
        <v>1142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1208</v>
      </c>
      <c r="E94" s="292" t="s">
        <v>1209</v>
      </c>
      <c r="F94" s="269" t="s">
        <v>1208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1583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1585</v>
      </c>
      <c r="E96" s="292" t="s">
        <v>1586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1585</v>
      </c>
      <c r="E97" s="292" t="s">
        <v>1527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1588</v>
      </c>
      <c r="E98" s="292" t="s">
        <v>1589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1588</v>
      </c>
      <c r="E99" s="292" t="s">
        <v>1658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1588</v>
      </c>
      <c r="D100" s="295" t="s">
        <v>1272</v>
      </c>
      <c r="E100" s="292" t="s">
        <v>1273</v>
      </c>
      <c r="F100" s="269" t="s">
        <v>1272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1368</v>
      </c>
      <c r="E101" s="292" t="s">
        <v>1210</v>
      </c>
      <c r="F101" s="269" t="s">
        <v>1368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1594</v>
      </c>
      <c r="E102" s="292" t="s">
        <v>1595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1594</v>
      </c>
      <c r="D103" s="295">
        <v>415054509</v>
      </c>
      <c r="E103" s="292" t="s">
        <v>2536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1594</v>
      </c>
      <c r="E104" s="292" t="s">
        <v>1596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1594</v>
      </c>
      <c r="E105" s="292" t="s">
        <v>1597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1594</v>
      </c>
      <c r="D106" s="295" t="s">
        <v>1571</v>
      </c>
      <c r="E106" s="292" t="s">
        <v>1212</v>
      </c>
      <c r="F106" s="269" t="s">
        <v>1571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1475</v>
      </c>
      <c r="E107" s="292" t="s">
        <v>1600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1368</v>
      </c>
      <c r="E108" s="292" t="s">
        <v>1210</v>
      </c>
      <c r="F108" s="269" t="s">
        <v>1368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1504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1113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1171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1604</v>
      </c>
      <c r="D112" s="295" t="s">
        <v>1368</v>
      </c>
      <c r="E112" s="292" t="s">
        <v>1210</v>
      </c>
      <c r="F112" s="269" t="s">
        <v>1368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1606</v>
      </c>
      <c r="E113" s="292" t="s">
        <v>1160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1460</v>
      </c>
      <c r="E114" s="292" t="s">
        <v>1154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1460</v>
      </c>
      <c r="D115" s="295" t="s">
        <v>1266</v>
      </c>
      <c r="E115" s="292" t="s">
        <v>1267</v>
      </c>
      <c r="F115" s="269" t="s">
        <v>1266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1460</v>
      </c>
      <c r="D116" s="295">
        <v>2821402</v>
      </c>
      <c r="E116" s="292" t="s">
        <v>1140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1460</v>
      </c>
      <c r="E117" s="292" t="s">
        <v>1608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1610</v>
      </c>
      <c r="E118" s="292" t="s">
        <v>1611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1611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1614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1585</v>
      </c>
      <c r="D121" s="295">
        <v>415072909</v>
      </c>
      <c r="E121" s="292" t="s">
        <v>2536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1585</v>
      </c>
      <c r="D122" s="295" t="s">
        <v>1634</v>
      </c>
      <c r="E122" s="292" t="s">
        <v>1635</v>
      </c>
      <c r="F122" s="269" t="s">
        <v>1634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1585</v>
      </c>
      <c r="D123" s="295">
        <v>415072909</v>
      </c>
      <c r="E123" s="292" t="s">
        <v>2536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1585</v>
      </c>
      <c r="D124" s="295" t="s">
        <v>1634</v>
      </c>
      <c r="E124" s="292" t="s">
        <v>1635</v>
      </c>
      <c r="F124" s="269" t="s">
        <v>1634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1585</v>
      </c>
      <c r="E125" s="292" t="s">
        <v>1637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1457</v>
      </c>
      <c r="E126" s="292" t="s">
        <v>1644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1549</v>
      </c>
      <c r="D127" s="295" t="s">
        <v>1368</v>
      </c>
      <c r="E127" s="292" t="s">
        <v>1210</v>
      </c>
      <c r="F127" s="269" t="s">
        <v>1368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1549</v>
      </c>
      <c r="E128" s="292" t="s">
        <v>1504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1549</v>
      </c>
      <c r="E129" s="292" t="s">
        <v>1647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1407</v>
      </c>
      <c r="D130" s="295" t="s">
        <v>1207</v>
      </c>
      <c r="E130" s="292" t="s">
        <v>1651</v>
      </c>
      <c r="F130" s="269" t="s">
        <v>1207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1208</v>
      </c>
      <c r="E131" s="292" t="s">
        <v>1652</v>
      </c>
      <c r="F131" s="269" t="s">
        <v>1208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1583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1666</v>
      </c>
      <c r="E133" s="292" t="s">
        <v>1669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1671</v>
      </c>
      <c r="E134" s="292" t="s">
        <v>1672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1549</v>
      </c>
      <c r="E135" s="292" t="s">
        <v>1674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1457</v>
      </c>
      <c r="E136" s="292" t="s">
        <v>1676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1679</v>
      </c>
      <c r="E137" s="292" t="s">
        <v>1682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1684</v>
      </c>
      <c r="E138" s="292" t="s">
        <v>1144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1452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1452</v>
      </c>
      <c r="E140" s="292" t="s">
        <v>1692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1452</v>
      </c>
      <c r="E141" s="292" t="s">
        <v>1693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1452</v>
      </c>
      <c r="E142" s="292" t="s">
        <v>1696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1452</v>
      </c>
      <c r="E143" s="292" t="s">
        <v>1697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1452</v>
      </c>
      <c r="E144" s="292" t="s">
        <v>1698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1340</v>
      </c>
      <c r="E145" s="292" t="s">
        <v>1838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1477</v>
      </c>
      <c r="E146" s="292" t="s">
        <v>1703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1730</v>
      </c>
      <c r="D147" s="295">
        <v>2800802</v>
      </c>
      <c r="E147" s="292" t="s">
        <v>1725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1730</v>
      </c>
      <c r="D148" s="295" t="s">
        <v>1723</v>
      </c>
      <c r="E148" s="292" t="s">
        <v>1724</v>
      </c>
      <c r="F148" s="269" t="s">
        <v>1723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1730</v>
      </c>
      <c r="D149" s="295">
        <v>7252703114</v>
      </c>
      <c r="E149" s="292" t="s">
        <v>1711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1730</v>
      </c>
      <c r="D150" s="295" t="s">
        <v>1712</v>
      </c>
      <c r="E150" s="292" t="s">
        <v>1713</v>
      </c>
      <c r="F150" s="269" t="s">
        <v>1712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1730</v>
      </c>
      <c r="D151" s="295" t="s">
        <v>1272</v>
      </c>
      <c r="E151" s="292" t="s">
        <v>1273</v>
      </c>
      <c r="F151" s="269" t="s">
        <v>1272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1549</v>
      </c>
      <c r="E152" s="292" t="s">
        <v>1753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1588</v>
      </c>
      <c r="E153" s="292" t="s">
        <v>1755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1407</v>
      </c>
      <c r="D154" s="295" t="s">
        <v>1368</v>
      </c>
      <c r="E154" s="292" t="s">
        <v>1210</v>
      </c>
      <c r="F154" s="269" t="s">
        <v>1368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1407</v>
      </c>
      <c r="E155" s="292" t="s">
        <v>1504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1756</v>
      </c>
      <c r="E156" s="292" t="s">
        <v>1757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1152</v>
      </c>
      <c r="D157" s="295" t="s">
        <v>1214</v>
      </c>
      <c r="E157" s="292" t="s">
        <v>1215</v>
      </c>
      <c r="F157" s="269" t="s">
        <v>1214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1152</v>
      </c>
      <c r="D158" s="295">
        <v>50229</v>
      </c>
      <c r="E158" s="292" t="s">
        <v>1650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1730</v>
      </c>
      <c r="D159" s="295">
        <v>415090409</v>
      </c>
      <c r="E159" s="292" t="s">
        <v>2536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1571</v>
      </c>
      <c r="E160" s="292" t="s">
        <v>1212</v>
      </c>
      <c r="F160" s="269" t="s">
        <v>1571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1799</v>
      </c>
      <c r="E161" s="292" t="s">
        <v>1803</v>
      </c>
      <c r="F161" s="269" t="s">
        <v>1138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1799</v>
      </c>
      <c r="D162" s="295" t="s">
        <v>1214</v>
      </c>
      <c r="E162" s="292" t="s">
        <v>1215</v>
      </c>
      <c r="F162" s="269" t="s">
        <v>1214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1799</v>
      </c>
      <c r="D163" s="295" t="s">
        <v>1804</v>
      </c>
      <c r="E163" s="292" t="s">
        <v>1805</v>
      </c>
      <c r="F163" s="269" t="s">
        <v>1804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1730</v>
      </c>
      <c r="D164" s="295" t="s">
        <v>1266</v>
      </c>
      <c r="E164" s="292" t="s">
        <v>1267</v>
      </c>
      <c r="F164" s="269" t="s">
        <v>1266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1730</v>
      </c>
      <c r="D165" s="295">
        <v>415090409</v>
      </c>
      <c r="E165" s="292" t="s">
        <v>2536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1407</v>
      </c>
      <c r="D166" s="295" t="s">
        <v>1761</v>
      </c>
      <c r="E166" s="292" t="s">
        <v>1210</v>
      </c>
      <c r="F166" s="269" t="s">
        <v>1761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1487</v>
      </c>
      <c r="E167" s="292" t="s">
        <v>1809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1457</v>
      </c>
      <c r="D168" s="295">
        <v>927156</v>
      </c>
      <c r="E168" s="292" t="s">
        <v>1811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1457</v>
      </c>
      <c r="D169" s="295" t="s">
        <v>1812</v>
      </c>
      <c r="E169" s="292" t="s">
        <v>1583</v>
      </c>
      <c r="F169" s="269" t="s">
        <v>1812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1814</v>
      </c>
      <c r="D170" s="295" t="s">
        <v>1207</v>
      </c>
      <c r="E170" s="292" t="s">
        <v>1651</v>
      </c>
      <c r="F170" s="269" t="s">
        <v>1207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1725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1818</v>
      </c>
      <c r="D172" s="295" t="s">
        <v>1775</v>
      </c>
      <c r="E172" s="292" t="s">
        <v>1773</v>
      </c>
      <c r="F172" s="269" t="s">
        <v>1775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1818</v>
      </c>
      <c r="D173" s="295" t="s">
        <v>1772</v>
      </c>
      <c r="E173" s="292" t="s">
        <v>1773</v>
      </c>
      <c r="F173" s="269" t="s">
        <v>1772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1588</v>
      </c>
      <c r="D174" s="295" t="s">
        <v>1214</v>
      </c>
      <c r="E174" s="292" t="s">
        <v>1215</v>
      </c>
      <c r="F174" s="269" t="s">
        <v>1214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1821</v>
      </c>
      <c r="E175" s="292" t="s">
        <v>1752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1730</v>
      </c>
      <c r="D176" s="295" t="s">
        <v>1266</v>
      </c>
      <c r="E176" s="292" t="s">
        <v>1267</v>
      </c>
      <c r="F176" s="269" t="s">
        <v>1266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1730</v>
      </c>
      <c r="D177" s="295" t="s">
        <v>1833</v>
      </c>
      <c r="E177" s="292" t="s">
        <v>1834</v>
      </c>
      <c r="F177" s="269" t="s">
        <v>1833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1730</v>
      </c>
      <c r="D178" s="295" t="s">
        <v>1804</v>
      </c>
      <c r="E178" s="292" t="s">
        <v>1805</v>
      </c>
      <c r="F178" s="269" t="s">
        <v>1804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1549</v>
      </c>
      <c r="E179" s="292" t="s">
        <v>1753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1466</v>
      </c>
      <c r="E180" s="292" t="s">
        <v>1753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1814</v>
      </c>
      <c r="D181" s="295" t="s">
        <v>1214</v>
      </c>
      <c r="E181" s="292" t="s">
        <v>1215</v>
      </c>
      <c r="F181" s="269" t="s">
        <v>1214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1477</v>
      </c>
      <c r="E182" s="292" t="s">
        <v>1850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1849</v>
      </c>
      <c r="E183" s="292" t="s">
        <v>1852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1761</v>
      </c>
      <c r="E184" s="292" t="s">
        <v>1210</v>
      </c>
      <c r="F184" s="269" t="s">
        <v>1761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1504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1585</v>
      </c>
      <c r="D186" s="295" t="s">
        <v>1761</v>
      </c>
      <c r="E186" s="292" t="s">
        <v>1210</v>
      </c>
      <c r="F186" s="269" t="s">
        <v>1761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1712</v>
      </c>
      <c r="E187" s="292" t="s">
        <v>1713</v>
      </c>
      <c r="F187" s="269" t="s">
        <v>1712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1725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1804</v>
      </c>
      <c r="E189" s="292" t="s">
        <v>1805</v>
      </c>
      <c r="F189" s="269" t="s">
        <v>1804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1833</v>
      </c>
      <c r="E190" s="292" t="s">
        <v>1834</v>
      </c>
      <c r="F190" s="269" t="s">
        <v>1833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1858</v>
      </c>
      <c r="D191" s="295" t="s">
        <v>1860</v>
      </c>
      <c r="E191" s="292" t="s">
        <v>1861</v>
      </c>
      <c r="F191" s="269" t="s">
        <v>1860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1152</v>
      </c>
      <c r="D192" s="295">
        <v>2800801</v>
      </c>
      <c r="E192" s="292" t="s">
        <v>1866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1211</v>
      </c>
      <c r="E193" s="292" t="s">
        <v>1212</v>
      </c>
      <c r="F193" s="269" t="s">
        <v>1211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2536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1650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1818</v>
      </c>
      <c r="D196" s="295">
        <v>2830402</v>
      </c>
      <c r="E196" s="292" t="s">
        <v>1870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1872</v>
      </c>
      <c r="E197" s="292" t="s">
        <v>1873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1878</v>
      </c>
      <c r="E198" s="292" t="s">
        <v>1160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1878</v>
      </c>
      <c r="E199" s="292" t="s">
        <v>1880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1881</v>
      </c>
      <c r="E200" s="292" t="s">
        <v>1160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1881</v>
      </c>
      <c r="E201" s="292" t="s">
        <v>1883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1887</v>
      </c>
      <c r="E202" s="292" t="s">
        <v>1752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1730</v>
      </c>
      <c r="D203" s="295" t="s">
        <v>1884</v>
      </c>
      <c r="E203" s="292" t="s">
        <v>1885</v>
      </c>
      <c r="F203" s="269" t="s">
        <v>1884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1679</v>
      </c>
      <c r="D204" s="295" t="s">
        <v>1208</v>
      </c>
      <c r="E204" s="292" t="s">
        <v>1652</v>
      </c>
      <c r="F204" s="269" t="s">
        <v>1208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1818</v>
      </c>
      <c r="D205" s="295" t="s">
        <v>1775</v>
      </c>
      <c r="E205" s="292" t="s">
        <v>1773</v>
      </c>
      <c r="F205" s="269" t="s">
        <v>1775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1818</v>
      </c>
      <c r="D206" s="295" t="s">
        <v>1772</v>
      </c>
      <c r="E206" s="292" t="s">
        <v>1773</v>
      </c>
      <c r="F206" s="269" t="s">
        <v>1772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1901</v>
      </c>
      <c r="E207" s="292" t="s">
        <v>1904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1905</v>
      </c>
      <c r="D208" s="295" t="s">
        <v>1761</v>
      </c>
      <c r="E208" s="292" t="s">
        <v>1210</v>
      </c>
      <c r="F208" s="269" t="s">
        <v>1761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1761</v>
      </c>
      <c r="E209" s="292" t="s">
        <v>1210</v>
      </c>
      <c r="F209" s="269" t="s">
        <v>1761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1761</v>
      </c>
      <c r="E210" s="292" t="s">
        <v>1210</v>
      </c>
      <c r="F210" s="269" t="s">
        <v>1761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1606</v>
      </c>
      <c r="D211" s="295" t="s">
        <v>1214</v>
      </c>
      <c r="E211" s="292" t="s">
        <v>1215</v>
      </c>
      <c r="F211" s="269" t="s">
        <v>1214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1588</v>
      </c>
      <c r="D212" s="295" t="s">
        <v>1912</v>
      </c>
      <c r="E212" s="292" t="s">
        <v>1913</v>
      </c>
      <c r="F212" s="269" t="s">
        <v>1912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1407</v>
      </c>
      <c r="E213" s="292" t="s">
        <v>1927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1549</v>
      </c>
      <c r="E214" s="292" t="s">
        <v>1930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1450</v>
      </c>
      <c r="E215" s="292" t="s">
        <v>1145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1679</v>
      </c>
      <c r="D216" s="295" t="s">
        <v>1761</v>
      </c>
      <c r="E216" s="292" t="s">
        <v>1210</v>
      </c>
      <c r="F216" s="269" t="s">
        <v>1761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1679</v>
      </c>
      <c r="E217" s="292" t="s">
        <v>1504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1730</v>
      </c>
      <c r="E218" s="292" t="s">
        <v>1937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1730</v>
      </c>
      <c r="D219" s="295" t="s">
        <v>1272</v>
      </c>
      <c r="E219" s="292" t="s">
        <v>1273</v>
      </c>
      <c r="F219" s="269" t="s">
        <v>1272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1606</v>
      </c>
      <c r="D220" s="295" t="s">
        <v>1934</v>
      </c>
      <c r="E220" s="292" t="s">
        <v>1589</v>
      </c>
      <c r="F220" s="269" t="s">
        <v>1934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1942</v>
      </c>
      <c r="D221" s="295" t="s">
        <v>1804</v>
      </c>
      <c r="E221" s="292" t="s">
        <v>1805</v>
      </c>
      <c r="F221" s="269" t="s">
        <v>1804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1942</v>
      </c>
      <c r="D222" s="295" t="s">
        <v>1214</v>
      </c>
      <c r="E222" s="292" t="s">
        <v>1215</v>
      </c>
      <c r="F222" s="269" t="s">
        <v>1214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1942</v>
      </c>
      <c r="D223" s="295" t="s">
        <v>1912</v>
      </c>
      <c r="E223" s="292" t="s">
        <v>1913</v>
      </c>
      <c r="F223" s="269" t="s">
        <v>1912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1953</v>
      </c>
      <c r="D224" s="295" t="s">
        <v>1944</v>
      </c>
      <c r="E224" s="292" t="s">
        <v>1945</v>
      </c>
      <c r="F224" s="269" t="s">
        <v>1944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1953</v>
      </c>
      <c r="D225" s="295" t="s">
        <v>1947</v>
      </c>
      <c r="E225" s="292" t="s">
        <v>1946</v>
      </c>
      <c r="F225" s="269" t="s">
        <v>1947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1407</v>
      </c>
      <c r="E226" s="292" t="s">
        <v>1753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1407</v>
      </c>
      <c r="D227" s="295">
        <v>24152333903</v>
      </c>
      <c r="E227" s="292" t="s">
        <v>1557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1588</v>
      </c>
      <c r="D228" s="295" t="s">
        <v>1214</v>
      </c>
      <c r="E228" s="292" t="s">
        <v>1215</v>
      </c>
      <c r="F228" s="269" t="s">
        <v>1214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1585</v>
      </c>
      <c r="D229" s="295">
        <v>415072909</v>
      </c>
      <c r="E229" s="292" t="s">
        <v>2536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1585</v>
      </c>
      <c r="D230" s="295" t="s">
        <v>1208</v>
      </c>
      <c r="E230" s="292" t="s">
        <v>1652</v>
      </c>
      <c r="F230" s="269" t="s">
        <v>1208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1585</v>
      </c>
      <c r="D231" s="295" t="s">
        <v>1812</v>
      </c>
      <c r="E231" s="292" t="s">
        <v>1583</v>
      </c>
      <c r="F231" s="269" t="s">
        <v>1812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1730</v>
      </c>
      <c r="E232" s="292" t="s">
        <v>1964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1457</v>
      </c>
      <c r="D233" s="295" t="s">
        <v>1967</v>
      </c>
      <c r="E233" s="292" t="s">
        <v>1968</v>
      </c>
      <c r="F233" s="269" t="s">
        <v>1967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1457</v>
      </c>
      <c r="D234" s="295" t="s">
        <v>1812</v>
      </c>
      <c r="E234" s="292" t="s">
        <v>1583</v>
      </c>
      <c r="F234" s="269" t="s">
        <v>1812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1606</v>
      </c>
      <c r="E235" s="292" t="s">
        <v>1970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1972</v>
      </c>
      <c r="D236" s="295">
        <v>2830402</v>
      </c>
      <c r="E236" s="292" t="s">
        <v>1870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1972</v>
      </c>
      <c r="E237" s="292" t="s">
        <v>1976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1972</v>
      </c>
      <c r="E238" s="292" t="s">
        <v>1977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1972</v>
      </c>
      <c r="D239" s="295" t="s">
        <v>1214</v>
      </c>
      <c r="E239" s="292" t="s">
        <v>1215</v>
      </c>
      <c r="F239" s="269" t="s">
        <v>1214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1972</v>
      </c>
      <c r="D240" s="295">
        <v>50229</v>
      </c>
      <c r="E240" s="292" t="s">
        <v>1650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1972</v>
      </c>
      <c r="D241" s="295" t="s">
        <v>1804</v>
      </c>
      <c r="E241" s="292" t="s">
        <v>1805</v>
      </c>
      <c r="F241" s="269" t="s">
        <v>1804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1562</v>
      </c>
      <c r="D242" s="295" t="s">
        <v>1712</v>
      </c>
      <c r="E242" s="292" t="s">
        <v>1713</v>
      </c>
      <c r="F242" s="269" t="s">
        <v>1712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1452</v>
      </c>
      <c r="D243" s="295">
        <v>2800802</v>
      </c>
      <c r="E243" s="292" t="s">
        <v>1725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1452</v>
      </c>
      <c r="E244" s="292" t="s">
        <v>1984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1452</v>
      </c>
      <c r="E245" s="292" t="s">
        <v>1985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1399</v>
      </c>
      <c r="E246" s="292" t="s">
        <v>1543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1989</v>
      </c>
      <c r="D247" s="295" t="s">
        <v>1205</v>
      </c>
      <c r="E247" s="292" t="s">
        <v>1990</v>
      </c>
      <c r="F247" s="269" t="s">
        <v>1205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1992</v>
      </c>
      <c r="D248" s="295" t="s">
        <v>1833</v>
      </c>
      <c r="E248" s="292" t="s">
        <v>1834</v>
      </c>
      <c r="F248" s="269" t="s">
        <v>1833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1992</v>
      </c>
      <c r="D249" s="295" t="s">
        <v>1266</v>
      </c>
      <c r="E249" s="292" t="s">
        <v>1267</v>
      </c>
      <c r="F249" s="269" t="s">
        <v>1266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1992</v>
      </c>
      <c r="D250" s="295" t="s">
        <v>1214</v>
      </c>
      <c r="E250" s="292" t="s">
        <v>1215</v>
      </c>
      <c r="F250" s="269" t="s">
        <v>1214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1942</v>
      </c>
      <c r="E251" s="292" t="s">
        <v>1130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1457</v>
      </c>
      <c r="E252" s="292" t="s">
        <v>1130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1799</v>
      </c>
      <c r="D253" s="295" t="s">
        <v>1214</v>
      </c>
      <c r="E253" s="292" t="s">
        <v>1215</v>
      </c>
      <c r="F253" s="269" t="s">
        <v>1214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1452</v>
      </c>
      <c r="E254" s="292" t="s">
        <v>1997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1818</v>
      </c>
      <c r="E255" s="292" t="s">
        <v>1504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1310</v>
      </c>
      <c r="E256" s="292" t="s">
        <v>1130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1353</v>
      </c>
      <c r="E257" s="292" t="s">
        <v>1678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1529</v>
      </c>
      <c r="E258" s="292" t="s">
        <v>1532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1529</v>
      </c>
      <c r="E259" s="292" t="s">
        <v>1130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1452</v>
      </c>
      <c r="E260" s="292" t="s">
        <v>1543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1152</v>
      </c>
      <c r="D261" s="295">
        <v>2800802</v>
      </c>
      <c r="E261" s="292" t="s">
        <v>1725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2004</v>
      </c>
      <c r="E262" s="292" t="s">
        <v>1212</v>
      </c>
      <c r="F262" s="269" t="s">
        <v>2004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1130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1540</v>
      </c>
      <c r="E264" s="292" t="s">
        <v>1752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1452</v>
      </c>
      <c r="E265" s="292" t="s">
        <v>2010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2027</v>
      </c>
      <c r="D266" s="295" t="s">
        <v>1804</v>
      </c>
      <c r="E266" s="292" t="s">
        <v>1805</v>
      </c>
      <c r="F266" s="269" t="s">
        <v>1804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2027</v>
      </c>
      <c r="D267" s="295" t="s">
        <v>1833</v>
      </c>
      <c r="E267" s="292" t="s">
        <v>1834</v>
      </c>
      <c r="F267" s="269" t="s">
        <v>1833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2027</v>
      </c>
      <c r="D268" s="295" t="s">
        <v>2024</v>
      </c>
      <c r="E268" s="292" t="s">
        <v>2025</v>
      </c>
      <c r="F268" s="269" t="s">
        <v>2024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2027</v>
      </c>
      <c r="D269" s="295" t="s">
        <v>1214</v>
      </c>
      <c r="E269" s="292" t="s">
        <v>1215</v>
      </c>
      <c r="F269" s="269" t="s">
        <v>1214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2027</v>
      </c>
      <c r="E270" s="292" t="s">
        <v>2026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2027</v>
      </c>
      <c r="D271" s="295">
        <v>50229</v>
      </c>
      <c r="E271" s="292" t="s">
        <v>1650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2027</v>
      </c>
      <c r="D272" s="295" t="s">
        <v>1912</v>
      </c>
      <c r="E272" s="292" t="s">
        <v>1913</v>
      </c>
      <c r="F272" s="269" t="s">
        <v>1912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1818</v>
      </c>
      <c r="E273" s="292" t="s">
        <v>1130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1730</v>
      </c>
      <c r="D274" s="295" t="s">
        <v>1761</v>
      </c>
      <c r="E274" s="292" t="s">
        <v>1210</v>
      </c>
      <c r="F274" s="269" t="s">
        <v>1761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1730</v>
      </c>
      <c r="E275" s="292" t="s">
        <v>1504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2036</v>
      </c>
      <c r="D276" s="295" t="s">
        <v>2034</v>
      </c>
      <c r="E276" s="292" t="s">
        <v>2035</v>
      </c>
      <c r="F276" s="269" t="s">
        <v>2034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1992</v>
      </c>
      <c r="D277" s="295" t="s">
        <v>1207</v>
      </c>
      <c r="E277" s="292" t="s">
        <v>1651</v>
      </c>
      <c r="F277" s="269" t="s">
        <v>1207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1756</v>
      </c>
      <c r="D278" s="295" t="s">
        <v>1223</v>
      </c>
      <c r="E278" s="292" t="s">
        <v>2039</v>
      </c>
      <c r="F278" s="269" t="s">
        <v>1223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1992</v>
      </c>
      <c r="D279" s="295" t="s">
        <v>1272</v>
      </c>
      <c r="E279" s="292" t="s">
        <v>1273</v>
      </c>
      <c r="F279" s="269" t="s">
        <v>1272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1992</v>
      </c>
      <c r="D280" s="295" t="s">
        <v>1712</v>
      </c>
      <c r="E280" s="292" t="s">
        <v>1713</v>
      </c>
      <c r="F280" s="269" t="s">
        <v>1712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1992</v>
      </c>
      <c r="E281" s="292" t="s">
        <v>2041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1992</v>
      </c>
      <c r="D282" s="295" t="s">
        <v>1804</v>
      </c>
      <c r="E282" s="292" t="s">
        <v>1805</v>
      </c>
      <c r="F282" s="269" t="s">
        <v>1804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1557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1452</v>
      </c>
      <c r="E284" s="292" t="s">
        <v>2044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2046</v>
      </c>
      <c r="E285" s="292" t="s">
        <v>2049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2051</v>
      </c>
      <c r="D286" s="295" t="s">
        <v>1208</v>
      </c>
      <c r="E286" s="292" t="s">
        <v>1652</v>
      </c>
      <c r="F286" s="269" t="s">
        <v>1208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2051</v>
      </c>
      <c r="D287" s="295" t="s">
        <v>1812</v>
      </c>
      <c r="E287" s="292" t="s">
        <v>1583</v>
      </c>
      <c r="F287" s="269" t="s">
        <v>1812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2051</v>
      </c>
      <c r="D288" s="295" t="s">
        <v>1728</v>
      </c>
      <c r="E288" s="292" t="s">
        <v>1729</v>
      </c>
      <c r="F288" s="269" t="s">
        <v>1728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1585</v>
      </c>
      <c r="E290" s="292" t="s">
        <v>1752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2058</v>
      </c>
      <c r="E291" s="292" t="s">
        <v>2061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1562</v>
      </c>
      <c r="D292" s="295" t="s">
        <v>1220</v>
      </c>
      <c r="E292" s="292" t="s">
        <v>1221</v>
      </c>
      <c r="F292" s="269" t="s">
        <v>1220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1678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2065</v>
      </c>
      <c r="E294" s="292" t="s">
        <v>1678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1585</v>
      </c>
      <c r="E295" s="292" t="s">
        <v>1130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2051</v>
      </c>
      <c r="E296" s="292" t="s">
        <v>1130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1152</v>
      </c>
      <c r="E297" s="292" t="s">
        <v>1130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1992</v>
      </c>
      <c r="D298" s="295" t="s">
        <v>1214</v>
      </c>
      <c r="E298" s="292" t="s">
        <v>1215</v>
      </c>
      <c r="F298" s="269" t="s">
        <v>1214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1992</v>
      </c>
      <c r="E299" s="292" t="s">
        <v>1130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1549</v>
      </c>
      <c r="E300" s="292" t="s">
        <v>1130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1194</v>
      </c>
      <c r="E301" s="292" t="s">
        <v>1678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1989</v>
      </c>
      <c r="E302" s="292" t="s">
        <v>1130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1452</v>
      </c>
      <c r="E303" s="292" t="s">
        <v>1130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1475</v>
      </c>
      <c r="E304" s="292" t="s">
        <v>1130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2027</v>
      </c>
      <c r="E305" s="292" t="s">
        <v>1130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1407</v>
      </c>
      <c r="E306" s="292" t="s">
        <v>1130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1588</v>
      </c>
      <c r="D307" s="295" t="s">
        <v>1208</v>
      </c>
      <c r="E307" s="292" t="s">
        <v>1652</v>
      </c>
      <c r="F307" s="269" t="s">
        <v>1208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1588</v>
      </c>
      <c r="D308" s="295" t="s">
        <v>1812</v>
      </c>
      <c r="E308" s="292" t="s">
        <v>1583</v>
      </c>
      <c r="F308" s="269" t="s">
        <v>1812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1588</v>
      </c>
      <c r="E309" s="292" t="s">
        <v>2068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1562</v>
      </c>
      <c r="E310" s="292" t="s">
        <v>1130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2046</v>
      </c>
      <c r="E311" s="292" t="s">
        <v>1130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1730</v>
      </c>
      <c r="D312" s="295">
        <v>2800802</v>
      </c>
      <c r="E312" s="292" t="s">
        <v>1725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1588</v>
      </c>
      <c r="D313" s="295" t="s">
        <v>1272</v>
      </c>
      <c r="E313" s="292" t="s">
        <v>1273</v>
      </c>
      <c r="F313" s="269" t="s">
        <v>1272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1989</v>
      </c>
      <c r="D314" s="295" t="s">
        <v>1205</v>
      </c>
      <c r="E314" s="292" t="s">
        <v>1990</v>
      </c>
      <c r="F314" s="269" t="s">
        <v>1205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1407</v>
      </c>
      <c r="D315" s="295">
        <v>415072909</v>
      </c>
      <c r="E315" s="298" t="s">
        <v>2536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1407</v>
      </c>
      <c r="E316" s="292" t="s">
        <v>1160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1989</v>
      </c>
      <c r="E317" s="292" t="s">
        <v>1678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1588</v>
      </c>
      <c r="E318" s="292" t="s">
        <v>2089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1972</v>
      </c>
      <c r="E319" s="292" t="s">
        <v>2087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2090</v>
      </c>
      <c r="D320" s="295" t="s">
        <v>1211</v>
      </c>
      <c r="E320" s="292" t="s">
        <v>1212</v>
      </c>
      <c r="F320" s="269" t="s">
        <v>1211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1725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1549</v>
      </c>
      <c r="D322" s="295">
        <v>501220522</v>
      </c>
      <c r="E322" s="292" t="s">
        <v>2035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1407</v>
      </c>
      <c r="D323" s="295" t="s">
        <v>1761</v>
      </c>
      <c r="E323" s="292" t="s">
        <v>1210</v>
      </c>
      <c r="F323" s="269" t="s">
        <v>1761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1477</v>
      </c>
      <c r="E324" s="292" t="s">
        <v>1504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1407</v>
      </c>
      <c r="D325" s="295" t="s">
        <v>1761</v>
      </c>
      <c r="E325" s="292" t="s">
        <v>2096</v>
      </c>
      <c r="F325" s="269" t="s">
        <v>1761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1972</v>
      </c>
      <c r="E326" s="292" t="s">
        <v>1130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1313</v>
      </c>
      <c r="D327" s="295" t="s">
        <v>1207</v>
      </c>
      <c r="E327" s="292" t="s">
        <v>1651</v>
      </c>
      <c r="F327" s="269" t="s">
        <v>1207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1313</v>
      </c>
      <c r="D328" s="295" t="s">
        <v>1214</v>
      </c>
      <c r="E328" s="292" t="s">
        <v>1215</v>
      </c>
      <c r="F328" s="269" t="s">
        <v>1214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2101</v>
      </c>
      <c r="D329" s="295" t="s">
        <v>1208</v>
      </c>
      <c r="E329" s="292" t="s">
        <v>1652</v>
      </c>
      <c r="F329" s="269" t="s">
        <v>1208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2101</v>
      </c>
      <c r="D330" s="295" t="s">
        <v>1812</v>
      </c>
      <c r="E330" s="292" t="s">
        <v>1583</v>
      </c>
      <c r="F330" s="269" t="s">
        <v>1812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1313</v>
      </c>
      <c r="E331" s="292" t="s">
        <v>1130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1130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1562</v>
      </c>
      <c r="E333" s="292" t="s">
        <v>1130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2101</v>
      </c>
      <c r="E334" s="292" t="s">
        <v>1130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1407</v>
      </c>
      <c r="D335" s="295">
        <v>1068298046</v>
      </c>
      <c r="E335" s="292" t="s">
        <v>2103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1407</v>
      </c>
      <c r="D336" s="295">
        <v>24152333907</v>
      </c>
      <c r="E336" s="292" t="s">
        <v>1557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2101</v>
      </c>
      <c r="D337" s="295" t="s">
        <v>1208</v>
      </c>
      <c r="E337" s="292" t="s">
        <v>1652</v>
      </c>
      <c r="F337" s="269" t="s">
        <v>1208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2101</v>
      </c>
      <c r="D338" s="295" t="s">
        <v>1812</v>
      </c>
      <c r="E338" s="292" t="s">
        <v>1583</v>
      </c>
      <c r="F338" s="269" t="s">
        <v>1812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2107</v>
      </c>
      <c r="D339" s="295" t="s">
        <v>1208</v>
      </c>
      <c r="E339" s="292" t="s">
        <v>1652</v>
      </c>
      <c r="F339" s="269" t="s">
        <v>1208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2107</v>
      </c>
      <c r="D340" s="295" t="s">
        <v>1812</v>
      </c>
      <c r="E340" s="292" t="s">
        <v>1583</v>
      </c>
      <c r="F340" s="269" t="s">
        <v>1812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2107</v>
      </c>
      <c r="D341" s="295" t="s">
        <v>1728</v>
      </c>
      <c r="E341" s="292" t="s">
        <v>1729</v>
      </c>
      <c r="F341" s="269" t="s">
        <v>1728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2107</v>
      </c>
      <c r="E342" s="292" t="s">
        <v>1130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2101</v>
      </c>
      <c r="E343" s="292" t="s">
        <v>1130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1335</v>
      </c>
      <c r="E344" s="292" t="s">
        <v>2223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1730</v>
      </c>
      <c r="D345" s="295" t="s">
        <v>1220</v>
      </c>
      <c r="E345" s="292" t="s">
        <v>1134</v>
      </c>
      <c r="F345" s="269" t="s">
        <v>1472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2090</v>
      </c>
      <c r="E346" s="292" t="s">
        <v>1130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1477</v>
      </c>
      <c r="E347" s="292" t="s">
        <v>1130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1730</v>
      </c>
      <c r="E348" s="292" t="s">
        <v>1130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1540</v>
      </c>
      <c r="E349" s="292" t="s">
        <v>1130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1130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1313</v>
      </c>
      <c r="D351" s="295" t="s">
        <v>2121</v>
      </c>
      <c r="E351" s="292" t="s">
        <v>1976</v>
      </c>
      <c r="F351" s="269" t="s">
        <v>2121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2027</v>
      </c>
      <c r="D352" s="295">
        <v>36050661</v>
      </c>
      <c r="E352" s="292" t="s">
        <v>2119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1288</v>
      </c>
      <c r="E353" s="292" t="s">
        <v>2353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1288</v>
      </c>
      <c r="D354" s="295" t="s">
        <v>2354</v>
      </c>
      <c r="E354" s="292" t="s">
        <v>2099</v>
      </c>
      <c r="F354" s="269" t="s">
        <v>2354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1799</v>
      </c>
      <c r="E355" s="292" t="s">
        <v>1130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1313</v>
      </c>
      <c r="E356" s="292" t="s">
        <v>1755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2027</v>
      </c>
      <c r="E357" s="292" t="s">
        <v>1755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1799</v>
      </c>
      <c r="E358" s="292" t="s">
        <v>1755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2318</v>
      </c>
      <c r="E359" s="292" t="s">
        <v>1503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2318</v>
      </c>
      <c r="E360" s="292" t="s">
        <v>1130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1452</v>
      </c>
      <c r="D361" s="295">
        <v>1068298046</v>
      </c>
      <c r="E361" s="292" t="s">
        <v>2103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1989</v>
      </c>
      <c r="D362" s="295" t="s">
        <v>1761</v>
      </c>
      <c r="E362" s="292" t="s">
        <v>1210</v>
      </c>
      <c r="F362" s="269" t="s">
        <v>1761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1606</v>
      </c>
      <c r="D363" s="295" t="s">
        <v>1214</v>
      </c>
      <c r="E363" s="292" t="s">
        <v>1215</v>
      </c>
      <c r="F363" s="269" t="s">
        <v>1214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1462</v>
      </c>
      <c r="E364" s="292" t="s">
        <v>2138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1462</v>
      </c>
      <c r="E365" s="292" t="s">
        <v>2139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1152</v>
      </c>
      <c r="E366" s="292" t="s">
        <v>2141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2145</v>
      </c>
      <c r="D367" s="295" t="s">
        <v>1208</v>
      </c>
      <c r="E367" s="292" t="s">
        <v>1652</v>
      </c>
      <c r="F367" s="269" t="s">
        <v>1208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1407</v>
      </c>
      <c r="E368" s="292" t="s">
        <v>2149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2145</v>
      </c>
      <c r="E369" s="292" t="s">
        <v>1130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1606</v>
      </c>
      <c r="E370" s="292" t="s">
        <v>1130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1457</v>
      </c>
      <c r="E371" s="292" t="s">
        <v>1145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1457</v>
      </c>
      <c r="D372" s="295">
        <v>1068298046</v>
      </c>
      <c r="E372" s="292" t="s">
        <v>2103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1942</v>
      </c>
      <c r="D373" s="295">
        <v>1068298046</v>
      </c>
      <c r="E373" s="292" t="s">
        <v>2103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1942</v>
      </c>
      <c r="D374" s="295">
        <v>24152333903</v>
      </c>
      <c r="E374" s="292" t="s">
        <v>1557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1337</v>
      </c>
      <c r="D375" s="295" t="s">
        <v>2174</v>
      </c>
      <c r="E375" s="292" t="s">
        <v>2175</v>
      </c>
      <c r="F375" s="269" t="s">
        <v>2174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1799</v>
      </c>
      <c r="D376" s="295" t="s">
        <v>1214</v>
      </c>
      <c r="E376" s="292" t="s">
        <v>1215</v>
      </c>
      <c r="F376" s="269" t="s">
        <v>1214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2157</v>
      </c>
      <c r="D377" s="295">
        <v>7252703114</v>
      </c>
      <c r="E377" s="292" t="s">
        <v>1711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2161</v>
      </c>
      <c r="D378" s="295">
        <v>2800802</v>
      </c>
      <c r="E378" s="292" t="s">
        <v>1725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1407</v>
      </c>
      <c r="E379" s="292" t="s">
        <v>2164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1313</v>
      </c>
      <c r="E380" s="292" t="s">
        <v>2167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2157</v>
      </c>
      <c r="E381" s="292" t="s">
        <v>1130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1679</v>
      </c>
      <c r="E382" s="292" t="s">
        <v>2170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1386</v>
      </c>
      <c r="E383" s="292" t="s">
        <v>2172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1989</v>
      </c>
      <c r="E384" s="292" t="s">
        <v>1130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1386</v>
      </c>
      <c r="E385" s="292" t="s">
        <v>1130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1730</v>
      </c>
      <c r="E386" s="292" t="s">
        <v>2049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1730</v>
      </c>
      <c r="E387" s="292" t="s">
        <v>2176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1457</v>
      </c>
      <c r="E388" s="292" t="s">
        <v>1130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1313</v>
      </c>
      <c r="E389" s="292" t="s">
        <v>1130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2183</v>
      </c>
      <c r="D390" s="295" t="s">
        <v>1220</v>
      </c>
      <c r="E390" s="292" t="s">
        <v>1134</v>
      </c>
      <c r="F390" s="269" t="s">
        <v>1472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2536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1799</v>
      </c>
      <c r="E392" s="292" t="s">
        <v>1752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1606</v>
      </c>
      <c r="D393" s="295" t="s">
        <v>1368</v>
      </c>
      <c r="E393" s="292" t="s">
        <v>1210</v>
      </c>
      <c r="F393" s="269" t="s">
        <v>1368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1606</v>
      </c>
      <c r="E394" s="292" t="s">
        <v>1130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1588</v>
      </c>
      <c r="D395" s="295" t="s">
        <v>1214</v>
      </c>
      <c r="E395" s="292" t="s">
        <v>2199</v>
      </c>
      <c r="F395" s="269" t="s">
        <v>1214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2101</v>
      </c>
      <c r="D396" s="295" t="s">
        <v>1208</v>
      </c>
      <c r="E396" s="292" t="s">
        <v>2192</v>
      </c>
      <c r="F396" s="269" t="s">
        <v>1208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2101</v>
      </c>
      <c r="D397" s="295" t="s">
        <v>1812</v>
      </c>
      <c r="E397" s="292" t="s">
        <v>2193</v>
      </c>
      <c r="F397" s="269" t="s">
        <v>1812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2101</v>
      </c>
      <c r="E398" s="292" t="s">
        <v>1130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1549</v>
      </c>
      <c r="E399" s="292" t="s">
        <v>2022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2113</v>
      </c>
      <c r="E400" s="292" t="s">
        <v>1130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1756</v>
      </c>
      <c r="D401" s="295">
        <v>50229</v>
      </c>
      <c r="E401" s="292" t="s">
        <v>2202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2227</v>
      </c>
      <c r="E402" s="292" t="s">
        <v>2225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1881</v>
      </c>
      <c r="D403" s="295" t="s">
        <v>1208</v>
      </c>
      <c r="E403" s="292" t="s">
        <v>2192</v>
      </c>
      <c r="F403" s="269" t="s">
        <v>1208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1881</v>
      </c>
      <c r="D404" s="295" t="s">
        <v>1812</v>
      </c>
      <c r="E404" s="292" t="s">
        <v>2193</v>
      </c>
      <c r="F404" s="269" t="s">
        <v>1812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1881</v>
      </c>
      <c r="D405" s="295" t="s">
        <v>2229</v>
      </c>
      <c r="E405" s="292" t="s">
        <v>2194</v>
      </c>
      <c r="F405" s="269" t="s">
        <v>2229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1881</v>
      </c>
      <c r="E406" s="292" t="s">
        <v>1130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2107</v>
      </c>
      <c r="D407" s="295" t="s">
        <v>2229</v>
      </c>
      <c r="E407" s="292" t="s">
        <v>2194</v>
      </c>
      <c r="F407" s="269" t="s">
        <v>2229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1942</v>
      </c>
      <c r="E408" s="292" t="s">
        <v>1130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1756</v>
      </c>
      <c r="D409" s="295">
        <v>50229</v>
      </c>
      <c r="E409" s="292" t="s">
        <v>2202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1756</v>
      </c>
      <c r="D410" s="295" t="s">
        <v>1266</v>
      </c>
      <c r="E410" s="292" t="s">
        <v>2200</v>
      </c>
      <c r="F410" s="269" t="s">
        <v>1266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1756</v>
      </c>
      <c r="D411" s="295" t="s">
        <v>1833</v>
      </c>
      <c r="E411" s="292" t="s">
        <v>2204</v>
      </c>
      <c r="F411" s="269" t="s">
        <v>1833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1881</v>
      </c>
      <c r="E412" s="292" t="s">
        <v>2240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1881</v>
      </c>
      <c r="E413" s="292" t="s">
        <v>1130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1858</v>
      </c>
      <c r="E414" s="292" t="s">
        <v>2242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1756</v>
      </c>
      <c r="E415" s="292" t="s">
        <v>1527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1756</v>
      </c>
      <c r="E416" s="292" t="s">
        <v>1543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1543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1296</v>
      </c>
      <c r="D418" s="295">
        <v>1087298388</v>
      </c>
      <c r="E418" s="292" t="s">
        <v>2256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1292</v>
      </c>
      <c r="D419" s="295" t="s">
        <v>2266</v>
      </c>
      <c r="E419" s="292" t="s">
        <v>2267</v>
      </c>
      <c r="F419" s="269" t="s">
        <v>2266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1858</v>
      </c>
      <c r="E420" s="292" t="s">
        <v>1755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1679</v>
      </c>
      <c r="E421" s="292" t="s">
        <v>1130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1477</v>
      </c>
      <c r="E422" s="292" t="s">
        <v>1130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1730</v>
      </c>
      <c r="D423" s="295" t="s">
        <v>1208</v>
      </c>
      <c r="E423" s="292" t="s">
        <v>2192</v>
      </c>
      <c r="F423" s="269" t="s">
        <v>1208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1730</v>
      </c>
      <c r="D424" s="295" t="s">
        <v>1812</v>
      </c>
      <c r="E424" s="292" t="s">
        <v>2193</v>
      </c>
      <c r="F424" s="269" t="s">
        <v>1812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1730</v>
      </c>
      <c r="D425" s="295" t="s">
        <v>1728</v>
      </c>
      <c r="E425" s="292" t="s">
        <v>2195</v>
      </c>
      <c r="F425" s="269" t="s">
        <v>1728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1730</v>
      </c>
      <c r="E426" s="292" t="s">
        <v>2253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1399</v>
      </c>
      <c r="E427" s="292" t="s">
        <v>2049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1452</v>
      </c>
      <c r="E428" s="292" t="s">
        <v>2257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1152</v>
      </c>
      <c r="E429" s="292" t="s">
        <v>2258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1761</v>
      </c>
      <c r="E430" s="292" t="s">
        <v>1210</v>
      </c>
      <c r="F430" s="269" t="s">
        <v>1761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1130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1207</v>
      </c>
      <c r="E432" s="292" t="s">
        <v>2198</v>
      </c>
      <c r="F432" s="269" t="s">
        <v>1207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1294</v>
      </c>
      <c r="D433" s="295" t="s">
        <v>2360</v>
      </c>
      <c r="E433" s="292" t="s">
        <v>1654</v>
      </c>
      <c r="F433" s="269" t="s">
        <v>2360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1872</v>
      </c>
      <c r="D434" s="295" t="s">
        <v>1207</v>
      </c>
      <c r="E434" s="292" t="s">
        <v>2198</v>
      </c>
      <c r="F434" s="269" t="s">
        <v>1207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2107</v>
      </c>
      <c r="E435" s="292" t="s">
        <v>1130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2251</v>
      </c>
      <c r="E436" s="292" t="s">
        <v>1130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1399</v>
      </c>
      <c r="E437" s="292" t="s">
        <v>1130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1562</v>
      </c>
      <c r="E438" s="292" t="s">
        <v>2268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2270</v>
      </c>
      <c r="D439" s="295" t="s">
        <v>1220</v>
      </c>
      <c r="E439" s="292" t="s">
        <v>2190</v>
      </c>
      <c r="F439" s="269" t="s">
        <v>1472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1679</v>
      </c>
      <c r="D440" s="295" t="s">
        <v>1967</v>
      </c>
      <c r="E440" s="292" t="s">
        <v>2214</v>
      </c>
      <c r="F440" s="269" t="s">
        <v>1967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1679</v>
      </c>
      <c r="D441" s="295" t="s">
        <v>1812</v>
      </c>
      <c r="E441" s="292" t="s">
        <v>2193</v>
      </c>
      <c r="F441" s="269" t="s">
        <v>1812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1679</v>
      </c>
      <c r="E442" s="292" t="s">
        <v>2215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2273</v>
      </c>
      <c r="D443" s="295" t="s">
        <v>1208</v>
      </c>
      <c r="E443" s="292" t="s">
        <v>2192</v>
      </c>
      <c r="F443" s="269" t="s">
        <v>1208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2273</v>
      </c>
      <c r="D444" s="295" t="s">
        <v>1812</v>
      </c>
      <c r="E444" s="292" t="s">
        <v>2193</v>
      </c>
      <c r="F444" s="269" t="s">
        <v>1812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1872</v>
      </c>
      <c r="D445" s="295" t="s">
        <v>1208</v>
      </c>
      <c r="E445" s="292" t="s">
        <v>2192</v>
      </c>
      <c r="F445" s="269" t="s">
        <v>1208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1872</v>
      </c>
      <c r="D446" s="295" t="s">
        <v>1812</v>
      </c>
      <c r="E446" s="292" t="s">
        <v>2193</v>
      </c>
      <c r="F446" s="269" t="s">
        <v>1812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2273</v>
      </c>
      <c r="E447" s="292" t="s">
        <v>1130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2270</v>
      </c>
      <c r="E448" s="292" t="s">
        <v>1130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1462</v>
      </c>
      <c r="E449" s="292" t="s">
        <v>1130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1130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1407</v>
      </c>
      <c r="D451" s="295">
        <v>7252703114</v>
      </c>
      <c r="E451" s="292" t="s">
        <v>1711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1543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1562</v>
      </c>
      <c r="D453" s="295" t="s">
        <v>1272</v>
      </c>
      <c r="E453" s="292" t="s">
        <v>1273</v>
      </c>
      <c r="F453" s="269" t="s">
        <v>1272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1457</v>
      </c>
      <c r="D454" s="295" t="s">
        <v>1205</v>
      </c>
      <c r="E454" s="292" t="s">
        <v>2279</v>
      </c>
      <c r="F454" s="269" t="s">
        <v>1205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1487</v>
      </c>
      <c r="E455" s="292" t="s">
        <v>1752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1130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1457</v>
      </c>
      <c r="E457" s="292" t="s">
        <v>1130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1211</v>
      </c>
      <c r="E458" s="292" t="s">
        <v>1212</v>
      </c>
      <c r="F458" s="269" t="s">
        <v>1211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2289</v>
      </c>
      <c r="E459" s="292" t="s">
        <v>1727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1730</v>
      </c>
      <c r="D460" s="295">
        <v>4150862090</v>
      </c>
      <c r="E460" s="292" t="s">
        <v>2536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1460</v>
      </c>
      <c r="E461" s="292" t="s">
        <v>1753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2536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1833</v>
      </c>
      <c r="E465" s="292" t="s">
        <v>2204</v>
      </c>
      <c r="F465" s="269" t="s">
        <v>1833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1552</v>
      </c>
      <c r="E466" s="292" t="s">
        <v>2302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1552</v>
      </c>
      <c r="E467" s="292" t="s">
        <v>1755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1562</v>
      </c>
      <c r="E468" s="292" t="s">
        <v>1130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2304</v>
      </c>
      <c r="D469" s="295" t="s">
        <v>1205</v>
      </c>
      <c r="E469" s="292" t="s">
        <v>2209</v>
      </c>
      <c r="F469" s="269" t="s">
        <v>1205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2304</v>
      </c>
      <c r="E470" s="292" t="s">
        <v>1130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1152</v>
      </c>
      <c r="E471" s="292" t="s">
        <v>1130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1407</v>
      </c>
      <c r="E472" s="292" t="s">
        <v>1752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1562</v>
      </c>
      <c r="E473" s="292" t="s">
        <v>1130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1679</v>
      </c>
      <c r="E474" s="292" t="s">
        <v>1130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1130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1585</v>
      </c>
      <c r="D476" s="295" t="s">
        <v>1214</v>
      </c>
      <c r="E476" s="292" t="s">
        <v>2199</v>
      </c>
      <c r="F476" s="269" t="s">
        <v>1214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1585</v>
      </c>
      <c r="D477" s="295">
        <v>50229</v>
      </c>
      <c r="E477" s="292" t="s">
        <v>2202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1585</v>
      </c>
      <c r="D478" s="295" t="s">
        <v>1804</v>
      </c>
      <c r="E478" s="292" t="s">
        <v>2203</v>
      </c>
      <c r="F478" s="269" t="s">
        <v>1804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2318</v>
      </c>
      <c r="D479" s="295" t="s">
        <v>1761</v>
      </c>
      <c r="E479" s="292" t="s">
        <v>2311</v>
      </c>
      <c r="F479" s="269" t="s">
        <v>1761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2318</v>
      </c>
      <c r="E480" s="292" t="s">
        <v>1504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1266</v>
      </c>
      <c r="E481" s="292" t="s">
        <v>2200</v>
      </c>
      <c r="F481" s="269" t="s">
        <v>1266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1679</v>
      </c>
      <c r="E482" s="292" t="s">
        <v>1504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1872</v>
      </c>
      <c r="E483" s="292" t="s">
        <v>1130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1594</v>
      </c>
      <c r="D484" s="295" t="s">
        <v>1220</v>
      </c>
      <c r="E484" s="292" t="s">
        <v>2190</v>
      </c>
      <c r="F484" s="269" t="s">
        <v>1472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2318</v>
      </c>
      <c r="E485" s="292" t="s">
        <v>1130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1679</v>
      </c>
      <c r="E486" s="292" t="s">
        <v>1130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1487</v>
      </c>
      <c r="D487" s="295">
        <v>501220639</v>
      </c>
      <c r="E487" s="292" t="s">
        <v>1768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1588</v>
      </c>
      <c r="E488" s="292" t="s">
        <v>1130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1730</v>
      </c>
      <c r="E489" s="292" t="s">
        <v>1753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1585</v>
      </c>
      <c r="E490" s="292" t="s">
        <v>1543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1799</v>
      </c>
      <c r="E491" s="292" t="s">
        <v>1130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1130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1380</v>
      </c>
      <c r="E493" s="292" t="s">
        <v>1752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1549</v>
      </c>
      <c r="E494" s="292" t="s">
        <v>1136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1549</v>
      </c>
      <c r="E495" s="292" t="s">
        <v>2328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2160</v>
      </c>
      <c r="E496" s="292" t="s">
        <v>1866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1407</v>
      </c>
      <c r="E497" s="292" t="s">
        <v>2330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1756</v>
      </c>
      <c r="E498" s="292" t="s">
        <v>1130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1594</v>
      </c>
      <c r="E499" s="292" t="s">
        <v>1130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1905</v>
      </c>
      <c r="E500" s="292" t="s">
        <v>2332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2331</v>
      </c>
      <c r="E502" s="292" t="s">
        <v>2209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2331</v>
      </c>
      <c r="E503" s="292" t="s">
        <v>1130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2333</v>
      </c>
      <c r="E504" s="292" t="s">
        <v>1725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1905</v>
      </c>
      <c r="E505" s="292" t="s">
        <v>1130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2288</v>
      </c>
      <c r="E506" s="292" t="s">
        <v>1130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2333</v>
      </c>
      <c r="E507" s="292" t="s">
        <v>1130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1756</v>
      </c>
      <c r="E508" s="292" t="s">
        <v>2311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1756</v>
      </c>
      <c r="E509" s="292" t="s">
        <v>1504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1756</v>
      </c>
      <c r="E510" s="292" t="s">
        <v>1527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1399</v>
      </c>
      <c r="E511" s="292" t="s">
        <v>2536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1407</v>
      </c>
      <c r="E512" s="292" t="s">
        <v>2039</v>
      </c>
      <c r="F512" s="269" t="s">
        <v>1223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1549</v>
      </c>
      <c r="E513" s="292" t="s">
        <v>1130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2364</v>
      </c>
      <c r="E514" s="292" t="s">
        <v>1731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1210</v>
      </c>
      <c r="F515" s="269" t="s">
        <v>1761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2227</v>
      </c>
      <c r="E516" s="292" t="s">
        <v>3089</v>
      </c>
      <c r="F516" s="269" t="s">
        <v>2339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2113</v>
      </c>
      <c r="E517" s="292" t="s">
        <v>1210</v>
      </c>
      <c r="F517" s="269" t="s">
        <v>1761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2113</v>
      </c>
      <c r="E518" s="292" t="s">
        <v>2350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1756</v>
      </c>
      <c r="E519" s="292" t="s">
        <v>1130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2125</v>
      </c>
      <c r="E520" s="292" t="s">
        <v>1130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1245</v>
      </c>
      <c r="E521" s="292" t="s">
        <v>2355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1313</v>
      </c>
      <c r="E522" s="292" t="s">
        <v>2190</v>
      </c>
      <c r="F522" s="269" t="s">
        <v>1472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1588</v>
      </c>
      <c r="E523" s="292" t="s">
        <v>2068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1380</v>
      </c>
      <c r="E524" s="292" t="s">
        <v>1130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1343</v>
      </c>
      <c r="E525" s="292" t="s">
        <v>1826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1585</v>
      </c>
      <c r="E526" s="292" t="s">
        <v>1755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1460</v>
      </c>
      <c r="E527" s="292" t="s">
        <v>1755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2345</v>
      </c>
      <c r="E528" s="292" t="s">
        <v>1755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1399</v>
      </c>
      <c r="E529" s="292" t="s">
        <v>1755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1487</v>
      </c>
      <c r="E530" s="292" t="s">
        <v>1755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1313</v>
      </c>
      <c r="E531" s="292" t="s">
        <v>1130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2373</v>
      </c>
      <c r="E532" s="292" t="s">
        <v>1226</v>
      </c>
      <c r="F532" s="269" t="s">
        <v>2174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1549</v>
      </c>
      <c r="E533" s="292" t="s">
        <v>1273</v>
      </c>
      <c r="F533" s="269" t="s">
        <v>1272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2304</v>
      </c>
      <c r="E534" s="292" t="s">
        <v>2199</v>
      </c>
      <c r="F534" s="269" t="s">
        <v>1214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2304</v>
      </c>
      <c r="E535" s="292" t="s">
        <v>2202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2304</v>
      </c>
      <c r="E536" s="292" t="s">
        <v>1130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1464</v>
      </c>
      <c r="E537" s="292" t="s">
        <v>1725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1407</v>
      </c>
      <c r="E538" s="292" t="s">
        <v>1130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1549</v>
      </c>
      <c r="E539" s="292" t="s">
        <v>1210</v>
      </c>
      <c r="F539" s="269" t="s">
        <v>1761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1549</v>
      </c>
      <c r="E540" s="292" t="s">
        <v>1504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1549</v>
      </c>
      <c r="E541" s="292" t="s">
        <v>1711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2270</v>
      </c>
      <c r="E542" s="292" t="s">
        <v>2208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1130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1290</v>
      </c>
      <c r="E544" s="292" t="s">
        <v>2399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1457</v>
      </c>
      <c r="E545" s="292" t="s">
        <v>2375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2387</v>
      </c>
      <c r="E546" s="292" t="s">
        <v>2386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1457</v>
      </c>
      <c r="E547" s="292" t="s">
        <v>1130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1130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1606</v>
      </c>
      <c r="E549" s="292" t="s">
        <v>2208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2393</v>
      </c>
      <c r="E550" s="292" t="s">
        <v>1265</v>
      </c>
      <c r="F550" s="269" t="s">
        <v>1264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1464</v>
      </c>
      <c r="E551" s="292" t="s">
        <v>1130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2398</v>
      </c>
      <c r="E552" s="292" t="s">
        <v>1130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2392</v>
      </c>
      <c r="E553" s="292" t="s">
        <v>1130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1588</v>
      </c>
      <c r="E554" s="292" t="s">
        <v>1543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1588</v>
      </c>
      <c r="E555" s="292" t="s">
        <v>1557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1730</v>
      </c>
      <c r="E556" s="292" t="s">
        <v>1130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1730</v>
      </c>
      <c r="E557" s="292" t="s">
        <v>2401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1549</v>
      </c>
      <c r="E558" s="292" t="s">
        <v>2199</v>
      </c>
      <c r="F558" s="269" t="s">
        <v>1214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1549</v>
      </c>
      <c r="E559" s="292" t="s">
        <v>2202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1549</v>
      </c>
      <c r="E560" s="292" t="s">
        <v>2200</v>
      </c>
      <c r="F560" s="269" t="s">
        <v>1266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1549</v>
      </c>
      <c r="E561" s="292" t="s">
        <v>2204</v>
      </c>
      <c r="F561" s="269" t="s">
        <v>1833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1549</v>
      </c>
      <c r="E562" s="292" t="s">
        <v>2203</v>
      </c>
      <c r="F562" s="269" t="s">
        <v>1804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1606</v>
      </c>
      <c r="E563" s="292" t="s">
        <v>1130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1464</v>
      </c>
      <c r="E564" s="292" t="s">
        <v>1725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1152</v>
      </c>
      <c r="E565" s="292" t="s">
        <v>2408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1152</v>
      </c>
      <c r="E566" s="292" t="s">
        <v>2203</v>
      </c>
      <c r="F566" s="269" t="s">
        <v>1804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1152</v>
      </c>
      <c r="E567" s="292" t="s">
        <v>2206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1152</v>
      </c>
      <c r="E568" s="292" t="s">
        <v>2409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1588</v>
      </c>
      <c r="E569" s="292" t="s">
        <v>1130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2417</v>
      </c>
      <c r="E570" s="292" t="s">
        <v>2416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1730</v>
      </c>
      <c r="E571" s="292" t="s">
        <v>2199</v>
      </c>
      <c r="F571" s="269" t="s">
        <v>1214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2441</v>
      </c>
      <c r="F572" s="269" t="s">
        <v>1222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2373</v>
      </c>
      <c r="E573" s="292" t="s">
        <v>2267</v>
      </c>
      <c r="F573" s="269" t="s">
        <v>2266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2373</v>
      </c>
      <c r="E574" s="292" t="s">
        <v>2067</v>
      </c>
      <c r="F574" s="269" t="s">
        <v>2446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1152</v>
      </c>
      <c r="E575" s="292" t="s">
        <v>2425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1152</v>
      </c>
      <c r="E576" s="292" t="s">
        <v>1885</v>
      </c>
      <c r="F576" s="269" t="s">
        <v>2426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1730</v>
      </c>
      <c r="E577" s="292" t="s">
        <v>1752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2430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1452</v>
      </c>
      <c r="E579" s="292" t="s">
        <v>2208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1407</v>
      </c>
      <c r="E580" s="292" t="s">
        <v>2208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1588</v>
      </c>
      <c r="E581" s="292" t="s">
        <v>2199</v>
      </c>
      <c r="F581" s="269" t="s">
        <v>1214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1588</v>
      </c>
      <c r="E582" s="292" t="s">
        <v>2200</v>
      </c>
      <c r="F582" s="269" t="s">
        <v>1266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1281</v>
      </c>
      <c r="E583" s="292" t="s">
        <v>2447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1585</v>
      </c>
      <c r="E584" s="292" t="s">
        <v>2435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1585</v>
      </c>
      <c r="E585" s="292" t="s">
        <v>2437</v>
      </c>
      <c r="F585" s="269" t="s">
        <v>2436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1585</v>
      </c>
      <c r="E586" s="292" t="s">
        <v>2439</v>
      </c>
      <c r="F586" s="269" t="s">
        <v>2438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1585</v>
      </c>
      <c r="E587" s="292" t="s">
        <v>2204</v>
      </c>
      <c r="F587" s="269" t="s">
        <v>1833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2422</v>
      </c>
      <c r="E588" s="292" t="s">
        <v>1130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1452</v>
      </c>
      <c r="E589" s="292" t="s">
        <v>2442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1452</v>
      </c>
      <c r="E590" s="292" t="s">
        <v>2443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1452</v>
      </c>
      <c r="E591" s="292" t="s">
        <v>2444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1452</v>
      </c>
      <c r="E592" s="292" t="s">
        <v>2445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1130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2270</v>
      </c>
      <c r="E594" s="292" t="s">
        <v>1130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1130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1407</v>
      </c>
      <c r="E596" s="292" t="s">
        <v>2352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2113</v>
      </c>
      <c r="E597" s="292" t="s">
        <v>1130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1604</v>
      </c>
      <c r="E598" s="292" t="s">
        <v>1130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2377</v>
      </c>
      <c r="E599" s="292" t="s">
        <v>2463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1756</v>
      </c>
      <c r="E600" s="292" t="s">
        <v>2202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1756</v>
      </c>
      <c r="E601" s="292" t="s">
        <v>2200</v>
      </c>
      <c r="F601" s="269" t="s">
        <v>1266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1309</v>
      </c>
      <c r="E602" s="292" t="s">
        <v>2740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1313</v>
      </c>
      <c r="E603" s="292" t="s">
        <v>2467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1313</v>
      </c>
      <c r="E604" s="292" t="s">
        <v>2116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1585</v>
      </c>
      <c r="E605" s="292" t="s">
        <v>2217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1585</v>
      </c>
      <c r="E606" s="292" t="s">
        <v>1527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1452</v>
      </c>
      <c r="E607" s="292" t="s">
        <v>2470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2331</v>
      </c>
      <c r="E608" s="292" t="s">
        <v>2472</v>
      </c>
      <c r="F608" s="269" t="s">
        <v>1205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1905</v>
      </c>
      <c r="E609" s="292" t="s">
        <v>1210</v>
      </c>
      <c r="F609" s="269" t="s">
        <v>1368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1452</v>
      </c>
      <c r="E610" s="292" t="s">
        <v>2475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1464</v>
      </c>
      <c r="E611" s="292" t="s">
        <v>1130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2477</v>
      </c>
      <c r="D612" s="295" t="s">
        <v>1220</v>
      </c>
      <c r="E612" s="292" t="s">
        <v>2478</v>
      </c>
      <c r="F612" s="269" t="s">
        <v>1219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1313</v>
      </c>
      <c r="E613" s="292" t="s">
        <v>1130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1130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2488</v>
      </c>
      <c r="E615" s="292" t="s">
        <v>1210</v>
      </c>
      <c r="F615" s="269" t="s">
        <v>1761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1460</v>
      </c>
      <c r="E616" s="292" t="s">
        <v>1212</v>
      </c>
      <c r="F616" s="269" t="s">
        <v>1211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1380</v>
      </c>
      <c r="E617" s="292" t="s">
        <v>1744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2479</v>
      </c>
      <c r="E618" s="292" t="s">
        <v>1725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1457</v>
      </c>
      <c r="E619" s="292" t="s">
        <v>1210</v>
      </c>
      <c r="F619" s="269" t="s">
        <v>1761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2377</v>
      </c>
      <c r="E620" s="292" t="s">
        <v>1130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2479</v>
      </c>
      <c r="E621" s="292" t="s">
        <v>1130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2331</v>
      </c>
      <c r="E622" s="292" t="s">
        <v>1130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1457</v>
      </c>
      <c r="E623" s="292" t="s">
        <v>1130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1496</v>
      </c>
      <c r="E624" s="292" t="s">
        <v>2192</v>
      </c>
      <c r="F624" s="269" t="s">
        <v>1208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1496</v>
      </c>
      <c r="E625" s="292" t="s">
        <v>2193</v>
      </c>
      <c r="F625" s="269" t="s">
        <v>1812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1481</v>
      </c>
      <c r="E626" s="292" t="s">
        <v>2208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1487</v>
      </c>
      <c r="E627" s="292" t="s">
        <v>1212</v>
      </c>
      <c r="F627" s="269" t="s">
        <v>1211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2488</v>
      </c>
      <c r="E628" s="292" t="s">
        <v>1130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2160</v>
      </c>
      <c r="E629" s="292" t="s">
        <v>1130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2498</v>
      </c>
      <c r="E630" s="292" t="s">
        <v>1725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1905</v>
      </c>
      <c r="E631" s="292" t="s">
        <v>1130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1087</v>
      </c>
      <c r="E632" s="292" t="s">
        <v>1130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2203</v>
      </c>
      <c r="F633" s="269" t="s">
        <v>1804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2204</v>
      </c>
      <c r="F634" s="269" t="s">
        <v>1833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1818</v>
      </c>
      <c r="E635" s="292" t="s">
        <v>2190</v>
      </c>
      <c r="F635" s="269" t="s">
        <v>1472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1992</v>
      </c>
      <c r="E636" s="292" t="s">
        <v>2198</v>
      </c>
      <c r="F636" s="269" t="s">
        <v>1207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2508</v>
      </c>
      <c r="E637" s="292" t="s">
        <v>2192</v>
      </c>
      <c r="F637" s="269" t="s">
        <v>1208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2508</v>
      </c>
      <c r="E638" s="292" t="s">
        <v>2193</v>
      </c>
      <c r="F638" s="269" t="s">
        <v>1812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1337</v>
      </c>
      <c r="E639" s="292" t="s">
        <v>2706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1477</v>
      </c>
      <c r="E640" s="292" t="s">
        <v>2512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1502</v>
      </c>
      <c r="E641" s="292" t="s">
        <v>2311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1502</v>
      </c>
      <c r="E642" s="292" t="s">
        <v>1504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2508</v>
      </c>
      <c r="E643" s="292" t="s">
        <v>1130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1992</v>
      </c>
      <c r="E644" s="292" t="s">
        <v>1130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1407</v>
      </c>
      <c r="E645" s="292" t="s">
        <v>1752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2498</v>
      </c>
      <c r="E646" s="292" t="s">
        <v>1130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1549</v>
      </c>
      <c r="E647" s="292" t="s">
        <v>1752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1130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1462</v>
      </c>
      <c r="E649" s="292" t="s">
        <v>2139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1502</v>
      </c>
      <c r="E650" s="292" t="s">
        <v>1130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1569</v>
      </c>
      <c r="F651" s="269" t="s">
        <v>1777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2525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2718</v>
      </c>
      <c r="E653" s="292" t="s">
        <v>2719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1745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1407</v>
      </c>
      <c r="E655" s="292" t="s">
        <v>1752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1477</v>
      </c>
      <c r="E656" s="292" t="s">
        <v>1130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1487</v>
      </c>
      <c r="E657" s="292" t="s">
        <v>1130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1386</v>
      </c>
      <c r="E658" s="292" t="s">
        <v>1210</v>
      </c>
      <c r="F658" s="269" t="s">
        <v>1761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1386</v>
      </c>
      <c r="E659" s="292" t="s">
        <v>1504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1386</v>
      </c>
      <c r="E660" s="292" t="s">
        <v>1527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1386</v>
      </c>
      <c r="E661" s="292" t="s">
        <v>1130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1549</v>
      </c>
      <c r="E662" s="292" t="s">
        <v>2569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1549</v>
      </c>
      <c r="E663" s="292" t="s">
        <v>2571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1407</v>
      </c>
      <c r="E664" s="292" t="s">
        <v>1752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2572</v>
      </c>
      <c r="E665" s="292" t="s">
        <v>2190</v>
      </c>
      <c r="F665" s="269" t="s">
        <v>1472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2572</v>
      </c>
      <c r="E666" s="292" t="s">
        <v>1130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1460</v>
      </c>
      <c r="E667" s="292" t="s">
        <v>1130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2718</v>
      </c>
      <c r="E668" s="292" t="s">
        <v>1838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1407</v>
      </c>
      <c r="E669" s="292" t="s">
        <v>2582</v>
      </c>
      <c r="F669" s="269" t="s">
        <v>2581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1312</v>
      </c>
      <c r="E670" s="292" t="s">
        <v>2250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2796</v>
      </c>
      <c r="M670" s="269"/>
    </row>
    <row r="671" spans="1:13" x14ac:dyDescent="0.3">
      <c r="A671" s="271">
        <v>670</v>
      </c>
      <c r="B671" s="264">
        <v>45826</v>
      </c>
      <c r="C671" s="292" t="s">
        <v>1989</v>
      </c>
      <c r="E671" s="292" t="s">
        <v>2209</v>
      </c>
      <c r="F671" s="269" t="s">
        <v>1205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1989</v>
      </c>
      <c r="E672" s="292" t="s">
        <v>1527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1989</v>
      </c>
      <c r="E673" s="292" t="s">
        <v>2209</v>
      </c>
      <c r="F673" s="269" t="s">
        <v>1205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2304</v>
      </c>
      <c r="E674" s="292" t="s">
        <v>2049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2304</v>
      </c>
      <c r="E675" s="292" t="s">
        <v>1130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1462</v>
      </c>
      <c r="E676" s="292" t="s">
        <v>1130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1989</v>
      </c>
      <c r="E677" s="292" t="s">
        <v>1130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1730</v>
      </c>
      <c r="E678" s="292" t="s">
        <v>2342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1407</v>
      </c>
      <c r="E679" s="292" t="s">
        <v>1210</v>
      </c>
      <c r="F679" s="269" t="s">
        <v>1761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1407</v>
      </c>
      <c r="E680" s="292" t="s">
        <v>1861</v>
      </c>
      <c r="F680" s="269" t="s">
        <v>1860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1989</v>
      </c>
      <c r="E681" s="292" t="s">
        <v>2217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1457</v>
      </c>
      <c r="E682" s="292" t="s">
        <v>1210</v>
      </c>
      <c r="F682" s="269" t="s">
        <v>1761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2572</v>
      </c>
      <c r="E683" s="292" t="s">
        <v>1210</v>
      </c>
      <c r="F683" s="269" t="s">
        <v>1761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2572</v>
      </c>
      <c r="E684" s="292" t="s">
        <v>1130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1407</v>
      </c>
      <c r="E685" s="292" t="s">
        <v>2192</v>
      </c>
      <c r="F685" s="269" t="s">
        <v>1208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1407</v>
      </c>
      <c r="E686" s="292" t="s">
        <v>2193</v>
      </c>
      <c r="F686" s="269" t="s">
        <v>1812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1452</v>
      </c>
      <c r="E687" s="292" t="s">
        <v>2190</v>
      </c>
      <c r="F687" s="269" t="s">
        <v>1472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1343</v>
      </c>
      <c r="E688" s="292" t="s">
        <v>2675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2422</v>
      </c>
      <c r="E689" s="292" t="s">
        <v>2039</v>
      </c>
      <c r="F689" s="269" t="s">
        <v>1223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1585</v>
      </c>
      <c r="E690" s="292" t="s">
        <v>2603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1585</v>
      </c>
      <c r="E691" s="292" t="s">
        <v>1768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1585</v>
      </c>
      <c r="E692" s="292" t="s">
        <v>2124</v>
      </c>
      <c r="F692" s="269" t="s">
        <v>2598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1585</v>
      </c>
      <c r="E693" s="292" t="s">
        <v>2605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1989</v>
      </c>
      <c r="E694" s="292" t="s">
        <v>1130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1818</v>
      </c>
      <c r="E695" s="292" t="s">
        <v>1130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1328</v>
      </c>
      <c r="E696" s="292" t="s">
        <v>2267</v>
      </c>
      <c r="F696" s="269" t="s">
        <v>2266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1328</v>
      </c>
      <c r="E697" s="292" t="s">
        <v>2628</v>
      </c>
      <c r="F697" s="269" t="s">
        <v>1764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2422</v>
      </c>
      <c r="E698" s="292" t="s">
        <v>1130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1549</v>
      </c>
      <c r="E699" s="292" t="s">
        <v>1130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1588</v>
      </c>
      <c r="E700" s="292" t="s">
        <v>1210</v>
      </c>
      <c r="F700" s="269" t="s">
        <v>1761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1588</v>
      </c>
      <c r="E701" s="292" t="s">
        <v>1713</v>
      </c>
      <c r="F701" s="269" t="s">
        <v>1712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2227</v>
      </c>
      <c r="E702" s="292" t="s">
        <v>1226</v>
      </c>
      <c r="F702" s="269" t="s">
        <v>2174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2227</v>
      </c>
      <c r="E703" s="292" t="s">
        <v>2350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1549</v>
      </c>
      <c r="E704" s="292" t="s">
        <v>1210</v>
      </c>
      <c r="F704" s="269" t="s">
        <v>1761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1549</v>
      </c>
      <c r="E705" s="292" t="s">
        <v>1711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1549</v>
      </c>
      <c r="E706" s="292" t="s">
        <v>1504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2618</v>
      </c>
      <c r="E707" s="292" t="s">
        <v>1210</v>
      </c>
      <c r="F707" s="269" t="s">
        <v>1761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2618</v>
      </c>
      <c r="E708" s="292" t="s">
        <v>1527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1588</v>
      </c>
      <c r="E709" s="292" t="s">
        <v>1273</v>
      </c>
      <c r="F709" s="269" t="s">
        <v>1272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1457</v>
      </c>
      <c r="E710" s="292" t="s">
        <v>1130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1588</v>
      </c>
      <c r="E711" s="292" t="s">
        <v>1130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2626</v>
      </c>
      <c r="E712" s="292" t="s">
        <v>1725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2626</v>
      </c>
      <c r="E713" s="292" t="s">
        <v>1755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2613</v>
      </c>
      <c r="E714" s="292" t="s">
        <v>1130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1594</v>
      </c>
      <c r="E715" s="292" t="s">
        <v>1752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2690</v>
      </c>
      <c r="E716" s="292" t="s">
        <v>2691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1730</v>
      </c>
      <c r="E717" s="292" t="s">
        <v>2632</v>
      </c>
      <c r="F717" s="269" t="s">
        <v>2631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1756</v>
      </c>
      <c r="E718" s="292" t="s">
        <v>1130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2618</v>
      </c>
      <c r="E719" s="292" t="s">
        <v>1130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2634</v>
      </c>
      <c r="E720" s="292" t="s">
        <v>1212</v>
      </c>
      <c r="F720" s="269" t="s">
        <v>1571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2634</v>
      </c>
      <c r="E721" s="292" t="s">
        <v>1130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2641</v>
      </c>
      <c r="E722" s="292" t="s">
        <v>2640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1695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1452</v>
      </c>
      <c r="E724" s="292" t="s">
        <v>2643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1152</v>
      </c>
      <c r="E725" s="292" t="s">
        <v>1504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1152</v>
      </c>
      <c r="E726" s="292" t="s">
        <v>2647</v>
      </c>
      <c r="M726" s="269"/>
    </row>
    <row r="727" spans="1:14" x14ac:dyDescent="0.3">
      <c r="A727" s="271">
        <v>726</v>
      </c>
      <c r="B727" s="264">
        <v>45832</v>
      </c>
      <c r="C727" s="292" t="s">
        <v>1588</v>
      </c>
      <c r="E727" s="292" t="s">
        <v>2192</v>
      </c>
      <c r="F727" s="269" t="s">
        <v>1208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1588</v>
      </c>
      <c r="E728" s="292" t="s">
        <v>2193</v>
      </c>
      <c r="F728" s="269" t="s">
        <v>1812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1312</v>
      </c>
      <c r="E729" s="292" t="s">
        <v>1226</v>
      </c>
      <c r="F729" s="269" t="s">
        <v>2174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1312</v>
      </c>
      <c r="E730" s="292" t="s">
        <v>2688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2650</v>
      </c>
      <c r="E731" s="292" t="s">
        <v>1504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1730</v>
      </c>
      <c r="E732" s="292" t="s">
        <v>2198</v>
      </c>
      <c r="F732" s="269" t="s">
        <v>1207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1549</v>
      </c>
      <c r="E733" s="292" t="s">
        <v>2193</v>
      </c>
      <c r="F733" s="269" t="s">
        <v>1812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2192</v>
      </c>
      <c r="F734" s="269" t="s">
        <v>1208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2193</v>
      </c>
      <c r="F735" s="269" t="s">
        <v>1812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1589</v>
      </c>
      <c r="F736" s="269" t="s">
        <v>1934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1905</v>
      </c>
      <c r="E737" s="292" t="s">
        <v>1210</v>
      </c>
      <c r="F737" s="269" t="s">
        <v>1761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1320</v>
      </c>
      <c r="E738" s="292" t="s">
        <v>2672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2661</v>
      </c>
      <c r="E739" s="292" t="s">
        <v>2311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1606</v>
      </c>
      <c r="E740" s="292" t="s">
        <v>1130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1145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1594</v>
      </c>
      <c r="E742" s="292" t="s">
        <v>1752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2661</v>
      </c>
      <c r="E743" s="292" t="s">
        <v>1130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2650</v>
      </c>
      <c r="E744" s="292" t="s">
        <v>1130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1324</v>
      </c>
      <c r="E745" s="292" t="s">
        <v>2685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1337</v>
      </c>
      <c r="E746" s="292" t="s">
        <v>2681</v>
      </c>
      <c r="F746" s="269" t="s">
        <v>1741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1730</v>
      </c>
      <c r="E747" s="292" t="s">
        <v>2682</v>
      </c>
      <c r="F747" s="269" t="s">
        <v>1804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1407</v>
      </c>
      <c r="E748" s="292" t="s">
        <v>2192</v>
      </c>
      <c r="F748" s="269" t="s">
        <v>1208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1407</v>
      </c>
      <c r="E749" s="292" t="s">
        <v>2193</v>
      </c>
      <c r="F749" s="269" t="s">
        <v>1812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1130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1407</v>
      </c>
      <c r="E751" s="292" t="s">
        <v>1711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1309</v>
      </c>
      <c r="E752" s="292" t="s">
        <v>2687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2514</v>
      </c>
      <c r="E754" s="292" t="s">
        <v>1130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2488</v>
      </c>
      <c r="E755" s="292" t="s">
        <v>1130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1407</v>
      </c>
      <c r="E756" s="292" t="s">
        <v>2302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2214</v>
      </c>
      <c r="F757" s="269" t="s">
        <v>1967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2193</v>
      </c>
      <c r="F758" s="269" t="s">
        <v>1812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1386</v>
      </c>
      <c r="E760" s="292" t="s">
        <v>1725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1386</v>
      </c>
      <c r="E761" s="292" t="s">
        <v>1866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1297</v>
      </c>
      <c r="E762" s="292" t="s">
        <v>2928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2192</v>
      </c>
      <c r="F763" s="269" t="s">
        <v>1208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2193</v>
      </c>
      <c r="F764" s="269" t="s">
        <v>1812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1130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1585</v>
      </c>
      <c r="E766" s="292" t="s">
        <v>1212</v>
      </c>
      <c r="F766" s="269" t="s">
        <v>1211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1481</v>
      </c>
      <c r="E767" s="292" t="s">
        <v>1130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1730</v>
      </c>
      <c r="E768" s="292" t="s">
        <v>1569</v>
      </c>
      <c r="F768" s="269" t="s">
        <v>2715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1481</v>
      </c>
      <c r="E769" s="292" t="s">
        <v>2208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1594</v>
      </c>
      <c r="E770" s="292" t="s">
        <v>1130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2304</v>
      </c>
      <c r="E771" s="292" t="s">
        <v>1753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2641</v>
      </c>
      <c r="E772" s="292" t="s">
        <v>1130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1343</v>
      </c>
      <c r="E773" s="292" t="s">
        <v>2267</v>
      </c>
      <c r="F773" s="269" t="s">
        <v>2266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1087</v>
      </c>
      <c r="E774" s="292" t="s">
        <v>2731</v>
      </c>
      <c r="F774" s="269" t="s">
        <v>2730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2737</v>
      </c>
      <c r="E775" s="292" t="s">
        <v>2350</v>
      </c>
      <c r="F775" s="269" t="s">
        <v>2738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1452</v>
      </c>
      <c r="E776" s="292" t="s">
        <v>2192</v>
      </c>
      <c r="F776" s="269" t="s">
        <v>1208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1452</v>
      </c>
      <c r="E777" s="292" t="s">
        <v>2193</v>
      </c>
      <c r="F777" s="269" t="s">
        <v>1812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1730</v>
      </c>
      <c r="E778" s="292" t="s">
        <v>2200</v>
      </c>
      <c r="F778" s="269" t="s">
        <v>1266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1992</v>
      </c>
      <c r="E779" s="292" t="s">
        <v>2192</v>
      </c>
      <c r="F779" s="269" t="s">
        <v>1208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1992</v>
      </c>
      <c r="E780" s="292" t="s">
        <v>2193</v>
      </c>
      <c r="F780" s="269" t="s">
        <v>1812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1475</v>
      </c>
      <c r="E781" s="292" t="s">
        <v>2190</v>
      </c>
      <c r="F781" s="269" t="s">
        <v>1472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2722</v>
      </c>
      <c r="E782" s="292" t="s">
        <v>1130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1905</v>
      </c>
      <c r="E783" s="292" t="s">
        <v>1130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2304</v>
      </c>
      <c r="E784" s="292" t="s">
        <v>1130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1549</v>
      </c>
      <c r="E785" s="292" t="s">
        <v>1130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1585</v>
      </c>
      <c r="E786" s="292" t="s">
        <v>1130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1588</v>
      </c>
      <c r="E787" s="292" t="s">
        <v>1130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1152</v>
      </c>
      <c r="E788" s="292" t="s">
        <v>1130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1305</v>
      </c>
      <c r="E789" s="292" t="s">
        <v>1678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1386</v>
      </c>
      <c r="E790" s="292" t="s">
        <v>2741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1130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2743</v>
      </c>
      <c r="E792" s="292" t="s">
        <v>2742</v>
      </c>
      <c r="G792" s="265">
        <v>150000</v>
      </c>
      <c r="H792" s="269">
        <v>1</v>
      </c>
      <c r="K792" s="265">
        <v>150000</v>
      </c>
      <c r="M792" s="269"/>
      <c r="N792" t="s">
        <v>2881</v>
      </c>
    </row>
    <row r="793" spans="1:14" x14ac:dyDescent="0.3">
      <c r="A793" s="271">
        <v>792</v>
      </c>
      <c r="B793" s="264">
        <v>45839</v>
      </c>
      <c r="C793" s="292" t="s">
        <v>1487</v>
      </c>
      <c r="E793" s="292" t="s">
        <v>1753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2881</v>
      </c>
    </row>
    <row r="794" spans="1:14" x14ac:dyDescent="0.3">
      <c r="A794" s="271">
        <v>793</v>
      </c>
      <c r="B794" s="264">
        <v>45839</v>
      </c>
      <c r="C794" s="292" t="s">
        <v>1588</v>
      </c>
      <c r="E794" s="292" t="s">
        <v>1212</v>
      </c>
      <c r="F794" s="269" t="s">
        <v>1211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2881</v>
      </c>
    </row>
    <row r="795" spans="1:14" x14ac:dyDescent="0.3">
      <c r="A795" s="271">
        <v>794</v>
      </c>
      <c r="B795" s="264">
        <v>45839</v>
      </c>
      <c r="C795" s="292" t="s">
        <v>1380</v>
      </c>
      <c r="E795" s="292" t="s">
        <v>1755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1297</v>
      </c>
      <c r="E796" s="292" t="s">
        <v>2748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1407</v>
      </c>
      <c r="E797" s="292" t="s">
        <v>1130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1407</v>
      </c>
      <c r="E798" s="292" t="s">
        <v>2749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2750</v>
      </c>
      <c r="E799" s="292" t="s">
        <v>2355</v>
      </c>
      <c r="G799" s="265">
        <v>150000</v>
      </c>
      <c r="H799" s="269">
        <v>1</v>
      </c>
      <c r="K799" s="265">
        <v>150000</v>
      </c>
      <c r="M799" s="269"/>
      <c r="N799" t="s">
        <v>2881</v>
      </c>
    </row>
    <row r="800" spans="1:14" x14ac:dyDescent="0.3">
      <c r="A800" s="271">
        <v>799</v>
      </c>
      <c r="B800" s="264">
        <v>45839</v>
      </c>
      <c r="C800" s="292" t="s">
        <v>1452</v>
      </c>
      <c r="E800" s="292" t="s">
        <v>1711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2881</v>
      </c>
    </row>
    <row r="801" spans="1:14" x14ac:dyDescent="0.3">
      <c r="A801" s="271">
        <v>800</v>
      </c>
      <c r="B801" s="264">
        <v>45839</v>
      </c>
      <c r="C801" s="292" t="s">
        <v>1452</v>
      </c>
      <c r="E801" s="292" t="s">
        <v>2685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2881</v>
      </c>
    </row>
    <row r="802" spans="1:14" x14ac:dyDescent="0.3">
      <c r="A802" s="271">
        <v>801</v>
      </c>
      <c r="B802" s="264">
        <v>45839</v>
      </c>
      <c r="C802" s="292" t="s">
        <v>2750</v>
      </c>
      <c r="E802" s="292" t="s">
        <v>1130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1992</v>
      </c>
      <c r="E803" s="292" t="s">
        <v>1130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2758</v>
      </c>
      <c r="E804" s="292" t="s">
        <v>2311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2881</v>
      </c>
    </row>
    <row r="805" spans="1:14" x14ac:dyDescent="0.3">
      <c r="A805" s="271">
        <v>804</v>
      </c>
      <c r="B805" s="264">
        <v>45840</v>
      </c>
      <c r="C805" s="292" t="s">
        <v>2760</v>
      </c>
      <c r="E805" s="292" t="s">
        <v>1210</v>
      </c>
      <c r="F805" s="269" t="s">
        <v>1761</v>
      </c>
      <c r="G805" s="265">
        <v>1200000</v>
      </c>
      <c r="H805" s="269">
        <v>1</v>
      </c>
      <c r="K805" s="265">
        <v>1200000</v>
      </c>
      <c r="M805" s="269"/>
      <c r="N805" t="s">
        <v>2881</v>
      </c>
    </row>
    <row r="806" spans="1:14" x14ac:dyDescent="0.3">
      <c r="A806" s="271">
        <v>805</v>
      </c>
      <c r="B806" s="264">
        <v>45840</v>
      </c>
      <c r="C806" s="292" t="s">
        <v>2760</v>
      </c>
      <c r="E806" s="292" t="s">
        <v>2765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1588</v>
      </c>
      <c r="E807" s="292" t="s">
        <v>1130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1588</v>
      </c>
      <c r="E808" s="292" t="s">
        <v>1273</v>
      </c>
      <c r="F808" s="269" t="s">
        <v>1272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2881</v>
      </c>
    </row>
    <row r="809" spans="1:14" x14ac:dyDescent="0.3">
      <c r="A809" s="271">
        <v>808</v>
      </c>
      <c r="B809" s="264">
        <v>45840</v>
      </c>
      <c r="C809" s="292" t="s">
        <v>1972</v>
      </c>
      <c r="E809" s="292" t="s">
        <v>2192</v>
      </c>
      <c r="F809" s="269" t="s">
        <v>1208</v>
      </c>
      <c r="G809" s="265">
        <v>1500000</v>
      </c>
      <c r="H809" s="269">
        <v>1</v>
      </c>
      <c r="K809" s="265">
        <v>1500000</v>
      </c>
      <c r="M809" s="269"/>
      <c r="N809" t="s">
        <v>2881</v>
      </c>
    </row>
    <row r="810" spans="1:14" x14ac:dyDescent="0.3">
      <c r="A810" s="271">
        <v>809</v>
      </c>
      <c r="B810" s="264">
        <v>45840</v>
      </c>
      <c r="C810" s="292" t="s">
        <v>1972</v>
      </c>
      <c r="E810" s="292" t="s">
        <v>2193</v>
      </c>
      <c r="F810" s="269" t="s">
        <v>1812</v>
      </c>
      <c r="G810" s="265">
        <v>50000</v>
      </c>
      <c r="H810" s="269">
        <v>1</v>
      </c>
      <c r="K810" s="265">
        <v>50000</v>
      </c>
      <c r="M810" s="269"/>
      <c r="N810" t="s">
        <v>2881</v>
      </c>
    </row>
    <row r="811" spans="1:14" x14ac:dyDescent="0.3">
      <c r="A811" s="271">
        <v>810</v>
      </c>
      <c r="B811" s="264">
        <v>45840</v>
      </c>
      <c r="C811" s="292" t="s">
        <v>1972</v>
      </c>
      <c r="E811" s="292" t="s">
        <v>2194</v>
      </c>
      <c r="F811" s="269" t="s">
        <v>2229</v>
      </c>
      <c r="G811" s="265">
        <v>250000</v>
      </c>
      <c r="H811" s="269">
        <v>1</v>
      </c>
      <c r="K811" s="265">
        <v>250000</v>
      </c>
      <c r="M811" s="269"/>
      <c r="N811" t="s">
        <v>2881</v>
      </c>
    </row>
    <row r="812" spans="1:14" x14ac:dyDescent="0.3">
      <c r="A812" s="271">
        <v>811</v>
      </c>
      <c r="B812" s="264">
        <v>45840</v>
      </c>
      <c r="C812" s="292" t="s">
        <v>1972</v>
      </c>
      <c r="E812" s="292" t="s">
        <v>2195</v>
      </c>
      <c r="F812" s="269" t="s">
        <v>1728</v>
      </c>
      <c r="G812" s="265">
        <v>70000</v>
      </c>
      <c r="H812" s="269">
        <v>1</v>
      </c>
      <c r="K812" s="265">
        <v>70000</v>
      </c>
      <c r="M812" s="269"/>
      <c r="N812" t="s">
        <v>2881</v>
      </c>
    </row>
    <row r="813" spans="1:14" x14ac:dyDescent="0.3">
      <c r="A813" s="271">
        <v>812</v>
      </c>
      <c r="B813" s="264">
        <v>45840</v>
      </c>
      <c r="C813" s="292" t="s">
        <v>1335</v>
      </c>
      <c r="E813" s="292" t="s">
        <v>1226</v>
      </c>
      <c r="F813" s="269" t="s">
        <v>2174</v>
      </c>
      <c r="G813" s="265">
        <v>1200000</v>
      </c>
      <c r="H813" s="269">
        <v>1</v>
      </c>
      <c r="K813" s="265">
        <v>1200000</v>
      </c>
      <c r="M813" s="269"/>
      <c r="N813" t="s">
        <v>2881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2192</v>
      </c>
      <c r="F814" s="269" t="s">
        <v>1208</v>
      </c>
      <c r="G814" s="265">
        <v>1500000</v>
      </c>
      <c r="H814" s="269">
        <v>1</v>
      </c>
      <c r="K814" s="265">
        <v>1500000</v>
      </c>
      <c r="M814" s="269"/>
      <c r="N814" t="s">
        <v>2881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2193</v>
      </c>
      <c r="F815" s="269" t="s">
        <v>1812</v>
      </c>
      <c r="G815" s="265">
        <v>50000</v>
      </c>
      <c r="H815" s="269">
        <v>1</v>
      </c>
      <c r="K815" s="265">
        <v>50000</v>
      </c>
      <c r="M815" s="269"/>
      <c r="N815" t="s">
        <v>2881</v>
      </c>
    </row>
    <row r="816" spans="1:14" x14ac:dyDescent="0.3">
      <c r="A816" s="271">
        <v>815</v>
      </c>
      <c r="B816" s="264">
        <v>45841</v>
      </c>
      <c r="C816" s="292" t="s">
        <v>2743</v>
      </c>
      <c r="E816" s="292" t="s">
        <v>1130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2780</v>
      </c>
      <c r="E817" s="292" t="s">
        <v>1569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2881</v>
      </c>
    </row>
    <row r="818" spans="1:14" x14ac:dyDescent="0.3">
      <c r="A818" s="271">
        <v>817</v>
      </c>
      <c r="B818" s="264">
        <v>45841</v>
      </c>
      <c r="C818" s="292" t="s">
        <v>1818</v>
      </c>
      <c r="E818" s="292" t="s">
        <v>1504</v>
      </c>
      <c r="F818" s="269" t="s">
        <v>2697</v>
      </c>
      <c r="G818" s="265">
        <v>350000</v>
      </c>
      <c r="H818" s="269">
        <v>1</v>
      </c>
      <c r="K818" s="265">
        <v>350000</v>
      </c>
      <c r="M818" s="269"/>
      <c r="N818" t="s">
        <v>2881</v>
      </c>
    </row>
    <row r="819" spans="1:14" x14ac:dyDescent="0.3">
      <c r="A819" s="271">
        <v>818</v>
      </c>
      <c r="B819" s="264">
        <v>45841</v>
      </c>
      <c r="C819" s="292" t="s">
        <v>2273</v>
      </c>
      <c r="E819" s="292" t="s">
        <v>1210</v>
      </c>
      <c r="F819" s="269" t="s">
        <v>1761</v>
      </c>
      <c r="G819" s="265">
        <v>1200000</v>
      </c>
      <c r="H819" s="269">
        <v>1</v>
      </c>
      <c r="K819" s="265">
        <v>1200000</v>
      </c>
      <c r="M819" s="269"/>
      <c r="N819" t="s">
        <v>2881</v>
      </c>
    </row>
    <row r="820" spans="1:14" x14ac:dyDescent="0.3">
      <c r="A820" s="271">
        <v>819</v>
      </c>
      <c r="B820" s="264">
        <v>45841</v>
      </c>
      <c r="C820" s="292" t="s">
        <v>1294</v>
      </c>
      <c r="E820" s="292" t="s">
        <v>1226</v>
      </c>
      <c r="F820" s="269" t="s">
        <v>2174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2881</v>
      </c>
    </row>
    <row r="821" spans="1:14" x14ac:dyDescent="0.3">
      <c r="A821" s="271">
        <v>820</v>
      </c>
      <c r="B821" s="264">
        <v>45841</v>
      </c>
      <c r="C821" s="292" t="s">
        <v>2780</v>
      </c>
      <c r="E821" s="292" t="s">
        <v>1130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2273</v>
      </c>
      <c r="E822" s="292" t="s">
        <v>1130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1972</v>
      </c>
      <c r="E823" s="292" t="s">
        <v>1130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2787</v>
      </c>
      <c r="E824" s="292" t="s">
        <v>2267</v>
      </c>
      <c r="F824" s="269" t="s">
        <v>2266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2881</v>
      </c>
    </row>
    <row r="825" spans="1:14" x14ac:dyDescent="0.3">
      <c r="A825" s="271">
        <v>824</v>
      </c>
      <c r="B825" s="264">
        <v>45842</v>
      </c>
      <c r="C825" s="292" t="s">
        <v>2787</v>
      </c>
      <c r="E825" s="292" t="s">
        <v>2628</v>
      </c>
      <c r="F825" s="269" t="s">
        <v>1764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2881</v>
      </c>
    </row>
    <row r="826" spans="1:14" x14ac:dyDescent="0.3">
      <c r="A826" s="271">
        <v>825</v>
      </c>
      <c r="B826" s="264">
        <v>45842</v>
      </c>
      <c r="C826" s="292" t="s">
        <v>1087</v>
      </c>
      <c r="E826" s="292" t="s">
        <v>1130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2790</v>
      </c>
      <c r="E827" s="292" t="s">
        <v>1130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1087</v>
      </c>
      <c r="E828" s="292" t="s">
        <v>2749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1606</v>
      </c>
      <c r="E829" s="292" t="s">
        <v>1210</v>
      </c>
      <c r="F829" s="269" t="s">
        <v>1761</v>
      </c>
      <c r="G829" s="265">
        <v>1000000</v>
      </c>
      <c r="H829" s="269">
        <v>1</v>
      </c>
      <c r="K829" s="265">
        <v>1000000</v>
      </c>
      <c r="M829" s="269"/>
      <c r="N829" t="s">
        <v>2881</v>
      </c>
    </row>
    <row r="830" spans="1:14" x14ac:dyDescent="0.3">
      <c r="A830" s="271">
        <v>829</v>
      </c>
      <c r="B830" s="264">
        <v>45842</v>
      </c>
      <c r="C830" s="292" t="s">
        <v>1588</v>
      </c>
      <c r="E830" s="292" t="s">
        <v>1713</v>
      </c>
      <c r="F830" s="269" t="s">
        <v>1712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2881</v>
      </c>
    </row>
    <row r="831" spans="1:14" x14ac:dyDescent="0.3">
      <c r="A831" s="271">
        <v>830</v>
      </c>
      <c r="B831" s="264">
        <v>45842</v>
      </c>
      <c r="C831" s="292" t="s">
        <v>1297</v>
      </c>
      <c r="E831" s="292" t="s">
        <v>2593</v>
      </c>
      <c r="F831" s="269" t="s">
        <v>2592</v>
      </c>
      <c r="G831" s="265">
        <v>1500000</v>
      </c>
      <c r="H831" s="269">
        <v>1</v>
      </c>
      <c r="J831" s="266" t="s">
        <v>2925</v>
      </c>
      <c r="K831" s="265">
        <v>1650000</v>
      </c>
      <c r="M831" s="269"/>
      <c r="N831" t="s">
        <v>2881</v>
      </c>
    </row>
    <row r="832" spans="1:14" x14ac:dyDescent="0.3">
      <c r="A832" s="271">
        <v>831</v>
      </c>
      <c r="B832" s="264">
        <v>45842</v>
      </c>
      <c r="C832" s="292" t="s">
        <v>1152</v>
      </c>
      <c r="E832" s="292" t="s">
        <v>1210</v>
      </c>
      <c r="F832" s="269" t="s">
        <v>1761</v>
      </c>
      <c r="G832" s="265">
        <v>1200000</v>
      </c>
      <c r="H832" s="269">
        <v>1</v>
      </c>
      <c r="K832" s="265">
        <v>1200000</v>
      </c>
      <c r="M832" s="269"/>
      <c r="N832" t="s">
        <v>2881</v>
      </c>
    </row>
    <row r="833" spans="1:14" x14ac:dyDescent="0.3">
      <c r="A833" s="271">
        <v>832</v>
      </c>
      <c r="B833" s="264">
        <v>45842</v>
      </c>
      <c r="C833" s="292" t="s">
        <v>2758</v>
      </c>
      <c r="E833" s="292" t="s">
        <v>1130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1481</v>
      </c>
      <c r="E834" s="292" t="s">
        <v>1130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1818</v>
      </c>
      <c r="E835" s="292" t="s">
        <v>1130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1606</v>
      </c>
      <c r="E836" s="292" t="s">
        <v>1130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1730</v>
      </c>
      <c r="E837" s="292" t="s">
        <v>1130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1549</v>
      </c>
      <c r="E838" s="292" t="s">
        <v>1210</v>
      </c>
      <c r="F838" s="269" t="s">
        <v>1761</v>
      </c>
      <c r="G838" s="265">
        <v>1200000</v>
      </c>
      <c r="H838" s="269">
        <v>1</v>
      </c>
      <c r="K838" s="265">
        <v>1200000</v>
      </c>
      <c r="M838" s="269"/>
      <c r="N838" t="s">
        <v>2881</v>
      </c>
    </row>
    <row r="839" spans="1:14" x14ac:dyDescent="0.3">
      <c r="A839" s="271">
        <v>838</v>
      </c>
      <c r="B839" s="264">
        <v>45843</v>
      </c>
      <c r="C839" s="292" t="s">
        <v>1549</v>
      </c>
      <c r="E839" s="292" t="s">
        <v>1504</v>
      </c>
      <c r="F839" s="269" t="s">
        <v>2697</v>
      </c>
      <c r="G839" s="265">
        <v>350000</v>
      </c>
      <c r="H839" s="269">
        <v>1</v>
      </c>
      <c r="K839" s="265">
        <v>350000</v>
      </c>
      <c r="M839" s="269"/>
      <c r="N839" t="s">
        <v>2881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1130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1452</v>
      </c>
      <c r="E841" s="292" t="s">
        <v>1513</v>
      </c>
      <c r="G841" s="265">
        <v>1200000</v>
      </c>
      <c r="H841" s="269">
        <v>1</v>
      </c>
      <c r="K841" s="265">
        <v>1200000</v>
      </c>
      <c r="M841" s="269"/>
      <c r="N841" t="s">
        <v>2881</v>
      </c>
    </row>
    <row r="842" spans="1:14" x14ac:dyDescent="0.3">
      <c r="A842" s="271">
        <v>841</v>
      </c>
      <c r="B842" s="264">
        <v>45845</v>
      </c>
      <c r="C842" s="292" t="s">
        <v>1452</v>
      </c>
      <c r="E842" s="292" t="s">
        <v>1514</v>
      </c>
      <c r="G842" s="265">
        <v>100000</v>
      </c>
      <c r="H842" s="269">
        <v>1</v>
      </c>
      <c r="K842" s="265">
        <v>100000</v>
      </c>
      <c r="M842" s="269"/>
      <c r="N842" t="s">
        <v>2881</v>
      </c>
    </row>
    <row r="843" spans="1:14" x14ac:dyDescent="0.3">
      <c r="A843" s="271">
        <v>842</v>
      </c>
      <c r="B843" s="264">
        <v>45845</v>
      </c>
      <c r="C843" s="292" t="s">
        <v>1487</v>
      </c>
      <c r="E843" s="292" t="s">
        <v>2430</v>
      </c>
      <c r="F843" s="269" t="s">
        <v>2766</v>
      </c>
      <c r="G843" s="265">
        <v>1100000</v>
      </c>
      <c r="H843" s="269">
        <v>1</v>
      </c>
      <c r="K843" s="265">
        <v>1100000</v>
      </c>
      <c r="M843" s="269"/>
      <c r="N843" t="s">
        <v>2881</v>
      </c>
    </row>
    <row r="844" spans="1:14" x14ac:dyDescent="0.3">
      <c r="A844" s="271">
        <v>843</v>
      </c>
      <c r="B844" s="264">
        <v>45845</v>
      </c>
      <c r="C844" s="292" t="s">
        <v>2807</v>
      </c>
      <c r="E844" s="292" t="s">
        <v>2192</v>
      </c>
      <c r="F844" s="269" t="s">
        <v>1208</v>
      </c>
      <c r="G844" s="265">
        <v>1500000</v>
      </c>
      <c r="H844" s="269">
        <v>1</v>
      </c>
      <c r="K844" s="265">
        <v>1500000</v>
      </c>
      <c r="M844" s="269"/>
      <c r="N844" t="s">
        <v>2881</v>
      </c>
    </row>
    <row r="845" spans="1:14" x14ac:dyDescent="0.3">
      <c r="A845" s="271">
        <v>844</v>
      </c>
      <c r="B845" s="264">
        <v>45845</v>
      </c>
      <c r="C845" s="292" t="s">
        <v>2807</v>
      </c>
      <c r="E845" s="292" t="s">
        <v>2193</v>
      </c>
      <c r="F845" s="269" t="s">
        <v>1812</v>
      </c>
      <c r="G845" s="265">
        <v>50000</v>
      </c>
      <c r="H845" s="269">
        <v>1</v>
      </c>
      <c r="K845" s="265">
        <v>50000</v>
      </c>
      <c r="M845" s="269"/>
      <c r="N845" t="s">
        <v>2881</v>
      </c>
    </row>
    <row r="846" spans="1:14" x14ac:dyDescent="0.3">
      <c r="A846" s="271">
        <v>845</v>
      </c>
      <c r="B846" s="264">
        <v>45845</v>
      </c>
      <c r="C846" s="292" t="s">
        <v>2613</v>
      </c>
      <c r="E846" s="292" t="s">
        <v>2192</v>
      </c>
      <c r="F846" s="269" t="s">
        <v>1208</v>
      </c>
      <c r="G846" s="265">
        <v>1500000</v>
      </c>
      <c r="H846" s="269">
        <v>1</v>
      </c>
      <c r="K846" s="265">
        <v>1500000</v>
      </c>
      <c r="M846" s="269"/>
      <c r="N846" t="s">
        <v>2881</v>
      </c>
    </row>
    <row r="847" spans="1:14" x14ac:dyDescent="0.3">
      <c r="A847" s="271">
        <v>846</v>
      </c>
      <c r="B847" s="264">
        <v>45845</v>
      </c>
      <c r="C847" s="292" t="s">
        <v>2613</v>
      </c>
      <c r="E847" s="292" t="s">
        <v>2193</v>
      </c>
      <c r="F847" s="269" t="s">
        <v>1812</v>
      </c>
      <c r="G847" s="265">
        <v>50000</v>
      </c>
      <c r="H847" s="269">
        <v>1</v>
      </c>
      <c r="K847" s="265">
        <v>50000</v>
      </c>
      <c r="M847" s="269"/>
      <c r="N847" t="s">
        <v>2881</v>
      </c>
    </row>
    <row r="848" spans="1:14" x14ac:dyDescent="0.3">
      <c r="A848" s="271">
        <v>847</v>
      </c>
      <c r="B848" s="264">
        <v>45845</v>
      </c>
      <c r="C848" s="292" t="s">
        <v>2801</v>
      </c>
      <c r="E848" s="292" t="s">
        <v>2192</v>
      </c>
      <c r="F848" s="269" t="s">
        <v>1208</v>
      </c>
      <c r="G848" s="265">
        <v>1500000</v>
      </c>
      <c r="H848" s="269">
        <v>1</v>
      </c>
      <c r="K848" s="265">
        <v>1500000</v>
      </c>
      <c r="M848" s="269"/>
      <c r="N848" t="s">
        <v>2881</v>
      </c>
    </row>
    <row r="849" spans="1:14" x14ac:dyDescent="0.3">
      <c r="A849" s="271">
        <v>848</v>
      </c>
      <c r="B849" s="264">
        <v>45845</v>
      </c>
      <c r="C849" s="292" t="s">
        <v>2801</v>
      </c>
      <c r="E849" s="292" t="s">
        <v>2193</v>
      </c>
      <c r="F849" s="269" t="s">
        <v>1812</v>
      </c>
      <c r="G849" s="265">
        <v>50000</v>
      </c>
      <c r="H849" s="269">
        <v>1</v>
      </c>
      <c r="K849" s="265">
        <v>50000</v>
      </c>
      <c r="M849" s="269"/>
      <c r="N849" t="s">
        <v>2881</v>
      </c>
    </row>
    <row r="850" spans="1:14" x14ac:dyDescent="0.3">
      <c r="A850" s="271">
        <v>849</v>
      </c>
      <c r="B850" s="264">
        <v>45845</v>
      </c>
      <c r="C850" s="292" t="s">
        <v>1152</v>
      </c>
      <c r="E850" s="292" t="s">
        <v>2412</v>
      </c>
      <c r="F850" s="269" t="s">
        <v>2411</v>
      </c>
      <c r="G850" s="265">
        <v>900000</v>
      </c>
      <c r="H850" s="269">
        <v>1</v>
      </c>
      <c r="K850" s="265">
        <v>900000</v>
      </c>
      <c r="M850" s="269"/>
      <c r="N850" t="s">
        <v>2881</v>
      </c>
    </row>
    <row r="851" spans="1:14" x14ac:dyDescent="0.3">
      <c r="A851" s="271">
        <v>850</v>
      </c>
      <c r="B851" s="264">
        <v>45845</v>
      </c>
      <c r="C851" s="292" t="s">
        <v>1152</v>
      </c>
      <c r="E851" s="292" t="s">
        <v>2425</v>
      </c>
      <c r="G851" s="265">
        <v>50000</v>
      </c>
      <c r="H851" s="269">
        <v>1</v>
      </c>
      <c r="K851" s="265">
        <v>50000</v>
      </c>
      <c r="M851" s="269"/>
      <c r="N851" t="s">
        <v>2881</v>
      </c>
    </row>
    <row r="852" spans="1:14" x14ac:dyDescent="0.3">
      <c r="A852" s="271">
        <v>851</v>
      </c>
      <c r="B852" s="264">
        <v>45845</v>
      </c>
      <c r="C852" s="292" t="s">
        <v>1881</v>
      </c>
      <c r="E852" s="292" t="s">
        <v>2198</v>
      </c>
      <c r="F852" s="269" t="s">
        <v>1207</v>
      </c>
      <c r="G852" s="265">
        <v>900000</v>
      </c>
      <c r="H852" s="269">
        <v>1</v>
      </c>
      <c r="K852" s="265">
        <v>900000</v>
      </c>
      <c r="M852" s="269"/>
      <c r="N852" t="s">
        <v>2881</v>
      </c>
    </row>
    <row r="853" spans="1:14" x14ac:dyDescent="0.3">
      <c r="A853" s="271">
        <v>852</v>
      </c>
      <c r="B853" s="264">
        <v>45845</v>
      </c>
      <c r="C853" s="292" t="s">
        <v>1452</v>
      </c>
      <c r="E853" s="292" t="s">
        <v>2199</v>
      </c>
      <c r="F853" s="269" t="s">
        <v>1214</v>
      </c>
      <c r="G853" s="265">
        <v>510000</v>
      </c>
      <c r="H853" s="269">
        <v>1</v>
      </c>
      <c r="K853" s="265">
        <v>510000</v>
      </c>
      <c r="M853" s="269"/>
      <c r="N853" t="s">
        <v>2881</v>
      </c>
    </row>
    <row r="854" spans="1:14" x14ac:dyDescent="0.3">
      <c r="A854" s="271">
        <v>853</v>
      </c>
      <c r="B854" s="264">
        <v>45845</v>
      </c>
      <c r="C854" s="292" t="s">
        <v>1452</v>
      </c>
      <c r="E854" s="292" t="s">
        <v>2202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2881</v>
      </c>
    </row>
    <row r="855" spans="1:14" x14ac:dyDescent="0.3">
      <c r="A855" s="271">
        <v>854</v>
      </c>
      <c r="B855" s="264">
        <v>45845</v>
      </c>
      <c r="C855" s="292" t="s">
        <v>1730</v>
      </c>
      <c r="E855" s="292" t="s">
        <v>2817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2801</v>
      </c>
      <c r="E856" s="292" t="s">
        <v>1130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2807</v>
      </c>
      <c r="E857" s="292" t="s">
        <v>1130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1881</v>
      </c>
      <c r="E858" s="292" t="s">
        <v>1130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1730</v>
      </c>
      <c r="E859" s="292" t="s">
        <v>2819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1588</v>
      </c>
      <c r="E860" s="292" t="s">
        <v>1130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1407</v>
      </c>
      <c r="E861" s="292" t="s">
        <v>1752</v>
      </c>
      <c r="G861" s="265">
        <v>450000</v>
      </c>
      <c r="H861" s="269">
        <v>1</v>
      </c>
      <c r="K861" s="265">
        <v>450000</v>
      </c>
      <c r="M861" s="269"/>
      <c r="N861" t="s">
        <v>2881</v>
      </c>
    </row>
    <row r="862" spans="1:14" x14ac:dyDescent="0.3">
      <c r="A862" s="271">
        <v>861</v>
      </c>
      <c r="B862" s="264">
        <v>45846</v>
      </c>
      <c r="C862" s="292" t="s">
        <v>1407</v>
      </c>
      <c r="E862" s="292" t="s">
        <v>2199</v>
      </c>
      <c r="F862" s="269" t="s">
        <v>1214</v>
      </c>
      <c r="G862" s="265">
        <v>490000</v>
      </c>
      <c r="H862" s="269">
        <v>1</v>
      </c>
      <c r="K862" s="265">
        <v>490000</v>
      </c>
      <c r="M862" s="269"/>
      <c r="N862" t="s">
        <v>2881</v>
      </c>
    </row>
    <row r="863" spans="1:14" x14ac:dyDescent="0.3">
      <c r="A863" s="271">
        <v>862</v>
      </c>
      <c r="B863" s="264">
        <v>45846</v>
      </c>
      <c r="C863" s="292" t="s">
        <v>1407</v>
      </c>
      <c r="E863" s="292" t="s">
        <v>2200</v>
      </c>
      <c r="F863" s="269" t="s">
        <v>1266</v>
      </c>
      <c r="G863" s="265">
        <v>130000</v>
      </c>
      <c r="H863" s="269">
        <v>1</v>
      </c>
      <c r="K863" s="265">
        <v>130000</v>
      </c>
      <c r="M863" s="269"/>
      <c r="N863" t="s">
        <v>2881</v>
      </c>
    </row>
    <row r="864" spans="1:14" x14ac:dyDescent="0.3">
      <c r="A864" s="271">
        <v>863</v>
      </c>
      <c r="B864" s="264">
        <v>45846</v>
      </c>
      <c r="C864" s="292" t="s">
        <v>1407</v>
      </c>
      <c r="E864" s="292" t="s">
        <v>2204</v>
      </c>
      <c r="F864" s="269" t="s">
        <v>1833</v>
      </c>
      <c r="G864" s="265">
        <v>10000</v>
      </c>
      <c r="H864" s="269">
        <v>1</v>
      </c>
      <c r="K864" s="265">
        <v>10000</v>
      </c>
      <c r="M864" s="269"/>
      <c r="N864" t="s">
        <v>2881</v>
      </c>
    </row>
    <row r="865" spans="1:14" x14ac:dyDescent="0.3">
      <c r="A865" s="271">
        <v>864</v>
      </c>
      <c r="B865" s="264">
        <v>45846</v>
      </c>
      <c r="C865" s="292" t="s">
        <v>1407</v>
      </c>
      <c r="E865" s="292" t="s">
        <v>2203</v>
      </c>
      <c r="F865" s="269" t="s">
        <v>1804</v>
      </c>
      <c r="G865" s="265">
        <v>30000</v>
      </c>
      <c r="H865" s="269">
        <v>1</v>
      </c>
      <c r="K865" s="265">
        <v>30000</v>
      </c>
      <c r="M865" s="269"/>
      <c r="N865" t="s">
        <v>2881</v>
      </c>
    </row>
    <row r="866" spans="1:14" x14ac:dyDescent="0.3">
      <c r="A866" s="271">
        <v>865</v>
      </c>
      <c r="B866" s="264">
        <v>45846</v>
      </c>
      <c r="C866" s="292" t="s">
        <v>2807</v>
      </c>
      <c r="E866" s="292" t="s">
        <v>2823</v>
      </c>
      <c r="F866" s="269" t="s">
        <v>2822</v>
      </c>
      <c r="G866" s="265">
        <v>400000</v>
      </c>
      <c r="H866" s="269">
        <v>1</v>
      </c>
      <c r="K866" s="265">
        <v>400000</v>
      </c>
      <c r="M866" s="269"/>
      <c r="N866" t="s">
        <v>2881</v>
      </c>
    </row>
    <row r="867" spans="1:14" x14ac:dyDescent="0.3">
      <c r="A867" s="271">
        <v>866</v>
      </c>
      <c r="B867" s="264">
        <v>45846</v>
      </c>
      <c r="C867" s="292" t="s">
        <v>2807</v>
      </c>
      <c r="E867" s="292" t="s">
        <v>2195</v>
      </c>
      <c r="F867" s="269" t="s">
        <v>1728</v>
      </c>
      <c r="G867" s="265">
        <v>70000</v>
      </c>
      <c r="H867" s="269">
        <v>1</v>
      </c>
      <c r="K867" s="265">
        <v>70000</v>
      </c>
      <c r="M867" s="269"/>
      <c r="N867" t="s">
        <v>2881</v>
      </c>
    </row>
    <row r="868" spans="1:14" x14ac:dyDescent="0.3">
      <c r="A868" s="271">
        <v>867</v>
      </c>
      <c r="B868" s="264">
        <v>45846</v>
      </c>
      <c r="C868" s="292" t="s">
        <v>1549</v>
      </c>
      <c r="E868" s="292" t="s">
        <v>1210</v>
      </c>
      <c r="F868" s="269" t="s">
        <v>1761</v>
      </c>
      <c r="G868" s="265">
        <v>1200000</v>
      </c>
      <c r="H868" s="269">
        <v>1</v>
      </c>
      <c r="K868" s="265">
        <v>1200000</v>
      </c>
      <c r="M868" s="269"/>
      <c r="N868" t="s">
        <v>2881</v>
      </c>
    </row>
    <row r="869" spans="1:14" x14ac:dyDescent="0.3">
      <c r="A869" s="271">
        <v>868</v>
      </c>
      <c r="B869" s="264">
        <v>45846</v>
      </c>
      <c r="C869" s="292" t="s">
        <v>1549</v>
      </c>
      <c r="E869" s="292" t="s">
        <v>1504</v>
      </c>
      <c r="F869" s="269" t="s">
        <v>2697</v>
      </c>
      <c r="G869" s="265">
        <v>350000</v>
      </c>
      <c r="H869" s="269">
        <v>1</v>
      </c>
      <c r="K869" s="265">
        <v>350000</v>
      </c>
      <c r="M869" s="269"/>
      <c r="N869" t="s">
        <v>2881</v>
      </c>
    </row>
    <row r="870" spans="1:14" x14ac:dyDescent="0.3">
      <c r="A870" s="271">
        <v>869</v>
      </c>
      <c r="B870" s="264">
        <v>45846</v>
      </c>
      <c r="C870" s="292" t="s">
        <v>1818</v>
      </c>
      <c r="E870" s="292" t="s">
        <v>1773</v>
      </c>
      <c r="F870" s="269" t="s">
        <v>1775</v>
      </c>
      <c r="G870" s="265">
        <v>65000</v>
      </c>
      <c r="H870" s="269">
        <v>1</v>
      </c>
      <c r="K870" s="265">
        <v>65000</v>
      </c>
      <c r="M870" s="269"/>
      <c r="N870" t="s">
        <v>2881</v>
      </c>
    </row>
    <row r="871" spans="1:14" x14ac:dyDescent="0.3">
      <c r="A871" s="271">
        <v>870</v>
      </c>
      <c r="B871" s="264">
        <v>45846</v>
      </c>
      <c r="C871" s="292" t="s">
        <v>1818</v>
      </c>
      <c r="E871" s="292" t="s">
        <v>1773</v>
      </c>
      <c r="F871" s="269" t="s">
        <v>1772</v>
      </c>
      <c r="G871" s="265">
        <v>25000</v>
      </c>
      <c r="H871" s="269">
        <v>1</v>
      </c>
      <c r="K871" s="265">
        <v>25000</v>
      </c>
      <c r="M871" s="269"/>
      <c r="N871" t="s">
        <v>2881</v>
      </c>
    </row>
    <row r="872" spans="1:14" x14ac:dyDescent="0.3">
      <c r="A872" s="271">
        <v>871</v>
      </c>
      <c r="B872" s="264">
        <v>45846</v>
      </c>
      <c r="C872" s="292" t="s">
        <v>2827</v>
      </c>
      <c r="E872" s="292" t="s">
        <v>1744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2881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2881</v>
      </c>
    </row>
    <row r="874" spans="1:14" x14ac:dyDescent="0.3">
      <c r="A874" s="271">
        <v>873</v>
      </c>
      <c r="B874" s="264">
        <v>45846</v>
      </c>
      <c r="C874" s="292" t="s">
        <v>1594</v>
      </c>
      <c r="E874" s="292" t="s">
        <v>1210</v>
      </c>
      <c r="F874" s="269" t="s">
        <v>1761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2881</v>
      </c>
    </row>
    <row r="875" spans="1:14" x14ac:dyDescent="0.3">
      <c r="A875" s="271">
        <v>874</v>
      </c>
      <c r="B875" s="264">
        <v>45846</v>
      </c>
      <c r="C875" s="292" t="s">
        <v>1585</v>
      </c>
      <c r="E875" s="292" t="s">
        <v>2198</v>
      </c>
      <c r="F875" s="269" t="s">
        <v>1207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2881</v>
      </c>
    </row>
    <row r="876" spans="1:14" x14ac:dyDescent="0.3">
      <c r="A876" s="271">
        <v>875</v>
      </c>
      <c r="B876" s="264">
        <v>45846</v>
      </c>
      <c r="C876" s="292" t="s">
        <v>1585</v>
      </c>
      <c r="E876" s="292" t="s">
        <v>2202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2881</v>
      </c>
    </row>
    <row r="877" spans="1:14" x14ac:dyDescent="0.3">
      <c r="A877" s="271">
        <v>876</v>
      </c>
      <c r="B877" s="264">
        <v>45846</v>
      </c>
      <c r="C877" s="292" t="s">
        <v>1585</v>
      </c>
      <c r="E877" s="292" t="s">
        <v>2203</v>
      </c>
      <c r="F877" s="269" t="s">
        <v>1804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2881</v>
      </c>
    </row>
    <row r="878" spans="1:14" x14ac:dyDescent="0.3">
      <c r="A878" s="271">
        <v>877</v>
      </c>
      <c r="B878" s="264">
        <v>45846</v>
      </c>
      <c r="C878" s="292" t="s">
        <v>1585</v>
      </c>
      <c r="E878" s="292" t="s">
        <v>1527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2881</v>
      </c>
    </row>
    <row r="879" spans="1:14" x14ac:dyDescent="0.3">
      <c r="A879" s="271">
        <v>878</v>
      </c>
      <c r="B879" s="264">
        <v>45846</v>
      </c>
      <c r="C879" s="292" t="s">
        <v>1585</v>
      </c>
      <c r="E879" s="292" t="s">
        <v>2199</v>
      </c>
      <c r="F879" s="269" t="s">
        <v>1214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2881</v>
      </c>
    </row>
    <row r="880" spans="1:14" x14ac:dyDescent="0.3">
      <c r="A880" s="271">
        <v>879</v>
      </c>
      <c r="B880" s="264">
        <v>45846</v>
      </c>
      <c r="C880" s="292" t="s">
        <v>1152</v>
      </c>
      <c r="E880" s="292" t="s">
        <v>1210</v>
      </c>
      <c r="F880" s="269" t="s">
        <v>1761</v>
      </c>
      <c r="G880" s="265">
        <v>1200000</v>
      </c>
      <c r="H880" s="269">
        <v>1</v>
      </c>
      <c r="K880" s="265">
        <v>1200000</v>
      </c>
      <c r="M880" s="269"/>
      <c r="N880" t="s">
        <v>2881</v>
      </c>
    </row>
    <row r="881" spans="1:14" x14ac:dyDescent="0.3">
      <c r="A881" s="271">
        <v>880</v>
      </c>
      <c r="B881" s="264">
        <v>45846</v>
      </c>
      <c r="C881" s="292" t="s">
        <v>2613</v>
      </c>
      <c r="E881" s="292" t="s">
        <v>1130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2807</v>
      </c>
      <c r="E882" s="292" t="s">
        <v>1130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1407</v>
      </c>
      <c r="E883" s="292" t="s">
        <v>1752</v>
      </c>
      <c r="G883" s="265">
        <v>650000</v>
      </c>
      <c r="H883" s="269">
        <v>1</v>
      </c>
      <c r="K883" s="265">
        <v>650000</v>
      </c>
      <c r="M883" s="269"/>
      <c r="N883" t="s">
        <v>2881</v>
      </c>
    </row>
    <row r="884" spans="1:14" x14ac:dyDescent="0.3">
      <c r="A884" s="271">
        <v>883</v>
      </c>
      <c r="B884" s="264">
        <v>45847</v>
      </c>
      <c r="C884" s="292" t="s">
        <v>2422</v>
      </c>
      <c r="E884" s="292" t="s">
        <v>2039</v>
      </c>
      <c r="F884" s="269" t="s">
        <v>1223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2881</v>
      </c>
    </row>
    <row r="885" spans="1:14" x14ac:dyDescent="0.3">
      <c r="A885" s="271">
        <v>884</v>
      </c>
      <c r="B885" s="264">
        <v>45847</v>
      </c>
      <c r="C885" s="292" t="s">
        <v>2270</v>
      </c>
      <c r="E885" s="292" t="s">
        <v>2195</v>
      </c>
      <c r="F885" s="269" t="s">
        <v>1728</v>
      </c>
      <c r="G885" s="265">
        <v>70000</v>
      </c>
      <c r="H885" s="269">
        <v>1</v>
      </c>
      <c r="K885" s="265">
        <v>70000</v>
      </c>
      <c r="M885" s="269"/>
      <c r="N885" t="s">
        <v>2881</v>
      </c>
    </row>
    <row r="886" spans="1:14" x14ac:dyDescent="0.3">
      <c r="A886" s="271">
        <v>885</v>
      </c>
      <c r="B886" s="264">
        <v>45847</v>
      </c>
      <c r="C886" s="292" t="s">
        <v>1452</v>
      </c>
      <c r="E886" s="292" t="s">
        <v>2192</v>
      </c>
      <c r="F886" s="269" t="s">
        <v>1208</v>
      </c>
      <c r="G886" s="265">
        <v>1500000</v>
      </c>
      <c r="H886" s="269">
        <v>1</v>
      </c>
      <c r="K886" s="265">
        <v>1500000</v>
      </c>
      <c r="M886" s="269"/>
      <c r="N886" t="s">
        <v>2881</v>
      </c>
    </row>
    <row r="887" spans="1:14" x14ac:dyDescent="0.3">
      <c r="A887" s="271">
        <v>886</v>
      </c>
      <c r="B887" s="264">
        <v>45847</v>
      </c>
      <c r="C887" s="292" t="s">
        <v>1452</v>
      </c>
      <c r="E887" s="292" t="s">
        <v>2193</v>
      </c>
      <c r="F887" s="269" t="s">
        <v>1812</v>
      </c>
      <c r="G887" s="265">
        <v>50000</v>
      </c>
      <c r="H887" s="269">
        <v>1</v>
      </c>
      <c r="K887" s="265">
        <v>50000</v>
      </c>
      <c r="M887" s="269"/>
      <c r="N887" t="s">
        <v>2881</v>
      </c>
    </row>
    <row r="888" spans="1:14" x14ac:dyDescent="0.3">
      <c r="A888" s="271">
        <v>887</v>
      </c>
      <c r="B888" s="264">
        <v>45847</v>
      </c>
      <c r="C888" s="292" t="s">
        <v>1730</v>
      </c>
      <c r="E888" s="292" t="s">
        <v>2342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2881</v>
      </c>
    </row>
    <row r="889" spans="1:14" x14ac:dyDescent="0.3">
      <c r="A889" s="271">
        <v>888</v>
      </c>
      <c r="B889" s="264">
        <v>45847</v>
      </c>
      <c r="C889" s="292" t="s">
        <v>1756</v>
      </c>
      <c r="E889" s="292" t="s">
        <v>2311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2881</v>
      </c>
    </row>
    <row r="890" spans="1:14" x14ac:dyDescent="0.3">
      <c r="A890" s="271">
        <v>889</v>
      </c>
      <c r="B890" s="264">
        <v>45847</v>
      </c>
      <c r="C890" s="292" t="s">
        <v>1756</v>
      </c>
      <c r="E890" s="292" t="s">
        <v>1527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2881</v>
      </c>
    </row>
    <row r="891" spans="1:14" x14ac:dyDescent="0.3">
      <c r="A891" s="271">
        <v>890</v>
      </c>
      <c r="B891" s="264">
        <v>45847</v>
      </c>
      <c r="C891" s="292" t="s">
        <v>2270</v>
      </c>
      <c r="E891" s="292" t="s">
        <v>1130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2827</v>
      </c>
      <c r="E892" s="292" t="s">
        <v>1130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1594</v>
      </c>
      <c r="E893" s="292" t="s">
        <v>1130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2422</v>
      </c>
      <c r="E894" s="292" t="s">
        <v>1130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2743</v>
      </c>
      <c r="E895" s="292" t="s">
        <v>2199</v>
      </c>
      <c r="F895" s="269" t="s">
        <v>1214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2881</v>
      </c>
    </row>
    <row r="896" spans="1:14" x14ac:dyDescent="0.3">
      <c r="A896" s="271">
        <v>895</v>
      </c>
      <c r="B896" s="264">
        <v>45848</v>
      </c>
      <c r="C896" s="292" t="s">
        <v>2743</v>
      </c>
      <c r="E896" s="292" t="s">
        <v>2202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2881</v>
      </c>
    </row>
    <row r="897" spans="1:14" x14ac:dyDescent="0.3">
      <c r="A897" s="271">
        <v>896</v>
      </c>
      <c r="B897" s="264">
        <v>45848</v>
      </c>
      <c r="C897" s="292" t="s">
        <v>2743</v>
      </c>
      <c r="E897" s="292" t="s">
        <v>1913</v>
      </c>
      <c r="F897" s="269" t="s">
        <v>1912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2881</v>
      </c>
    </row>
    <row r="898" spans="1:14" x14ac:dyDescent="0.3">
      <c r="A898" s="271">
        <v>897</v>
      </c>
      <c r="B898" s="264">
        <v>45848</v>
      </c>
      <c r="C898" s="292" t="s">
        <v>2331</v>
      </c>
      <c r="E898" s="292" t="s">
        <v>2854</v>
      </c>
      <c r="F898" s="269" t="s">
        <v>2004</v>
      </c>
      <c r="G898" s="265">
        <v>150000</v>
      </c>
      <c r="H898" s="269">
        <v>1</v>
      </c>
      <c r="K898" s="265">
        <v>150000</v>
      </c>
      <c r="M898" s="269"/>
      <c r="N898" t="s">
        <v>2881</v>
      </c>
    </row>
    <row r="899" spans="1:14" x14ac:dyDescent="0.3">
      <c r="A899" s="271">
        <v>898</v>
      </c>
      <c r="B899" s="264">
        <v>45848</v>
      </c>
      <c r="C899" s="292" t="s">
        <v>1407</v>
      </c>
      <c r="E899" s="292" t="s">
        <v>2116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2881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2881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1210</v>
      </c>
      <c r="F901" s="269" t="s">
        <v>1761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2881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2858</v>
      </c>
      <c r="F902" s="269" t="s">
        <v>2768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2881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2881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1130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1585</v>
      </c>
      <c r="E905" s="292" t="s">
        <v>2865</v>
      </c>
      <c r="F905" s="269" t="s">
        <v>2864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2881</v>
      </c>
    </row>
    <row r="906" spans="1:14" x14ac:dyDescent="0.3">
      <c r="A906" s="271">
        <v>905</v>
      </c>
      <c r="B906" s="264">
        <v>45849</v>
      </c>
      <c r="C906" s="292" t="s">
        <v>1585</v>
      </c>
      <c r="E906" s="292" t="s">
        <v>2867</v>
      </c>
      <c r="F906" s="269" t="s">
        <v>2863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2881</v>
      </c>
    </row>
    <row r="907" spans="1:14" x14ac:dyDescent="0.3">
      <c r="A907" s="271">
        <v>906</v>
      </c>
      <c r="B907" s="264">
        <v>45849</v>
      </c>
      <c r="C907" s="292" t="s">
        <v>1588</v>
      </c>
      <c r="E907" s="292" t="s">
        <v>2192</v>
      </c>
      <c r="F907" s="269" t="s">
        <v>1208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2881</v>
      </c>
    </row>
    <row r="908" spans="1:14" x14ac:dyDescent="0.3">
      <c r="A908" s="271">
        <v>907</v>
      </c>
      <c r="B908" s="264">
        <v>45849</v>
      </c>
      <c r="C908" s="292" t="s">
        <v>1588</v>
      </c>
      <c r="E908" s="292" t="s">
        <v>2193</v>
      </c>
      <c r="F908" s="269" t="s">
        <v>1812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2881</v>
      </c>
    </row>
    <row r="909" spans="1:14" x14ac:dyDescent="0.3">
      <c r="A909" s="271">
        <v>908</v>
      </c>
      <c r="B909" s="264">
        <v>45849</v>
      </c>
      <c r="C909" s="292" t="s">
        <v>1407</v>
      </c>
      <c r="E909" s="292" t="s">
        <v>1752</v>
      </c>
      <c r="G909" s="265">
        <v>1100000</v>
      </c>
      <c r="H909" s="269">
        <v>1</v>
      </c>
      <c r="K909" s="265">
        <v>1100000</v>
      </c>
      <c r="M909" s="269"/>
      <c r="N909" t="s">
        <v>2881</v>
      </c>
    </row>
    <row r="910" spans="1:14" x14ac:dyDescent="0.3">
      <c r="A910" s="271">
        <v>909</v>
      </c>
      <c r="B910" s="264">
        <v>45849</v>
      </c>
      <c r="C910" s="292" t="s">
        <v>1466</v>
      </c>
      <c r="E910" s="292" t="s">
        <v>2767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2881</v>
      </c>
    </row>
    <row r="911" spans="1:14" x14ac:dyDescent="0.3">
      <c r="A911" s="271">
        <v>910</v>
      </c>
      <c r="B911" s="264">
        <v>45849</v>
      </c>
      <c r="C911" s="292" t="s">
        <v>1457</v>
      </c>
      <c r="E911" s="292" t="s">
        <v>1543</v>
      </c>
      <c r="G911" s="265">
        <v>450000</v>
      </c>
      <c r="H911" s="269">
        <v>1</v>
      </c>
      <c r="K911" s="265">
        <v>450000</v>
      </c>
      <c r="M911" s="269"/>
      <c r="N911" t="s">
        <v>2881</v>
      </c>
    </row>
    <row r="912" spans="1:14" x14ac:dyDescent="0.3">
      <c r="A912" s="271">
        <v>911</v>
      </c>
      <c r="B912" s="264">
        <v>45849</v>
      </c>
      <c r="C912" s="292" t="s">
        <v>1594</v>
      </c>
      <c r="E912" s="292" t="s">
        <v>1210</v>
      </c>
      <c r="F912" s="269" t="s">
        <v>1761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2881</v>
      </c>
    </row>
    <row r="913" spans="1:14" x14ac:dyDescent="0.3">
      <c r="A913" s="271">
        <v>912</v>
      </c>
      <c r="B913" s="264">
        <v>45849</v>
      </c>
      <c r="C913" s="292" t="s">
        <v>1594</v>
      </c>
      <c r="E913" s="292" t="s">
        <v>1504</v>
      </c>
      <c r="F913" s="269" t="s">
        <v>2697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2881</v>
      </c>
    </row>
    <row r="914" spans="1:14" x14ac:dyDescent="0.3">
      <c r="A914" s="271">
        <v>913</v>
      </c>
      <c r="B914" s="264">
        <v>45849</v>
      </c>
      <c r="C914" s="292" t="s">
        <v>1594</v>
      </c>
      <c r="E914" s="292" t="s">
        <v>1745</v>
      </c>
      <c r="F914" s="269" t="s">
        <v>2852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2881</v>
      </c>
    </row>
    <row r="915" spans="1:14" x14ac:dyDescent="0.3">
      <c r="A915" s="271">
        <v>914</v>
      </c>
      <c r="B915" s="264">
        <v>45849</v>
      </c>
      <c r="C915" s="292" t="s">
        <v>1594</v>
      </c>
      <c r="E915" s="292" t="s">
        <v>2851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2881</v>
      </c>
    </row>
    <row r="916" spans="1:14" x14ac:dyDescent="0.3">
      <c r="A916" s="271">
        <v>915</v>
      </c>
      <c r="B916" s="264">
        <v>45849</v>
      </c>
      <c r="C916" s="292" t="s">
        <v>2878</v>
      </c>
      <c r="E916" s="292" t="s">
        <v>2267</v>
      </c>
      <c r="F916" s="269" t="s">
        <v>2266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2881</v>
      </c>
    </row>
    <row r="917" spans="1:14" x14ac:dyDescent="0.3">
      <c r="A917" s="271">
        <v>916</v>
      </c>
      <c r="B917" s="264">
        <v>45849</v>
      </c>
      <c r="C917" s="292" t="s">
        <v>2878</v>
      </c>
      <c r="E917" s="292" t="s">
        <v>2628</v>
      </c>
      <c r="F917" s="269" t="s">
        <v>1764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2881</v>
      </c>
    </row>
    <row r="918" spans="1:14" x14ac:dyDescent="0.3">
      <c r="A918" s="271">
        <v>917</v>
      </c>
      <c r="B918" s="264">
        <v>45849</v>
      </c>
      <c r="C918" s="292" t="s">
        <v>1294</v>
      </c>
      <c r="E918" s="292" t="s">
        <v>1678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2876</v>
      </c>
      <c r="E919" s="292" t="s">
        <v>1130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1457</v>
      </c>
      <c r="E920" s="292" t="s">
        <v>1130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1606</v>
      </c>
      <c r="E921" s="292" t="s">
        <v>2879</v>
      </c>
      <c r="G921" s="265">
        <v>170000</v>
      </c>
      <c r="H921" s="269">
        <v>1</v>
      </c>
      <c r="K921" s="265">
        <v>170000</v>
      </c>
      <c r="M921" s="269"/>
      <c r="N921" t="s">
        <v>2881</v>
      </c>
    </row>
    <row r="922" spans="1:14" x14ac:dyDescent="0.3">
      <c r="A922" s="271">
        <v>921</v>
      </c>
      <c r="B922" s="264">
        <v>45850</v>
      </c>
      <c r="C922" s="292" t="s">
        <v>2331</v>
      </c>
      <c r="E922" s="292" t="s">
        <v>1130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1606</v>
      </c>
      <c r="E923" s="292" t="s">
        <v>1130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2743</v>
      </c>
      <c r="E924" s="292" t="s">
        <v>2198</v>
      </c>
      <c r="F924" s="269" t="s">
        <v>1207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2881</v>
      </c>
    </row>
    <row r="925" spans="1:14" x14ac:dyDescent="0.3">
      <c r="A925" s="271">
        <v>924</v>
      </c>
      <c r="B925" s="264">
        <v>45850</v>
      </c>
      <c r="C925" s="292" t="s">
        <v>2883</v>
      </c>
      <c r="E925" s="292" t="s">
        <v>1678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1594</v>
      </c>
      <c r="E926" s="292" t="s">
        <v>1130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2926</v>
      </c>
      <c r="E927" s="292" t="s">
        <v>2672</v>
      </c>
      <c r="G927" s="265">
        <v>1750000</v>
      </c>
      <c r="H927" s="269">
        <v>1</v>
      </c>
      <c r="J927" s="266" t="s">
        <v>2927</v>
      </c>
      <c r="K927" s="265">
        <v>1925000</v>
      </c>
      <c r="M927" s="269"/>
      <c r="N927" t="s">
        <v>2881</v>
      </c>
    </row>
    <row r="928" spans="1:14" x14ac:dyDescent="0.3">
      <c r="A928" s="271">
        <v>927</v>
      </c>
      <c r="B928" s="264">
        <v>45852</v>
      </c>
      <c r="C928" s="292" t="s">
        <v>2891</v>
      </c>
      <c r="E928" s="292" t="s">
        <v>2396</v>
      </c>
      <c r="F928" s="269" t="s">
        <v>2894</v>
      </c>
      <c r="G928" s="265">
        <v>1100000</v>
      </c>
      <c r="H928" s="269">
        <v>1</v>
      </c>
      <c r="K928" s="265">
        <v>1100000</v>
      </c>
      <c r="M928" s="269"/>
      <c r="N928" t="s">
        <v>2881</v>
      </c>
    </row>
    <row r="929" spans="1:14" x14ac:dyDescent="0.3">
      <c r="A929" s="271">
        <v>928</v>
      </c>
      <c r="B929" s="264">
        <v>45852</v>
      </c>
      <c r="C929" s="292" t="s">
        <v>1407</v>
      </c>
      <c r="E929" s="292" t="s">
        <v>1752</v>
      </c>
      <c r="G929" s="265">
        <v>650000</v>
      </c>
      <c r="H929" s="269">
        <v>1</v>
      </c>
      <c r="K929" s="265">
        <v>650000</v>
      </c>
      <c r="M929" s="269"/>
      <c r="N929" t="s">
        <v>2881</v>
      </c>
    </row>
    <row r="930" spans="1:14" x14ac:dyDescent="0.3">
      <c r="A930" s="271">
        <v>929</v>
      </c>
      <c r="B930" s="264">
        <v>45852</v>
      </c>
      <c r="C930" s="292" t="s">
        <v>2422</v>
      </c>
      <c r="E930" s="292" t="s">
        <v>2039</v>
      </c>
      <c r="F930" s="269" t="s">
        <v>1223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2929</v>
      </c>
      <c r="N930" t="s">
        <v>2881</v>
      </c>
    </row>
    <row r="931" spans="1:14" x14ac:dyDescent="0.3">
      <c r="A931" s="271">
        <v>930</v>
      </c>
      <c r="B931" s="264">
        <v>45852</v>
      </c>
      <c r="C931" s="292" t="s">
        <v>2331</v>
      </c>
      <c r="E931" s="292" t="s">
        <v>2854</v>
      </c>
      <c r="F931" s="269" t="s">
        <v>1211</v>
      </c>
      <c r="G931" s="265">
        <v>150000</v>
      </c>
      <c r="H931" s="269">
        <v>1</v>
      </c>
      <c r="K931" s="265">
        <v>150000</v>
      </c>
      <c r="M931" s="269"/>
      <c r="N931" t="s">
        <v>2881</v>
      </c>
    </row>
    <row r="932" spans="1:14" x14ac:dyDescent="0.3">
      <c r="A932" s="271">
        <v>931</v>
      </c>
      <c r="B932" s="264">
        <v>45852</v>
      </c>
      <c r="C932" s="292" t="s">
        <v>1606</v>
      </c>
      <c r="E932" s="292" t="s">
        <v>1212</v>
      </c>
      <c r="F932" s="269" t="s">
        <v>1213</v>
      </c>
      <c r="G932" s="265">
        <v>1200000</v>
      </c>
      <c r="H932" s="269">
        <v>1</v>
      </c>
      <c r="K932" s="265">
        <v>1200000</v>
      </c>
      <c r="M932" s="269"/>
      <c r="N932" t="s">
        <v>2881</v>
      </c>
    </row>
    <row r="933" spans="1:14" x14ac:dyDescent="0.3">
      <c r="A933" s="271">
        <v>932</v>
      </c>
      <c r="B933" s="264">
        <v>45852</v>
      </c>
      <c r="C933" s="292" t="s">
        <v>1452</v>
      </c>
      <c r="E933" s="292" t="s">
        <v>2192</v>
      </c>
      <c r="F933" s="269" t="s">
        <v>1208</v>
      </c>
      <c r="G933" s="265">
        <v>1500000</v>
      </c>
      <c r="H933" s="269">
        <v>1</v>
      </c>
      <c r="K933" s="265">
        <v>1500000</v>
      </c>
      <c r="M933" s="269"/>
      <c r="N933" t="s">
        <v>2881</v>
      </c>
    </row>
    <row r="934" spans="1:14" x14ac:dyDescent="0.3">
      <c r="A934" s="271">
        <v>933</v>
      </c>
      <c r="B934" s="264">
        <v>45852</v>
      </c>
      <c r="C934" s="292" t="s">
        <v>1452</v>
      </c>
      <c r="E934" s="292" t="s">
        <v>2193</v>
      </c>
      <c r="F934" s="269" t="s">
        <v>1812</v>
      </c>
      <c r="G934" s="265">
        <v>50000</v>
      </c>
      <c r="H934" s="269">
        <v>1</v>
      </c>
      <c r="K934" s="265">
        <v>50000</v>
      </c>
      <c r="M934" s="269"/>
      <c r="N934" t="s">
        <v>2881</v>
      </c>
    </row>
    <row r="935" spans="1:14" x14ac:dyDescent="0.3">
      <c r="A935" s="271">
        <v>934</v>
      </c>
      <c r="B935" s="264">
        <v>45852</v>
      </c>
      <c r="C935" s="292" t="s">
        <v>1606</v>
      </c>
      <c r="E935" s="292" t="s">
        <v>1130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2331</v>
      </c>
      <c r="E936" s="292" t="s">
        <v>1130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2926</v>
      </c>
      <c r="E937" s="292" t="s">
        <v>1678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2422</v>
      </c>
      <c r="E938" s="292" t="s">
        <v>2192</v>
      </c>
      <c r="F938" s="269" t="s">
        <v>1208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2881</v>
      </c>
    </row>
    <row r="939" spans="1:14" x14ac:dyDescent="0.3">
      <c r="A939" s="271">
        <v>938</v>
      </c>
      <c r="B939" s="264">
        <v>45853</v>
      </c>
      <c r="C939" s="292" t="s">
        <v>2422</v>
      </c>
      <c r="E939" s="292" t="s">
        <v>2193</v>
      </c>
      <c r="F939" s="269" t="s">
        <v>1812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2881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1212</v>
      </c>
      <c r="F940" s="269" t="s">
        <v>1213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2881</v>
      </c>
    </row>
    <row r="941" spans="1:14" x14ac:dyDescent="0.3">
      <c r="A941" s="271">
        <v>940</v>
      </c>
      <c r="B941" s="264">
        <v>45853</v>
      </c>
      <c r="C941" s="292" t="s">
        <v>2914</v>
      </c>
      <c r="E941" s="292" t="s">
        <v>2192</v>
      </c>
      <c r="F941" s="269" t="s">
        <v>1208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2881</v>
      </c>
    </row>
    <row r="942" spans="1:14" x14ac:dyDescent="0.3">
      <c r="A942" s="271">
        <v>941</v>
      </c>
      <c r="B942" s="264">
        <v>45853</v>
      </c>
      <c r="C942" s="292" t="s">
        <v>2914</v>
      </c>
      <c r="E942" s="292" t="s">
        <v>2193</v>
      </c>
      <c r="F942" s="269" t="s">
        <v>1812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2881</v>
      </c>
    </row>
    <row r="943" spans="1:14" x14ac:dyDescent="0.3">
      <c r="A943" s="271">
        <v>942</v>
      </c>
      <c r="B943" s="264">
        <v>45853</v>
      </c>
      <c r="C943" s="292" t="s">
        <v>2914</v>
      </c>
      <c r="E943" s="292" t="s">
        <v>2194</v>
      </c>
      <c r="F943" s="269" t="s">
        <v>2229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2881</v>
      </c>
    </row>
    <row r="944" spans="1:14" x14ac:dyDescent="0.3">
      <c r="A944" s="271">
        <v>943</v>
      </c>
      <c r="B944" s="264">
        <v>45853</v>
      </c>
      <c r="C944" s="292" t="s">
        <v>2331</v>
      </c>
      <c r="E944" s="292" t="s">
        <v>2190</v>
      </c>
      <c r="F944" s="269" t="s">
        <v>1472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2881</v>
      </c>
    </row>
    <row r="945" spans="1:14" x14ac:dyDescent="0.3">
      <c r="A945" s="271">
        <v>944</v>
      </c>
      <c r="B945" s="264">
        <v>45853</v>
      </c>
      <c r="C945" s="292" t="s">
        <v>1297</v>
      </c>
      <c r="E945" s="292" t="s">
        <v>2593</v>
      </c>
      <c r="F945" s="269" t="s">
        <v>2592</v>
      </c>
      <c r="G945" s="265">
        <v>1500000</v>
      </c>
      <c r="H945" s="269">
        <v>1</v>
      </c>
      <c r="J945" s="266" t="s">
        <v>2925</v>
      </c>
      <c r="K945" s="265">
        <v>1650000</v>
      </c>
      <c r="M945" s="269"/>
      <c r="N945" t="s">
        <v>2881</v>
      </c>
    </row>
    <row r="946" spans="1:14" x14ac:dyDescent="0.3">
      <c r="A946" s="271">
        <v>945</v>
      </c>
      <c r="B946" s="264">
        <v>45853</v>
      </c>
      <c r="C946" s="292" t="s">
        <v>1152</v>
      </c>
      <c r="E946" s="292" t="s">
        <v>1725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2881</v>
      </c>
    </row>
    <row r="947" spans="1:14" x14ac:dyDescent="0.3">
      <c r="A947" s="271">
        <v>946</v>
      </c>
      <c r="B947" s="264">
        <v>45853</v>
      </c>
      <c r="C947" s="292" t="s">
        <v>1464</v>
      </c>
      <c r="E947" s="292" t="s">
        <v>1725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2881</v>
      </c>
    </row>
    <row r="948" spans="1:14" x14ac:dyDescent="0.3">
      <c r="A948" s="271">
        <v>947</v>
      </c>
      <c r="B948" s="264">
        <v>45853</v>
      </c>
      <c r="C948" s="292" t="s">
        <v>2908</v>
      </c>
      <c r="E948" s="292" t="s">
        <v>2208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2881</v>
      </c>
    </row>
    <row r="949" spans="1:14" x14ac:dyDescent="0.3">
      <c r="A949" s="271">
        <v>948</v>
      </c>
      <c r="B949" s="264">
        <v>45853</v>
      </c>
      <c r="C949" s="292" t="s">
        <v>2908</v>
      </c>
      <c r="E949" s="292" t="s">
        <v>2922</v>
      </c>
      <c r="G949" s="265">
        <v>50000</v>
      </c>
      <c r="H949" s="269">
        <v>1</v>
      </c>
      <c r="K949" s="265">
        <v>50000</v>
      </c>
      <c r="M949" s="269"/>
      <c r="N949" t="s">
        <v>2881</v>
      </c>
    </row>
    <row r="950" spans="1:14" x14ac:dyDescent="0.3">
      <c r="A950" s="271">
        <v>949</v>
      </c>
      <c r="B950" s="264">
        <v>45853</v>
      </c>
      <c r="C950" s="292" t="s">
        <v>1730</v>
      </c>
      <c r="E950" s="292" t="s">
        <v>2731</v>
      </c>
      <c r="F950" s="269" t="s">
        <v>2730</v>
      </c>
      <c r="G950" s="265">
        <v>1550000</v>
      </c>
      <c r="H950" s="269">
        <v>1</v>
      </c>
      <c r="K950" s="265">
        <v>1550000</v>
      </c>
      <c r="M950" s="269"/>
      <c r="N950" t="s">
        <v>2881</v>
      </c>
    </row>
    <row r="951" spans="1:14" x14ac:dyDescent="0.3">
      <c r="A951" s="271">
        <v>950</v>
      </c>
      <c r="B951" s="264">
        <v>45853</v>
      </c>
      <c r="C951" s="292" t="s">
        <v>2914</v>
      </c>
      <c r="E951" s="292" t="s">
        <v>1130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2331</v>
      </c>
      <c r="E952" s="292" t="s">
        <v>1130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2422</v>
      </c>
      <c r="E953" s="292" t="s">
        <v>1130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2304</v>
      </c>
      <c r="E954" s="292" t="s">
        <v>2199</v>
      </c>
      <c r="F954" s="269" t="s">
        <v>1214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2881</v>
      </c>
    </row>
    <row r="955" spans="1:14" x14ac:dyDescent="0.3">
      <c r="A955" s="271">
        <v>954</v>
      </c>
      <c r="B955" s="264">
        <v>45854</v>
      </c>
      <c r="C955" s="292" t="s">
        <v>2304</v>
      </c>
      <c r="E955" s="292" t="s">
        <v>2202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2881</v>
      </c>
    </row>
    <row r="956" spans="1:14" x14ac:dyDescent="0.3">
      <c r="A956" s="271">
        <v>955</v>
      </c>
      <c r="B956" s="264">
        <v>45854</v>
      </c>
      <c r="C956" s="292" t="s">
        <v>1814</v>
      </c>
      <c r="E956" s="292" t="s">
        <v>2931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2881</v>
      </c>
    </row>
    <row r="957" spans="1:14" x14ac:dyDescent="0.3">
      <c r="A957" s="271">
        <v>956</v>
      </c>
      <c r="B957" s="264">
        <v>45854</v>
      </c>
      <c r="C957" s="292" t="s">
        <v>1679</v>
      </c>
      <c r="E957" s="292" t="s">
        <v>2192</v>
      </c>
      <c r="F957" s="269" t="s">
        <v>1208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2881</v>
      </c>
    </row>
    <row r="958" spans="1:14" x14ac:dyDescent="0.3">
      <c r="A958" s="271">
        <v>957</v>
      </c>
      <c r="B958" s="264">
        <v>45854</v>
      </c>
      <c r="C958" s="292" t="s">
        <v>1679</v>
      </c>
      <c r="E958" s="292" t="s">
        <v>2193</v>
      </c>
      <c r="F958" s="269" t="s">
        <v>1812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2881</v>
      </c>
    </row>
    <row r="959" spans="1:14" x14ac:dyDescent="0.3">
      <c r="A959" s="271">
        <v>958</v>
      </c>
      <c r="B959" s="264">
        <v>45854</v>
      </c>
      <c r="C959" s="292" t="s">
        <v>2934</v>
      </c>
      <c r="E959" s="292" t="s">
        <v>2192</v>
      </c>
      <c r="F959" s="269" t="s">
        <v>1208</v>
      </c>
      <c r="G959" s="265">
        <v>1500000</v>
      </c>
      <c r="H959" s="269">
        <v>1</v>
      </c>
      <c r="K959" s="265">
        <v>1500000</v>
      </c>
      <c r="M959" s="269"/>
      <c r="N959" t="s">
        <v>2881</v>
      </c>
    </row>
    <row r="960" spans="1:14" x14ac:dyDescent="0.3">
      <c r="A960" s="271">
        <v>959</v>
      </c>
      <c r="B960" s="264">
        <v>45854</v>
      </c>
      <c r="C960" s="292" t="s">
        <v>2304</v>
      </c>
      <c r="E960" s="292" t="s">
        <v>1130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2934</v>
      </c>
      <c r="E961" s="292" t="s">
        <v>1130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1475</v>
      </c>
      <c r="E962" s="292" t="s">
        <v>1130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1130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2908</v>
      </c>
      <c r="E964" s="292" t="s">
        <v>1130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2891</v>
      </c>
      <c r="E965" s="292" t="s">
        <v>1130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2113</v>
      </c>
      <c r="E966" s="292" t="s">
        <v>1130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2881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2881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2942</v>
      </c>
      <c r="G969" s="265">
        <v>35000</v>
      </c>
      <c r="H969" s="269">
        <v>1</v>
      </c>
      <c r="K969" s="265">
        <v>35000</v>
      </c>
      <c r="M969" s="269"/>
      <c r="N969" t="s">
        <v>2881</v>
      </c>
    </row>
    <row r="970" spans="1:14" x14ac:dyDescent="0.3">
      <c r="A970" s="271">
        <v>969</v>
      </c>
      <c r="B970" s="264">
        <v>45855</v>
      </c>
      <c r="C970" s="292" t="s">
        <v>1475</v>
      </c>
      <c r="E970" s="292" t="s">
        <v>2944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2881</v>
      </c>
    </row>
    <row r="971" spans="1:14" x14ac:dyDescent="0.3">
      <c r="A971" s="271">
        <v>970</v>
      </c>
      <c r="B971" s="264">
        <v>45855</v>
      </c>
      <c r="C971" s="292" t="s">
        <v>2641</v>
      </c>
      <c r="E971" s="292" t="s">
        <v>2302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2881</v>
      </c>
    </row>
    <row r="972" spans="1:14" x14ac:dyDescent="0.3">
      <c r="A972" s="271">
        <v>971</v>
      </c>
      <c r="B972" s="264">
        <v>45855</v>
      </c>
      <c r="C972" s="292" t="s">
        <v>1407</v>
      </c>
      <c r="E972" s="292" t="s">
        <v>2192</v>
      </c>
      <c r="F972" s="269" t="s">
        <v>1208</v>
      </c>
      <c r="G972" s="265">
        <v>1500000</v>
      </c>
      <c r="H972" s="269">
        <v>1</v>
      </c>
      <c r="K972" s="265">
        <v>1500000</v>
      </c>
      <c r="M972" s="269"/>
      <c r="N972" t="s">
        <v>2881</v>
      </c>
    </row>
    <row r="973" spans="1:14" x14ac:dyDescent="0.3">
      <c r="A973" s="271">
        <v>972</v>
      </c>
      <c r="B973" s="264">
        <v>45856</v>
      </c>
      <c r="C973" s="292" t="s">
        <v>1341</v>
      </c>
      <c r="E973" s="292" t="s">
        <v>2228</v>
      </c>
      <c r="F973" s="269" t="s">
        <v>1769</v>
      </c>
      <c r="G973" s="265">
        <v>510000</v>
      </c>
      <c r="H973" s="269">
        <v>1</v>
      </c>
      <c r="J973" s="266" t="s">
        <v>3003</v>
      </c>
      <c r="K973" s="265">
        <v>561000</v>
      </c>
      <c r="M973" s="269"/>
      <c r="N973" t="s">
        <v>2881</v>
      </c>
    </row>
    <row r="974" spans="1:14" x14ac:dyDescent="0.3">
      <c r="A974" s="271">
        <v>973</v>
      </c>
      <c r="B974" s="264">
        <v>45856</v>
      </c>
      <c r="C974" s="292" t="s">
        <v>1341</v>
      </c>
      <c r="E974" s="292" t="s">
        <v>3004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2881</v>
      </c>
    </row>
    <row r="975" spans="1:14" x14ac:dyDescent="0.3">
      <c r="A975" s="271">
        <v>974</v>
      </c>
      <c r="B975" s="264">
        <v>45856</v>
      </c>
      <c r="C975" s="292" t="s">
        <v>2953</v>
      </c>
      <c r="E975" s="292" t="s">
        <v>2192</v>
      </c>
      <c r="F975" s="269" t="s">
        <v>1208</v>
      </c>
      <c r="G975" s="265">
        <v>1700000</v>
      </c>
      <c r="H975" s="269">
        <v>1</v>
      </c>
      <c r="K975" s="265">
        <v>1700000</v>
      </c>
      <c r="M975" s="269"/>
      <c r="N975" t="s">
        <v>2881</v>
      </c>
    </row>
    <row r="976" spans="1:14" x14ac:dyDescent="0.3">
      <c r="A976" s="271">
        <v>975</v>
      </c>
      <c r="B976" s="264">
        <v>45856</v>
      </c>
      <c r="C976" s="292" t="s">
        <v>2953</v>
      </c>
      <c r="E976" s="292" t="s">
        <v>2956</v>
      </c>
      <c r="G976" s="265">
        <v>100000</v>
      </c>
      <c r="H976" s="269">
        <v>1</v>
      </c>
      <c r="K976" s="265">
        <v>100000</v>
      </c>
      <c r="M976" s="269"/>
      <c r="N976" t="s">
        <v>2881</v>
      </c>
    </row>
    <row r="977" spans="1:14" x14ac:dyDescent="0.3">
      <c r="A977" s="271">
        <v>976</v>
      </c>
      <c r="B977" s="264">
        <v>45856</v>
      </c>
      <c r="C977" s="292" t="s">
        <v>1487</v>
      </c>
      <c r="E977" s="292" t="s">
        <v>2958</v>
      </c>
      <c r="G977" s="265">
        <v>1000000</v>
      </c>
      <c r="H977" s="269">
        <v>1</v>
      </c>
      <c r="K977" s="265">
        <v>1000000</v>
      </c>
      <c r="M977" s="269"/>
      <c r="N977" t="s">
        <v>2881</v>
      </c>
    </row>
    <row r="978" spans="1:14" x14ac:dyDescent="0.3">
      <c r="A978" s="271">
        <v>977</v>
      </c>
      <c r="B978" s="264">
        <v>45856</v>
      </c>
      <c r="C978" s="292" t="s">
        <v>2960</v>
      </c>
      <c r="E978" s="292" t="s">
        <v>1569</v>
      </c>
      <c r="F978" s="269" t="s">
        <v>1230</v>
      </c>
      <c r="G978" s="265">
        <v>1500000</v>
      </c>
      <c r="H978" s="269">
        <v>1</v>
      </c>
      <c r="K978" s="265">
        <v>1500000</v>
      </c>
      <c r="M978" s="269"/>
      <c r="N978" t="s">
        <v>2881</v>
      </c>
    </row>
    <row r="979" spans="1:14" x14ac:dyDescent="0.3">
      <c r="A979" s="271">
        <v>978</v>
      </c>
      <c r="B979" s="264">
        <v>45856</v>
      </c>
      <c r="C979" s="292" t="s">
        <v>2960</v>
      </c>
      <c r="E979" s="292" t="s">
        <v>2961</v>
      </c>
      <c r="G979" s="265">
        <v>200000</v>
      </c>
      <c r="H979" s="269">
        <v>1</v>
      </c>
      <c r="K979" s="265">
        <v>200000</v>
      </c>
      <c r="M979" s="269"/>
      <c r="N979" t="s">
        <v>2881</v>
      </c>
    </row>
    <row r="980" spans="1:14" x14ac:dyDescent="0.3">
      <c r="A980" s="271">
        <v>979</v>
      </c>
      <c r="B980" s="264">
        <v>45856</v>
      </c>
      <c r="C980" s="292" t="s">
        <v>1858</v>
      </c>
      <c r="E980" s="292" t="s">
        <v>2199</v>
      </c>
      <c r="F980" s="269" t="s">
        <v>1214</v>
      </c>
      <c r="G980" s="265">
        <v>510000</v>
      </c>
      <c r="H980" s="269">
        <v>1</v>
      </c>
      <c r="K980" s="265">
        <v>510000</v>
      </c>
      <c r="M980" s="269"/>
      <c r="N980" t="s">
        <v>2881</v>
      </c>
    </row>
    <row r="981" spans="1:14" x14ac:dyDescent="0.3">
      <c r="A981" s="271">
        <v>980</v>
      </c>
      <c r="B981" s="264">
        <v>45856</v>
      </c>
      <c r="C981" s="292" t="s">
        <v>1992</v>
      </c>
      <c r="E981" s="292" t="s">
        <v>1210</v>
      </c>
      <c r="F981" s="269" t="s">
        <v>1761</v>
      </c>
      <c r="G981" s="265">
        <v>1200000</v>
      </c>
      <c r="H981" s="269">
        <v>1</v>
      </c>
      <c r="K981" s="265">
        <v>1200000</v>
      </c>
      <c r="M981" s="269"/>
      <c r="N981" t="s">
        <v>2881</v>
      </c>
    </row>
    <row r="982" spans="1:14" x14ac:dyDescent="0.3">
      <c r="A982" s="271">
        <v>981</v>
      </c>
      <c r="B982" s="264">
        <v>45856</v>
      </c>
      <c r="C982" s="292" t="s">
        <v>1992</v>
      </c>
      <c r="E982" s="292" t="s">
        <v>1210</v>
      </c>
      <c r="F982" s="269" t="s">
        <v>1761</v>
      </c>
      <c r="L982" s="265">
        <v>-1200000</v>
      </c>
      <c r="M982" s="269"/>
      <c r="N982" t="s">
        <v>2881</v>
      </c>
    </row>
    <row r="983" spans="1:14" x14ac:dyDescent="0.3">
      <c r="A983" s="271">
        <v>982</v>
      </c>
      <c r="B983" s="264">
        <v>45856</v>
      </c>
      <c r="C983" s="292" t="s">
        <v>2960</v>
      </c>
      <c r="E983" s="292" t="s">
        <v>1678</v>
      </c>
      <c r="F983" s="269" t="s">
        <v>1230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2953</v>
      </c>
      <c r="E984" s="292" t="s">
        <v>1678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2331</v>
      </c>
      <c r="E985" s="292" t="s">
        <v>2192</v>
      </c>
      <c r="F985" s="269" t="s">
        <v>1208</v>
      </c>
      <c r="G985" s="265">
        <v>1500000</v>
      </c>
      <c r="H985" s="269">
        <v>1</v>
      </c>
      <c r="K985" s="265">
        <v>1500000</v>
      </c>
      <c r="M985" s="269"/>
      <c r="N985" t="s">
        <v>2881</v>
      </c>
    </row>
    <row r="986" spans="1:14" x14ac:dyDescent="0.3">
      <c r="A986" s="58">
        <v>984</v>
      </c>
      <c r="B986" s="264">
        <v>45859</v>
      </c>
      <c r="C986" s="292" t="s">
        <v>1818</v>
      </c>
      <c r="E986" s="292" t="s">
        <v>1130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2641</v>
      </c>
      <c r="E987" s="292" t="s">
        <v>1130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2626</v>
      </c>
      <c r="E988" s="292" t="s">
        <v>2970</v>
      </c>
      <c r="F988" s="269" t="s">
        <v>1761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2881</v>
      </c>
    </row>
    <row r="989" spans="1:14" x14ac:dyDescent="0.3">
      <c r="A989" s="58">
        <v>987</v>
      </c>
      <c r="B989" s="264">
        <v>45859</v>
      </c>
      <c r="C989" s="292" t="s">
        <v>2270</v>
      </c>
      <c r="E989" s="292" t="s">
        <v>2973</v>
      </c>
      <c r="F989" s="269" t="s">
        <v>2972</v>
      </c>
      <c r="G989" s="265">
        <v>500000</v>
      </c>
      <c r="H989" s="269">
        <v>1</v>
      </c>
      <c r="K989" s="265">
        <v>500000</v>
      </c>
      <c r="M989" s="269"/>
      <c r="N989" t="s">
        <v>2881</v>
      </c>
    </row>
    <row r="990" spans="1:14" x14ac:dyDescent="0.3">
      <c r="A990" s="58">
        <v>988</v>
      </c>
      <c r="B990" s="264">
        <v>45859</v>
      </c>
      <c r="C990" s="292" t="s">
        <v>1562</v>
      </c>
      <c r="E990" s="292" t="s">
        <v>1273</v>
      </c>
      <c r="F990" s="269" t="s">
        <v>1272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2881</v>
      </c>
    </row>
    <row r="991" spans="1:14" x14ac:dyDescent="0.3">
      <c r="A991" s="58">
        <v>989</v>
      </c>
      <c r="B991" s="264">
        <v>45859</v>
      </c>
      <c r="C991" s="292" t="s">
        <v>1152</v>
      </c>
      <c r="E991" s="292" t="s">
        <v>2976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2881</v>
      </c>
    </row>
    <row r="992" spans="1:14" x14ac:dyDescent="0.3">
      <c r="A992" s="58">
        <v>990</v>
      </c>
      <c r="B992" s="264">
        <v>45859</v>
      </c>
      <c r="C992" s="292" t="s">
        <v>1152</v>
      </c>
      <c r="E992" s="292" t="s">
        <v>1514</v>
      </c>
      <c r="G992" s="265">
        <v>50000</v>
      </c>
      <c r="H992" s="269">
        <v>1</v>
      </c>
      <c r="K992" s="265">
        <v>50000</v>
      </c>
      <c r="M992" s="269"/>
      <c r="N992" t="s">
        <v>2881</v>
      </c>
    </row>
    <row r="993" spans="1:14" x14ac:dyDescent="0.3">
      <c r="A993" s="58">
        <v>991</v>
      </c>
      <c r="B993" s="264">
        <v>45859</v>
      </c>
      <c r="C993" s="292" t="s">
        <v>2626</v>
      </c>
      <c r="E993" s="292" t="s">
        <v>1130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2270</v>
      </c>
      <c r="E994" s="292" t="s">
        <v>1130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1477</v>
      </c>
      <c r="E995" s="292" t="s">
        <v>2416</v>
      </c>
      <c r="G995" s="265">
        <v>150000</v>
      </c>
      <c r="H995" s="269">
        <v>1</v>
      </c>
      <c r="K995" s="265">
        <v>150000</v>
      </c>
      <c r="M995" s="269"/>
      <c r="N995" t="s">
        <v>2881</v>
      </c>
    </row>
    <row r="996" spans="1:14" x14ac:dyDescent="0.3">
      <c r="A996" s="58">
        <v>994</v>
      </c>
      <c r="B996" s="264">
        <v>45860</v>
      </c>
      <c r="C996" s="292" t="s">
        <v>1464</v>
      </c>
      <c r="E996" s="292" t="s">
        <v>1130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1549</v>
      </c>
      <c r="E997" s="292" t="s">
        <v>2199</v>
      </c>
      <c r="F997" s="269" t="s">
        <v>1214</v>
      </c>
      <c r="G997" s="265">
        <v>510000</v>
      </c>
      <c r="H997" s="269">
        <v>1</v>
      </c>
      <c r="K997" s="265">
        <v>510000</v>
      </c>
      <c r="M997" s="269"/>
      <c r="N997" t="s">
        <v>2881</v>
      </c>
    </row>
    <row r="998" spans="1:14" x14ac:dyDescent="0.3">
      <c r="A998" s="58">
        <v>996</v>
      </c>
      <c r="B998" s="264">
        <v>45860</v>
      </c>
      <c r="C998" s="292" t="s">
        <v>1549</v>
      </c>
      <c r="E998" s="292" t="s">
        <v>2200</v>
      </c>
      <c r="F998" s="269" t="s">
        <v>1266</v>
      </c>
      <c r="G998" s="265">
        <v>130000</v>
      </c>
      <c r="H998" s="269">
        <v>1</v>
      </c>
      <c r="K998" s="265">
        <v>130000</v>
      </c>
      <c r="M998" s="269"/>
      <c r="N998" t="s">
        <v>2881</v>
      </c>
    </row>
    <row r="999" spans="1:14" x14ac:dyDescent="0.3">
      <c r="A999" s="58">
        <v>997</v>
      </c>
      <c r="B999" s="264">
        <v>45860</v>
      </c>
      <c r="C999" s="292" t="s">
        <v>1549</v>
      </c>
      <c r="E999" s="292" t="s">
        <v>2203</v>
      </c>
      <c r="F999" s="269" t="s">
        <v>1804</v>
      </c>
      <c r="G999" s="265">
        <v>35000</v>
      </c>
      <c r="H999" s="269">
        <v>1</v>
      </c>
      <c r="K999" s="265">
        <v>35000</v>
      </c>
      <c r="M999" s="269"/>
      <c r="N999" t="s">
        <v>2881</v>
      </c>
    </row>
    <row r="1000" spans="1:14" x14ac:dyDescent="0.3">
      <c r="A1000" s="58">
        <v>998</v>
      </c>
      <c r="B1000" s="264">
        <v>45860</v>
      </c>
      <c r="C1000" s="292" t="s">
        <v>1549</v>
      </c>
      <c r="E1000" s="292" t="s">
        <v>2204</v>
      </c>
      <c r="F1000" s="269" t="s">
        <v>1833</v>
      </c>
      <c r="G1000" s="265">
        <v>10000</v>
      </c>
      <c r="H1000" s="269">
        <v>1</v>
      </c>
      <c r="K1000" s="265">
        <v>10000</v>
      </c>
      <c r="M1000" s="269"/>
      <c r="N1000" t="s">
        <v>2881</v>
      </c>
    </row>
    <row r="1001" spans="1:14" x14ac:dyDescent="0.3">
      <c r="A1001" s="58">
        <v>999</v>
      </c>
      <c r="B1001" s="264">
        <v>45860</v>
      </c>
      <c r="C1001" s="292" t="s">
        <v>1821</v>
      </c>
      <c r="E1001" s="292" t="s">
        <v>1752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2881</v>
      </c>
    </row>
    <row r="1002" spans="1:14" x14ac:dyDescent="0.3">
      <c r="A1002" s="58">
        <v>1000</v>
      </c>
      <c r="B1002" s="264">
        <v>45860</v>
      </c>
      <c r="C1002" s="292" t="s">
        <v>1821</v>
      </c>
      <c r="E1002" s="292" t="s">
        <v>1527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2881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2881</v>
      </c>
    </row>
    <row r="1004" spans="1:14" x14ac:dyDescent="0.3">
      <c r="A1004" s="58">
        <v>1002</v>
      </c>
      <c r="B1004" s="264">
        <v>45860</v>
      </c>
      <c r="C1004" s="292" t="s">
        <v>2982</v>
      </c>
      <c r="E1004" s="292" t="s">
        <v>2199</v>
      </c>
      <c r="F1004" s="269" t="s">
        <v>1214</v>
      </c>
      <c r="G1004" s="265">
        <v>510000</v>
      </c>
      <c r="H1004" s="269">
        <v>1</v>
      </c>
      <c r="K1004" s="265">
        <v>510000</v>
      </c>
      <c r="M1004" s="269"/>
      <c r="N1004" t="s">
        <v>2881</v>
      </c>
    </row>
    <row r="1005" spans="1:14" x14ac:dyDescent="0.3">
      <c r="A1005" s="58">
        <v>1003</v>
      </c>
      <c r="B1005" s="264">
        <v>45860</v>
      </c>
      <c r="C1005" s="292" t="s">
        <v>1730</v>
      </c>
      <c r="E1005" s="292" t="s">
        <v>1725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2881</v>
      </c>
    </row>
    <row r="1006" spans="1:14" x14ac:dyDescent="0.3">
      <c r="A1006" s="58">
        <v>1004</v>
      </c>
      <c r="B1006" s="264">
        <v>45860</v>
      </c>
      <c r="C1006" s="292" t="s">
        <v>2989</v>
      </c>
      <c r="E1006" s="292" t="s">
        <v>1226</v>
      </c>
      <c r="F1006" s="269" t="s">
        <v>2174</v>
      </c>
      <c r="G1006" s="265">
        <v>1200000</v>
      </c>
      <c r="H1006" s="269">
        <v>1</v>
      </c>
      <c r="J1006" s="266" t="s">
        <v>2990</v>
      </c>
      <c r="K1006" s="265">
        <v>1320000</v>
      </c>
      <c r="M1006" s="269"/>
      <c r="N1006" t="s">
        <v>2881</v>
      </c>
    </row>
    <row r="1007" spans="1:14" x14ac:dyDescent="0.3">
      <c r="A1007" s="58">
        <v>1005</v>
      </c>
      <c r="B1007" s="264">
        <v>45860</v>
      </c>
      <c r="C1007" s="292" t="s">
        <v>2908</v>
      </c>
      <c r="E1007" s="292" t="s">
        <v>1130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2982</v>
      </c>
      <c r="E1008" s="292" t="s">
        <v>1130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1407</v>
      </c>
      <c r="E1009" s="292" t="s">
        <v>2103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2881</v>
      </c>
    </row>
    <row r="1010" spans="1:14" x14ac:dyDescent="0.3">
      <c r="A1010" s="58">
        <v>1008</v>
      </c>
      <c r="B1010" s="264">
        <v>45861</v>
      </c>
      <c r="C1010" s="292" t="s">
        <v>1407</v>
      </c>
      <c r="E1010" s="292" t="s">
        <v>2993</v>
      </c>
      <c r="G1010" s="265">
        <v>20000</v>
      </c>
      <c r="H1010" s="269">
        <v>1</v>
      </c>
      <c r="K1010" s="265">
        <v>20000</v>
      </c>
      <c r="M1010" s="269"/>
      <c r="N1010" t="s">
        <v>2881</v>
      </c>
    </row>
    <row r="1011" spans="1:14" x14ac:dyDescent="0.3">
      <c r="A1011" s="58">
        <v>1009</v>
      </c>
      <c r="B1011" s="264">
        <v>45861</v>
      </c>
      <c r="C1011" s="292" t="s">
        <v>1756</v>
      </c>
      <c r="E1011" s="292" t="s">
        <v>1212</v>
      </c>
      <c r="F1011" s="269" t="s">
        <v>1211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2881</v>
      </c>
    </row>
    <row r="1012" spans="1:14" x14ac:dyDescent="0.3">
      <c r="A1012" s="58">
        <v>1010</v>
      </c>
      <c r="B1012" s="264">
        <v>45861</v>
      </c>
      <c r="C1012" s="292" t="s">
        <v>1818</v>
      </c>
      <c r="E1012" s="292" t="s">
        <v>1504</v>
      </c>
      <c r="F1012" s="269" t="s">
        <v>2697</v>
      </c>
      <c r="G1012" s="265">
        <v>350000</v>
      </c>
      <c r="H1012" s="269">
        <v>1</v>
      </c>
      <c r="K1012" s="265">
        <v>350000</v>
      </c>
      <c r="M1012" s="269"/>
      <c r="N1012" t="s">
        <v>2881</v>
      </c>
    </row>
    <row r="1013" spans="1:14" x14ac:dyDescent="0.3">
      <c r="A1013" s="58">
        <v>1011</v>
      </c>
      <c r="B1013" s="264">
        <v>45861</v>
      </c>
      <c r="C1013" s="292" t="s">
        <v>1858</v>
      </c>
      <c r="E1013" s="292" t="s">
        <v>2201</v>
      </c>
      <c r="F1013" s="269" t="s">
        <v>1207</v>
      </c>
      <c r="G1013" s="265">
        <v>100000</v>
      </c>
      <c r="H1013" s="269">
        <v>1</v>
      </c>
      <c r="K1013" s="265">
        <v>100000</v>
      </c>
      <c r="M1013" s="269"/>
      <c r="N1013" t="s">
        <v>2881</v>
      </c>
    </row>
    <row r="1014" spans="1:14" x14ac:dyDescent="0.3">
      <c r="A1014" s="58">
        <v>1012</v>
      </c>
      <c r="B1014" s="264">
        <v>45861</v>
      </c>
      <c r="C1014" s="292" t="s">
        <v>1475</v>
      </c>
      <c r="E1014" s="292" t="s">
        <v>2192</v>
      </c>
      <c r="F1014" s="269" t="s">
        <v>1208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2881</v>
      </c>
    </row>
    <row r="1015" spans="1:14" x14ac:dyDescent="0.3">
      <c r="A1015" s="58">
        <v>1013</v>
      </c>
      <c r="B1015" s="264">
        <v>45861</v>
      </c>
      <c r="C1015" s="292" t="s">
        <v>1475</v>
      </c>
      <c r="E1015" s="292" t="s">
        <v>2193</v>
      </c>
      <c r="F1015" s="269" t="s">
        <v>1812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2881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2192</v>
      </c>
      <c r="F1016" s="269" t="s">
        <v>1208</v>
      </c>
      <c r="G1016" s="265">
        <v>1500000</v>
      </c>
      <c r="H1016" s="269">
        <v>1</v>
      </c>
      <c r="K1016" s="265">
        <v>1500000</v>
      </c>
      <c r="M1016" s="269"/>
      <c r="N1016" t="s">
        <v>2881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2193</v>
      </c>
      <c r="F1017" s="269" t="s">
        <v>1812</v>
      </c>
      <c r="G1017" s="265">
        <v>50000</v>
      </c>
      <c r="H1017" s="269">
        <v>1</v>
      </c>
      <c r="K1017" s="265">
        <v>50000</v>
      </c>
      <c r="M1017" s="269"/>
      <c r="N1017" t="s">
        <v>2881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2195</v>
      </c>
      <c r="F1018" s="269" t="s">
        <v>1728</v>
      </c>
      <c r="G1018" s="265">
        <v>70000</v>
      </c>
      <c r="H1018" s="269">
        <v>1</v>
      </c>
      <c r="K1018" s="265">
        <v>70000</v>
      </c>
      <c r="M1018" s="269"/>
      <c r="N1018" t="s">
        <v>2881</v>
      </c>
    </row>
    <row r="1019" spans="1:14" x14ac:dyDescent="0.3">
      <c r="A1019" s="58">
        <v>1017</v>
      </c>
      <c r="B1019" s="264">
        <v>45861</v>
      </c>
      <c r="C1019" s="292" t="s">
        <v>2331</v>
      </c>
      <c r="E1019" s="292" t="s">
        <v>2192</v>
      </c>
      <c r="F1019" s="269" t="s">
        <v>1208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2881</v>
      </c>
    </row>
    <row r="1020" spans="1:14" x14ac:dyDescent="0.3">
      <c r="A1020" s="58">
        <v>1018</v>
      </c>
      <c r="B1020" s="264">
        <v>45861</v>
      </c>
      <c r="C1020" s="292" t="s">
        <v>2331</v>
      </c>
      <c r="E1020" s="292" t="s">
        <v>3001</v>
      </c>
      <c r="L1020" s="265">
        <v>-3150000</v>
      </c>
      <c r="M1020" s="269"/>
      <c r="N1020" t="s">
        <v>2881</v>
      </c>
    </row>
    <row r="1021" spans="1:14" x14ac:dyDescent="0.3">
      <c r="A1021" s="58">
        <v>1019</v>
      </c>
      <c r="B1021" s="264">
        <v>45861</v>
      </c>
      <c r="C1021" s="292" t="s">
        <v>1858</v>
      </c>
      <c r="E1021" s="292" t="s">
        <v>3002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1818</v>
      </c>
      <c r="E1022" s="292" t="s">
        <v>1130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1130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1457</v>
      </c>
      <c r="E1024" s="292" t="s">
        <v>1130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1407</v>
      </c>
      <c r="E1025" s="292" t="s">
        <v>2192</v>
      </c>
      <c r="F1025" s="269" t="s">
        <v>1208</v>
      </c>
      <c r="G1025" s="265">
        <v>1500000</v>
      </c>
      <c r="H1025" s="269">
        <v>1</v>
      </c>
      <c r="K1025" s="265">
        <v>1500000</v>
      </c>
      <c r="M1025" s="269"/>
      <c r="N1025" t="s">
        <v>2881</v>
      </c>
    </row>
    <row r="1026" spans="1:14" x14ac:dyDescent="0.3">
      <c r="A1026" s="58">
        <v>1024</v>
      </c>
      <c r="B1026" s="264">
        <v>45862</v>
      </c>
      <c r="C1026" s="292" t="s">
        <v>1407</v>
      </c>
      <c r="E1026" s="292" t="s">
        <v>2193</v>
      </c>
      <c r="F1026" s="269" t="s">
        <v>1812</v>
      </c>
      <c r="G1026" s="265">
        <v>50000</v>
      </c>
      <c r="H1026" s="269">
        <v>1</v>
      </c>
      <c r="K1026" s="265">
        <v>50000</v>
      </c>
      <c r="M1026" s="269"/>
      <c r="N1026" t="s">
        <v>2881</v>
      </c>
    </row>
    <row r="1027" spans="1:14" x14ac:dyDescent="0.3">
      <c r="A1027" s="58">
        <v>1025</v>
      </c>
      <c r="B1027" s="264">
        <v>45862</v>
      </c>
      <c r="C1027" s="292" t="s">
        <v>1407</v>
      </c>
      <c r="E1027" s="292" t="s">
        <v>1557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2881</v>
      </c>
    </row>
    <row r="1028" spans="1:14" x14ac:dyDescent="0.3">
      <c r="A1028" s="58">
        <v>1026</v>
      </c>
      <c r="B1028" s="264">
        <v>45862</v>
      </c>
      <c r="C1028" s="292" t="s">
        <v>1164</v>
      </c>
      <c r="E1028" s="292" t="s">
        <v>2691</v>
      </c>
      <c r="G1028" s="265">
        <v>1600000</v>
      </c>
      <c r="H1028" s="269">
        <v>1</v>
      </c>
      <c r="J1028" s="266" t="s">
        <v>3018</v>
      </c>
      <c r="K1028" s="265">
        <v>1760000</v>
      </c>
      <c r="M1028" s="269"/>
      <c r="N1028" t="s">
        <v>2881</v>
      </c>
    </row>
    <row r="1029" spans="1:14" x14ac:dyDescent="0.3">
      <c r="A1029" s="58">
        <v>1027</v>
      </c>
      <c r="B1029" s="264">
        <v>45862</v>
      </c>
      <c r="C1029" s="292" t="s">
        <v>1466</v>
      </c>
      <c r="E1029" s="292" t="s">
        <v>2192</v>
      </c>
      <c r="F1029" s="269" t="s">
        <v>1208</v>
      </c>
      <c r="G1029" s="265">
        <v>1500000</v>
      </c>
      <c r="H1029" s="269">
        <v>1</v>
      </c>
      <c r="K1029" s="265">
        <v>1500000</v>
      </c>
      <c r="M1029" s="269"/>
      <c r="N1029" t="s">
        <v>2881</v>
      </c>
    </row>
    <row r="1030" spans="1:14" x14ac:dyDescent="0.3">
      <c r="A1030" s="58">
        <v>1028</v>
      </c>
      <c r="B1030" s="264">
        <v>45862</v>
      </c>
      <c r="C1030" s="292" t="s">
        <v>1466</v>
      </c>
      <c r="E1030" s="292" t="s">
        <v>2193</v>
      </c>
      <c r="F1030" s="269" t="s">
        <v>1812</v>
      </c>
      <c r="G1030" s="265">
        <v>50000</v>
      </c>
      <c r="H1030" s="269">
        <v>1</v>
      </c>
      <c r="K1030" s="265">
        <v>50000</v>
      </c>
      <c r="M1030" s="269"/>
      <c r="N1030" t="s">
        <v>2881</v>
      </c>
    </row>
    <row r="1031" spans="1:14" x14ac:dyDescent="0.3">
      <c r="A1031" s="58">
        <v>1029</v>
      </c>
      <c r="B1031" s="264">
        <v>45862</v>
      </c>
      <c r="C1031" s="292" t="s">
        <v>1457</v>
      </c>
      <c r="E1031" s="292" t="s">
        <v>2199</v>
      </c>
      <c r="F1031" s="269" t="s">
        <v>1214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2881</v>
      </c>
    </row>
    <row r="1032" spans="1:14" x14ac:dyDescent="0.3">
      <c r="A1032" s="58">
        <v>1030</v>
      </c>
      <c r="B1032" s="264">
        <v>45862</v>
      </c>
      <c r="C1032" s="292" t="s">
        <v>1457</v>
      </c>
      <c r="E1032" s="292" t="s">
        <v>2202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2881</v>
      </c>
    </row>
    <row r="1033" spans="1:14" x14ac:dyDescent="0.3">
      <c r="A1033" s="58">
        <v>1031</v>
      </c>
      <c r="B1033" s="264">
        <v>45862</v>
      </c>
      <c r="C1033" s="292" t="s">
        <v>1588</v>
      </c>
      <c r="E1033" s="292" t="s">
        <v>1273</v>
      </c>
      <c r="F1033" s="269" t="s">
        <v>1272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2881</v>
      </c>
    </row>
    <row r="1034" spans="1:14" x14ac:dyDescent="0.3">
      <c r="A1034" s="58">
        <v>1032</v>
      </c>
      <c r="B1034" s="264">
        <v>45862</v>
      </c>
      <c r="C1034" s="292" t="s">
        <v>1452</v>
      </c>
      <c r="E1034" s="292" t="s">
        <v>3012</v>
      </c>
      <c r="F1034" s="269" t="s">
        <v>3013</v>
      </c>
      <c r="G1034" s="265">
        <v>-230000</v>
      </c>
      <c r="H1034" s="269">
        <v>1</v>
      </c>
      <c r="K1034" s="265">
        <v>-230000</v>
      </c>
      <c r="M1034" s="269"/>
      <c r="N1034" t="s">
        <v>2881</v>
      </c>
    </row>
    <row r="1035" spans="1:14" x14ac:dyDescent="0.3">
      <c r="A1035" s="58">
        <v>1033</v>
      </c>
      <c r="B1035" s="264">
        <v>45862</v>
      </c>
      <c r="C1035" s="292" t="s">
        <v>2484</v>
      </c>
      <c r="E1035" s="292" t="s">
        <v>2691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1295</v>
      </c>
      <c r="E1036" s="292" t="s">
        <v>3088</v>
      </c>
      <c r="G1036" s="265">
        <v>50000</v>
      </c>
      <c r="H1036" s="269">
        <v>1</v>
      </c>
      <c r="K1036" s="265">
        <v>50000</v>
      </c>
      <c r="M1036" s="269"/>
      <c r="N1036" t="s">
        <v>2881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2267</v>
      </c>
      <c r="F1037" s="269" t="s">
        <v>2266</v>
      </c>
      <c r="G1037" s="265">
        <v>1500000</v>
      </c>
      <c r="H1037" s="269">
        <v>1</v>
      </c>
      <c r="K1037" s="265">
        <v>1500000</v>
      </c>
      <c r="M1037" s="269"/>
      <c r="N1037" t="s">
        <v>2881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2628</v>
      </c>
      <c r="F1038" s="269" t="s">
        <v>1764</v>
      </c>
      <c r="G1038" s="265">
        <v>50000</v>
      </c>
      <c r="H1038" s="269">
        <v>1</v>
      </c>
      <c r="K1038" s="265">
        <v>50000</v>
      </c>
      <c r="M1038" s="269"/>
      <c r="N1038" t="s">
        <v>2881</v>
      </c>
    </row>
    <row r="1039" spans="1:14" x14ac:dyDescent="0.3">
      <c r="A1039" s="58">
        <v>1037</v>
      </c>
      <c r="B1039" s="264">
        <v>45862</v>
      </c>
      <c r="C1039" s="292" t="s">
        <v>1466</v>
      </c>
      <c r="E1039" s="292" t="s">
        <v>3019</v>
      </c>
      <c r="G1039" s="265">
        <v>40000</v>
      </c>
      <c r="H1039" s="269">
        <v>1</v>
      </c>
      <c r="K1039" s="265">
        <v>40000</v>
      </c>
      <c r="M1039" s="269"/>
      <c r="N1039" t="s">
        <v>2881</v>
      </c>
    </row>
    <row r="1040" spans="1:14" x14ac:dyDescent="0.3">
      <c r="A1040" s="58">
        <v>1038</v>
      </c>
      <c r="B1040" s="264">
        <v>45862</v>
      </c>
      <c r="C1040" s="292" t="s">
        <v>1821</v>
      </c>
      <c r="E1040" s="292" t="s">
        <v>1130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2398</v>
      </c>
      <c r="E1041" s="292" t="s">
        <v>3022</v>
      </c>
      <c r="F1041" s="269" t="s">
        <v>3023</v>
      </c>
      <c r="G1041" s="265">
        <v>2000000</v>
      </c>
      <c r="H1041" s="269">
        <v>1</v>
      </c>
      <c r="K1041" s="265">
        <v>2000000</v>
      </c>
      <c r="M1041" s="269"/>
      <c r="N1041" t="s">
        <v>2881</v>
      </c>
    </row>
    <row r="1042" spans="1:14" x14ac:dyDescent="0.3">
      <c r="A1042" s="58">
        <v>1040</v>
      </c>
      <c r="B1042" s="264">
        <v>45863</v>
      </c>
      <c r="C1042" s="292" t="s">
        <v>1992</v>
      </c>
      <c r="E1042" s="292" t="s">
        <v>1724</v>
      </c>
      <c r="F1042" s="269" t="s">
        <v>1723</v>
      </c>
      <c r="G1042" s="265">
        <v>23000</v>
      </c>
      <c r="H1042" s="269">
        <v>10</v>
      </c>
      <c r="K1042" s="265">
        <v>230000</v>
      </c>
      <c r="M1042" s="269"/>
      <c r="N1042" t="s">
        <v>2881</v>
      </c>
    </row>
    <row r="1043" spans="1:14" x14ac:dyDescent="0.3">
      <c r="A1043" s="58">
        <v>1041</v>
      </c>
      <c r="B1043" s="264">
        <v>45863</v>
      </c>
      <c r="C1043" s="292" t="s">
        <v>1606</v>
      </c>
      <c r="E1043" s="292" t="s">
        <v>1210</v>
      </c>
      <c r="F1043" s="269" t="s">
        <v>1761</v>
      </c>
      <c r="G1043" s="265">
        <v>1000000</v>
      </c>
      <c r="H1043" s="269">
        <v>1</v>
      </c>
      <c r="K1043" s="265">
        <v>1000000</v>
      </c>
      <c r="M1043" s="269"/>
      <c r="N1043" t="s">
        <v>2881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2881</v>
      </c>
    </row>
    <row r="1045" spans="1:14" x14ac:dyDescent="0.3">
      <c r="A1045" s="58">
        <v>1043</v>
      </c>
      <c r="B1045" s="264">
        <v>45863</v>
      </c>
      <c r="C1045" s="292" t="s">
        <v>1087</v>
      </c>
      <c r="E1045" s="292" t="s">
        <v>2192</v>
      </c>
      <c r="F1045" s="269" t="s">
        <v>1208</v>
      </c>
      <c r="G1045" s="265">
        <v>1500000</v>
      </c>
      <c r="H1045" s="269">
        <v>1</v>
      </c>
      <c r="K1045" s="265">
        <v>1500000</v>
      </c>
      <c r="M1045" s="269"/>
      <c r="N1045" t="s">
        <v>2881</v>
      </c>
    </row>
    <row r="1046" spans="1:14" x14ac:dyDescent="0.3">
      <c r="A1046" s="58">
        <v>1044</v>
      </c>
      <c r="B1046" s="264">
        <v>45863</v>
      </c>
      <c r="C1046" s="292" t="s">
        <v>1087</v>
      </c>
      <c r="E1046" s="292" t="s">
        <v>2193</v>
      </c>
      <c r="F1046" s="269" t="s">
        <v>1812</v>
      </c>
      <c r="G1046" s="265">
        <v>50000</v>
      </c>
      <c r="H1046" s="269">
        <v>1</v>
      </c>
      <c r="K1046" s="265">
        <v>50000</v>
      </c>
      <c r="M1046" s="269"/>
      <c r="N1046" t="s">
        <v>2881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1130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1881</v>
      </c>
      <c r="E1048" s="292" t="s">
        <v>1130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2398</v>
      </c>
      <c r="E1049" s="292" t="s">
        <v>1130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1477</v>
      </c>
      <c r="E1050" s="292" t="s">
        <v>1210</v>
      </c>
      <c r="F1050" s="269" t="s">
        <v>1368</v>
      </c>
      <c r="G1050" s="265">
        <v>1300000</v>
      </c>
      <c r="H1050" s="269">
        <v>1</v>
      </c>
      <c r="K1050" s="265">
        <v>1300000</v>
      </c>
      <c r="M1050" s="269"/>
      <c r="N1050" t="s">
        <v>2881</v>
      </c>
    </row>
    <row r="1051" spans="1:14" x14ac:dyDescent="0.3">
      <c r="A1051" s="58">
        <v>1049</v>
      </c>
      <c r="B1051" s="264">
        <v>45864</v>
      </c>
      <c r="C1051" s="292" t="s">
        <v>1457</v>
      </c>
      <c r="E1051" s="292" t="s">
        <v>1755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1452</v>
      </c>
      <c r="E1052" s="292" t="s">
        <v>2190</v>
      </c>
      <c r="F1052" s="269" t="s">
        <v>1472</v>
      </c>
      <c r="G1052" s="265">
        <v>1500000</v>
      </c>
      <c r="H1052" s="269">
        <v>1</v>
      </c>
      <c r="K1052" s="265">
        <v>1500000</v>
      </c>
      <c r="M1052" s="269"/>
      <c r="N1052" t="s">
        <v>2881</v>
      </c>
    </row>
    <row r="1053" spans="1:14" x14ac:dyDescent="0.3">
      <c r="A1053" s="58">
        <v>1051</v>
      </c>
      <c r="B1053" s="264">
        <v>45864</v>
      </c>
      <c r="C1053" s="292" t="s">
        <v>1606</v>
      </c>
      <c r="E1053" s="292" t="s">
        <v>1755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3016</v>
      </c>
      <c r="E1054" s="292" t="s">
        <v>1130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1087</v>
      </c>
      <c r="E1055" s="292" t="s">
        <v>1130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1756</v>
      </c>
      <c r="E1056" s="292" t="s">
        <v>1130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2881</v>
      </c>
    </row>
    <row r="1058" spans="1:14" x14ac:dyDescent="0.3">
      <c r="A1058" s="58">
        <v>1056</v>
      </c>
      <c r="B1058" s="264">
        <v>45866</v>
      </c>
      <c r="C1058" s="292" t="s">
        <v>1407</v>
      </c>
      <c r="E1058" s="292" t="s">
        <v>1745</v>
      </c>
      <c r="F1058" s="269" t="s">
        <v>2852</v>
      </c>
      <c r="G1058" s="265">
        <v>500000</v>
      </c>
      <c r="H1058" s="269">
        <v>1</v>
      </c>
      <c r="K1058" s="265">
        <v>500000</v>
      </c>
      <c r="M1058" s="269"/>
      <c r="N1058" t="s">
        <v>2881</v>
      </c>
    </row>
    <row r="1059" spans="1:14" x14ac:dyDescent="0.3">
      <c r="A1059" s="58">
        <v>1057</v>
      </c>
      <c r="B1059" s="264">
        <v>45866</v>
      </c>
      <c r="C1059" s="292" t="s">
        <v>1407</v>
      </c>
      <c r="E1059" s="292" t="s">
        <v>2937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2881</v>
      </c>
    </row>
    <row r="1060" spans="1:14" x14ac:dyDescent="0.3">
      <c r="A1060" s="58">
        <v>1058</v>
      </c>
      <c r="B1060" s="264">
        <v>45866</v>
      </c>
      <c r="C1060" s="292" t="s">
        <v>1756</v>
      </c>
      <c r="E1060" s="292" t="s">
        <v>1744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2881</v>
      </c>
    </row>
    <row r="1061" spans="1:14" x14ac:dyDescent="0.3">
      <c r="A1061" s="58">
        <v>1059</v>
      </c>
      <c r="B1061" s="264">
        <v>45866</v>
      </c>
      <c r="C1061" s="292" t="s">
        <v>1858</v>
      </c>
      <c r="E1061" s="292" t="s">
        <v>2201</v>
      </c>
      <c r="F1061" s="269" t="s">
        <v>1207</v>
      </c>
      <c r="G1061" s="265">
        <v>200000</v>
      </c>
      <c r="H1061" s="269">
        <v>1</v>
      </c>
      <c r="K1061" s="265">
        <v>200000</v>
      </c>
      <c r="M1061" s="269"/>
      <c r="N1061" t="s">
        <v>2881</v>
      </c>
    </row>
    <row r="1062" spans="1:14" x14ac:dyDescent="0.3">
      <c r="A1062" s="58">
        <v>1060</v>
      </c>
      <c r="B1062" s="264">
        <v>45866</v>
      </c>
      <c r="C1062" s="292" t="s">
        <v>1679</v>
      </c>
      <c r="E1062" s="292" t="s">
        <v>1840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2881</v>
      </c>
    </row>
    <row r="1063" spans="1:14" x14ac:dyDescent="0.3">
      <c r="A1063" s="58">
        <v>1061</v>
      </c>
      <c r="B1063" s="264">
        <v>45866</v>
      </c>
      <c r="C1063" s="292" t="s">
        <v>1481</v>
      </c>
      <c r="E1063" s="292" t="s">
        <v>2199</v>
      </c>
      <c r="F1063" s="269" t="s">
        <v>1214</v>
      </c>
      <c r="G1063" s="265">
        <v>500000</v>
      </c>
      <c r="H1063" s="269">
        <v>1</v>
      </c>
      <c r="K1063" s="265">
        <v>500000</v>
      </c>
      <c r="M1063" s="269"/>
      <c r="N1063" t="s">
        <v>2881</v>
      </c>
    </row>
    <row r="1064" spans="1:14" x14ac:dyDescent="0.3">
      <c r="A1064" s="58">
        <v>1062</v>
      </c>
      <c r="B1064" s="264">
        <v>45866</v>
      </c>
      <c r="C1064" s="292" t="s">
        <v>3040</v>
      </c>
      <c r="E1064" s="292" t="s">
        <v>1870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2881</v>
      </c>
    </row>
    <row r="1065" spans="1:14" x14ac:dyDescent="0.3">
      <c r="A1065" s="58">
        <v>1063</v>
      </c>
      <c r="B1065" s="264">
        <v>45866</v>
      </c>
      <c r="C1065" s="292" t="s">
        <v>1552</v>
      </c>
      <c r="E1065" s="292" t="s">
        <v>2198</v>
      </c>
      <c r="F1065" s="269" t="s">
        <v>1207</v>
      </c>
      <c r="G1065" s="265">
        <v>1400000</v>
      </c>
      <c r="H1065" s="269">
        <v>1</v>
      </c>
      <c r="K1065" s="265">
        <v>1400000</v>
      </c>
      <c r="M1065" s="269"/>
      <c r="N1065" t="s">
        <v>2881</v>
      </c>
    </row>
    <row r="1066" spans="1:14" x14ac:dyDescent="0.3">
      <c r="A1066" s="58">
        <v>1064</v>
      </c>
      <c r="B1066" s="264">
        <v>45866</v>
      </c>
      <c r="C1066" s="292" t="s">
        <v>1872</v>
      </c>
      <c r="E1066" s="292" t="s">
        <v>2192</v>
      </c>
      <c r="F1066" s="269" t="s">
        <v>1208</v>
      </c>
      <c r="G1066" s="265">
        <v>1500000</v>
      </c>
      <c r="H1066" s="269">
        <v>1</v>
      </c>
      <c r="K1066" s="265">
        <v>1500000</v>
      </c>
      <c r="M1066" s="269"/>
      <c r="N1066" t="s">
        <v>2881</v>
      </c>
    </row>
    <row r="1067" spans="1:14" x14ac:dyDescent="0.3">
      <c r="A1067" s="58">
        <v>1065</v>
      </c>
      <c r="B1067" s="264">
        <v>45866</v>
      </c>
      <c r="C1067" s="292" t="s">
        <v>1872</v>
      </c>
      <c r="E1067" s="292" t="s">
        <v>2193</v>
      </c>
      <c r="F1067" s="269" t="s">
        <v>1812</v>
      </c>
      <c r="G1067" s="265">
        <v>50000</v>
      </c>
      <c r="H1067" s="269">
        <v>1</v>
      </c>
      <c r="K1067" s="265">
        <v>50000</v>
      </c>
      <c r="M1067" s="269"/>
      <c r="N1067" t="s">
        <v>2881</v>
      </c>
    </row>
    <row r="1068" spans="1:14" x14ac:dyDescent="0.3">
      <c r="A1068" s="58">
        <v>1066</v>
      </c>
      <c r="B1068" s="264">
        <v>45866</v>
      </c>
      <c r="C1068" s="292" t="s">
        <v>1756</v>
      </c>
      <c r="E1068" s="292" t="s">
        <v>2430</v>
      </c>
      <c r="F1068" s="269" t="s">
        <v>2766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2881</v>
      </c>
    </row>
    <row r="1069" spans="1:14" x14ac:dyDescent="0.3">
      <c r="A1069" s="58">
        <v>1067</v>
      </c>
      <c r="B1069" s="264">
        <v>45866</v>
      </c>
      <c r="C1069" s="292" t="s">
        <v>1756</v>
      </c>
      <c r="E1069" s="292" t="s">
        <v>1527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2881</v>
      </c>
    </row>
    <row r="1070" spans="1:14" x14ac:dyDescent="0.3">
      <c r="A1070" s="58">
        <v>1068</v>
      </c>
      <c r="B1070" s="264">
        <v>45866</v>
      </c>
      <c r="C1070" s="292" t="s">
        <v>1457</v>
      </c>
      <c r="E1070" s="292" t="s">
        <v>1210</v>
      </c>
      <c r="F1070" s="269" t="s">
        <v>1761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2881</v>
      </c>
    </row>
    <row r="1071" spans="1:14" x14ac:dyDescent="0.3">
      <c r="A1071" s="58">
        <v>1069</v>
      </c>
      <c r="B1071" s="264">
        <v>45866</v>
      </c>
      <c r="C1071" s="292" t="s">
        <v>3040</v>
      </c>
      <c r="E1071" s="292" t="s">
        <v>1755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3048</v>
      </c>
      <c r="E1072" s="292" t="s">
        <v>2192</v>
      </c>
      <c r="F1072" s="269" t="s">
        <v>1208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2881</v>
      </c>
    </row>
    <row r="1073" spans="1:14" x14ac:dyDescent="0.3">
      <c r="A1073" s="58">
        <v>1071</v>
      </c>
      <c r="B1073" s="264">
        <v>45866</v>
      </c>
      <c r="C1073" s="292" t="s">
        <v>3048</v>
      </c>
      <c r="E1073" s="292" t="s">
        <v>2193</v>
      </c>
      <c r="F1073" s="269" t="s">
        <v>1812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2881</v>
      </c>
    </row>
    <row r="1074" spans="1:14" x14ac:dyDescent="0.3">
      <c r="A1074" s="58">
        <v>1072</v>
      </c>
      <c r="B1074" s="264">
        <v>45866</v>
      </c>
      <c r="C1074" s="292" t="s">
        <v>3048</v>
      </c>
      <c r="E1074" s="292" t="s">
        <v>1755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1457</v>
      </c>
      <c r="E1075" s="292" t="s">
        <v>1755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1679</v>
      </c>
      <c r="E1076" s="292" t="s">
        <v>1755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1552</v>
      </c>
      <c r="E1077" s="292" t="s">
        <v>1755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1466</v>
      </c>
      <c r="E1078" s="292" t="s">
        <v>1755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1858</v>
      </c>
      <c r="E1079" s="292" t="s">
        <v>1755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1992</v>
      </c>
      <c r="E1080" s="292" t="s">
        <v>1755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1755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1755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1588</v>
      </c>
      <c r="E1083" s="292" t="s">
        <v>3002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1452</v>
      </c>
      <c r="E1084" s="292" t="s">
        <v>3079</v>
      </c>
      <c r="F1084" s="269" t="s">
        <v>3078</v>
      </c>
      <c r="G1084" s="265">
        <v>250000</v>
      </c>
      <c r="H1084" s="269">
        <v>1</v>
      </c>
      <c r="K1084" s="265">
        <v>250000</v>
      </c>
      <c r="M1084" s="269"/>
      <c r="N1084" t="s">
        <v>2881</v>
      </c>
    </row>
    <row r="1085" spans="1:14" x14ac:dyDescent="0.3">
      <c r="A1085" s="58">
        <v>1083</v>
      </c>
      <c r="B1085" s="264">
        <v>45867</v>
      </c>
      <c r="C1085" s="292" t="s">
        <v>1799</v>
      </c>
      <c r="E1085" s="292" t="s">
        <v>2192</v>
      </c>
      <c r="F1085" s="269" t="s">
        <v>1208</v>
      </c>
      <c r="G1085" s="265">
        <v>1500000</v>
      </c>
      <c r="H1085" s="269">
        <v>1</v>
      </c>
      <c r="K1085" s="265">
        <v>1500000</v>
      </c>
      <c r="M1085" s="269"/>
      <c r="N1085" t="s">
        <v>2881</v>
      </c>
    </row>
    <row r="1086" spans="1:14" x14ac:dyDescent="0.3">
      <c r="A1086" s="58">
        <v>1084</v>
      </c>
      <c r="B1086" s="264">
        <v>45867</v>
      </c>
      <c r="C1086" s="292" t="s">
        <v>1799</v>
      </c>
      <c r="E1086" s="292" t="s">
        <v>2193</v>
      </c>
      <c r="F1086" s="269" t="s">
        <v>1812</v>
      </c>
      <c r="G1086" s="265">
        <v>50000</v>
      </c>
      <c r="H1086" s="269">
        <v>1</v>
      </c>
      <c r="K1086" s="265">
        <v>50000</v>
      </c>
      <c r="M1086" s="269"/>
      <c r="N1086" t="s">
        <v>2881</v>
      </c>
    </row>
    <row r="1087" spans="1:14" x14ac:dyDescent="0.3">
      <c r="A1087" s="58">
        <v>1085</v>
      </c>
      <c r="B1087" s="264">
        <v>45867</v>
      </c>
      <c r="C1087" s="292" t="s">
        <v>1087</v>
      </c>
      <c r="E1087" s="292" t="s">
        <v>2198</v>
      </c>
      <c r="F1087" s="269" t="s">
        <v>1207</v>
      </c>
      <c r="G1087" s="265">
        <v>900000</v>
      </c>
      <c r="H1087" s="269">
        <v>1</v>
      </c>
      <c r="K1087" s="265">
        <v>900000</v>
      </c>
      <c r="M1087" s="269"/>
      <c r="N1087" t="s">
        <v>2881</v>
      </c>
    </row>
    <row r="1088" spans="1:14" x14ac:dyDescent="0.3">
      <c r="A1088" s="58">
        <v>1086</v>
      </c>
      <c r="B1088" s="264">
        <v>45867</v>
      </c>
      <c r="C1088" s="292" t="s">
        <v>1313</v>
      </c>
      <c r="E1088" s="292" t="s">
        <v>2199</v>
      </c>
      <c r="F1088" s="269" t="s">
        <v>1214</v>
      </c>
      <c r="G1088" s="265">
        <v>520000</v>
      </c>
      <c r="H1088" s="269">
        <v>1</v>
      </c>
      <c r="K1088" s="265">
        <v>520000</v>
      </c>
      <c r="M1088" s="269"/>
      <c r="N1088" t="s">
        <v>2881</v>
      </c>
    </row>
    <row r="1089" spans="1:14" x14ac:dyDescent="0.3">
      <c r="A1089" s="58">
        <v>1087</v>
      </c>
      <c r="B1089" s="264">
        <v>45867</v>
      </c>
      <c r="C1089" s="292" t="s">
        <v>1313</v>
      </c>
      <c r="E1089" s="292" t="s">
        <v>2202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2881</v>
      </c>
    </row>
    <row r="1090" spans="1:14" x14ac:dyDescent="0.3">
      <c r="A1090" s="58">
        <v>1088</v>
      </c>
      <c r="B1090" s="264">
        <v>45867</v>
      </c>
      <c r="C1090" s="292" t="s">
        <v>1313</v>
      </c>
      <c r="E1090" s="292" t="s">
        <v>2203</v>
      </c>
      <c r="F1090" s="269" t="s">
        <v>1804</v>
      </c>
      <c r="G1090" s="265">
        <v>35000</v>
      </c>
      <c r="H1090" s="269">
        <v>1</v>
      </c>
      <c r="K1090" s="265">
        <v>35000</v>
      </c>
      <c r="M1090" s="269"/>
      <c r="N1090" t="s">
        <v>2881</v>
      </c>
    </row>
    <row r="1091" spans="1:14" x14ac:dyDescent="0.3">
      <c r="A1091" s="58">
        <v>1089</v>
      </c>
      <c r="B1091" s="264">
        <v>45867</v>
      </c>
      <c r="C1091" s="292" t="s">
        <v>1313</v>
      </c>
      <c r="E1091" s="292" t="s">
        <v>2536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2881</v>
      </c>
    </row>
    <row r="1092" spans="1:14" x14ac:dyDescent="0.3">
      <c r="A1092" s="58">
        <v>1090</v>
      </c>
      <c r="B1092" s="264">
        <v>45867</v>
      </c>
      <c r="C1092" s="292" t="s">
        <v>1814</v>
      </c>
      <c r="E1092" s="292" t="s">
        <v>2632</v>
      </c>
      <c r="F1092" s="269" t="s">
        <v>2631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2881</v>
      </c>
    </row>
    <row r="1093" spans="1:14" x14ac:dyDescent="0.3">
      <c r="A1093" s="58">
        <v>1091</v>
      </c>
      <c r="B1093" s="264">
        <v>45867</v>
      </c>
      <c r="C1093" s="292" t="s">
        <v>2934</v>
      </c>
      <c r="E1093" s="292" t="s">
        <v>1210</v>
      </c>
      <c r="F1093" s="269" t="s">
        <v>1761</v>
      </c>
      <c r="G1093" s="265">
        <v>1000000</v>
      </c>
      <c r="H1093" s="269">
        <v>1</v>
      </c>
      <c r="K1093" s="265">
        <v>1000000</v>
      </c>
      <c r="M1093" s="269"/>
      <c r="N1093" t="s">
        <v>2881</v>
      </c>
    </row>
    <row r="1094" spans="1:14" x14ac:dyDescent="0.3">
      <c r="A1094" s="58">
        <v>1092</v>
      </c>
      <c r="B1094" s="264">
        <v>45867</v>
      </c>
      <c r="C1094" s="292" t="s">
        <v>1730</v>
      </c>
      <c r="E1094" s="292" t="s">
        <v>3089</v>
      </c>
      <c r="F1094" s="269" t="s">
        <v>2339</v>
      </c>
      <c r="G1094" s="265">
        <v>900000</v>
      </c>
      <c r="H1094" s="269">
        <v>1</v>
      </c>
      <c r="K1094" s="265">
        <v>900000</v>
      </c>
      <c r="M1094" s="269"/>
      <c r="N1094" t="s">
        <v>2881</v>
      </c>
    </row>
    <row r="1095" spans="1:14" x14ac:dyDescent="0.3">
      <c r="A1095" s="58">
        <v>1093</v>
      </c>
      <c r="B1095" s="264">
        <v>45867</v>
      </c>
      <c r="C1095" s="292" t="s">
        <v>1452</v>
      </c>
      <c r="E1095" s="292" t="s">
        <v>2192</v>
      </c>
      <c r="F1095" s="269" t="s">
        <v>1208</v>
      </c>
      <c r="G1095" s="265">
        <v>1500000</v>
      </c>
      <c r="H1095" s="269">
        <v>1</v>
      </c>
      <c r="K1095" s="265">
        <v>1500000</v>
      </c>
      <c r="M1095" s="269"/>
      <c r="N1095" t="s">
        <v>2881</v>
      </c>
    </row>
    <row r="1096" spans="1:14" x14ac:dyDescent="0.3">
      <c r="A1096" s="58">
        <v>1094</v>
      </c>
      <c r="B1096" s="264">
        <v>45867</v>
      </c>
      <c r="C1096" s="292" t="s">
        <v>1452</v>
      </c>
      <c r="E1096" s="292" t="s">
        <v>2193</v>
      </c>
      <c r="F1096" s="269" t="s">
        <v>1812</v>
      </c>
      <c r="G1096" s="265">
        <v>50000</v>
      </c>
      <c r="H1096" s="269">
        <v>1</v>
      </c>
      <c r="K1096" s="265">
        <v>50000</v>
      </c>
      <c r="M1096" s="269"/>
      <c r="N1096" t="s">
        <v>2881</v>
      </c>
    </row>
    <row r="1097" spans="1:14" x14ac:dyDescent="0.3">
      <c r="A1097" s="58">
        <v>1095</v>
      </c>
      <c r="B1097" s="264">
        <v>45867</v>
      </c>
      <c r="C1097" s="292" t="s">
        <v>1452</v>
      </c>
      <c r="E1097" s="292" t="s">
        <v>1557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2881</v>
      </c>
    </row>
    <row r="1098" spans="1:14" x14ac:dyDescent="0.3">
      <c r="A1098" s="58">
        <v>1096</v>
      </c>
      <c r="B1098" s="264">
        <v>45867</v>
      </c>
      <c r="C1098" s="292" t="s">
        <v>1814</v>
      </c>
      <c r="E1098" s="292" t="s">
        <v>1130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2934</v>
      </c>
      <c r="E1099" s="292" t="s">
        <v>1130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1313</v>
      </c>
      <c r="E1100" s="292" t="s">
        <v>1755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1989</v>
      </c>
      <c r="E1101" s="292" t="s">
        <v>2192</v>
      </c>
      <c r="F1101" s="269" t="s">
        <v>1208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2881</v>
      </c>
    </row>
    <row r="1102" spans="1:14" x14ac:dyDescent="0.3">
      <c r="A1102" s="58">
        <v>1100</v>
      </c>
      <c r="B1102" s="264">
        <v>45868</v>
      </c>
      <c r="C1102" s="292" t="s">
        <v>1989</v>
      </c>
      <c r="E1102" s="292" t="s">
        <v>2193</v>
      </c>
      <c r="F1102" s="269" t="s">
        <v>1812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2881</v>
      </c>
    </row>
    <row r="1103" spans="1:14" x14ac:dyDescent="0.3">
      <c r="A1103" s="58">
        <v>1101</v>
      </c>
      <c r="B1103" s="264">
        <v>45868</v>
      </c>
      <c r="C1103" s="292" t="s">
        <v>1818</v>
      </c>
      <c r="E1103" s="292" t="s">
        <v>2192</v>
      </c>
      <c r="F1103" s="269" t="s">
        <v>1208</v>
      </c>
      <c r="G1103" s="265">
        <v>1500000</v>
      </c>
      <c r="H1103" s="269">
        <v>1</v>
      </c>
      <c r="K1103" s="265">
        <v>1500000</v>
      </c>
      <c r="M1103" s="269"/>
      <c r="N1103" t="s">
        <v>2881</v>
      </c>
    </row>
    <row r="1104" spans="1:14" x14ac:dyDescent="0.3">
      <c r="A1104" s="58">
        <v>1102</v>
      </c>
      <c r="B1104" s="264">
        <v>45868</v>
      </c>
      <c r="C1104" s="292" t="s">
        <v>1818</v>
      </c>
      <c r="E1104" s="292" t="s">
        <v>2193</v>
      </c>
      <c r="F1104" s="269" t="s">
        <v>1812</v>
      </c>
      <c r="G1104" s="265">
        <v>50000</v>
      </c>
      <c r="H1104" s="269">
        <v>1</v>
      </c>
      <c r="K1104" s="265">
        <v>50000</v>
      </c>
      <c r="M1104" s="269"/>
      <c r="N1104" t="s">
        <v>2881</v>
      </c>
    </row>
    <row r="1105" spans="1:14" x14ac:dyDescent="0.3">
      <c r="A1105" s="58">
        <v>1103</v>
      </c>
      <c r="B1105" s="264">
        <v>45868</v>
      </c>
      <c r="C1105" s="292" t="s">
        <v>2807</v>
      </c>
      <c r="E1105" s="292" t="s">
        <v>2194</v>
      </c>
      <c r="F1105" s="269" t="s">
        <v>2229</v>
      </c>
      <c r="G1105" s="265">
        <v>250000</v>
      </c>
      <c r="H1105" s="269">
        <v>1</v>
      </c>
      <c r="K1105" s="265">
        <v>250000</v>
      </c>
      <c r="M1105" s="269"/>
      <c r="N1105" t="s">
        <v>2881</v>
      </c>
    </row>
    <row r="1106" spans="1:14" x14ac:dyDescent="0.3">
      <c r="A1106" s="58">
        <v>1104</v>
      </c>
      <c r="B1106" s="264">
        <v>45868</v>
      </c>
      <c r="C1106" s="292" t="s">
        <v>1814</v>
      </c>
      <c r="E1106" s="292" t="s">
        <v>3093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2881</v>
      </c>
    </row>
    <row r="1107" spans="1:14" x14ac:dyDescent="0.3">
      <c r="A1107" s="58">
        <v>1105</v>
      </c>
      <c r="B1107" s="264">
        <v>45868</v>
      </c>
      <c r="C1107" s="292" t="s">
        <v>1585</v>
      </c>
      <c r="E1107" s="292" t="s">
        <v>2937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2881</v>
      </c>
    </row>
    <row r="1108" spans="1:14" x14ac:dyDescent="0.3">
      <c r="A1108" s="58">
        <v>1106</v>
      </c>
      <c r="B1108" s="264">
        <v>45868</v>
      </c>
      <c r="C1108" s="292" t="s">
        <v>3096</v>
      </c>
      <c r="E1108" s="292" t="s">
        <v>1210</v>
      </c>
      <c r="F1108" s="269" t="s">
        <v>1761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2881</v>
      </c>
    </row>
    <row r="1109" spans="1:14" x14ac:dyDescent="0.3">
      <c r="A1109" s="58">
        <v>1107</v>
      </c>
      <c r="B1109" s="264">
        <v>45868</v>
      </c>
      <c r="C1109" s="292" t="s">
        <v>2331</v>
      </c>
      <c r="E1109" s="292" t="s">
        <v>2937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2881</v>
      </c>
    </row>
    <row r="1110" spans="1:14" x14ac:dyDescent="0.3">
      <c r="A1110" s="58">
        <v>1108</v>
      </c>
      <c r="B1110" s="264">
        <v>45868</v>
      </c>
      <c r="C1110" s="292" t="s">
        <v>1679</v>
      </c>
      <c r="E1110" s="292" t="s">
        <v>1130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2743</v>
      </c>
      <c r="E1111" s="292" t="s">
        <v>1130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2331</v>
      </c>
      <c r="E1112" s="292" t="s">
        <v>1130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1989</v>
      </c>
      <c r="E1113" s="292" t="s">
        <v>1130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2807</v>
      </c>
      <c r="E1114" s="292" t="s">
        <v>1130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3096</v>
      </c>
      <c r="E1115" s="292" t="s">
        <v>1130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1460</v>
      </c>
      <c r="E1116" s="292" t="s">
        <v>1130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1087</v>
      </c>
      <c r="E1117" s="292" t="s">
        <v>1130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2331</v>
      </c>
      <c r="E1118" s="292" t="s">
        <v>1130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1481</v>
      </c>
      <c r="E1119" s="292" t="s">
        <v>2192</v>
      </c>
      <c r="F1119" s="269" t="s">
        <v>1208</v>
      </c>
      <c r="G1119" s="265">
        <v>1500000</v>
      </c>
      <c r="H1119" s="269">
        <v>1</v>
      </c>
      <c r="K1119" s="265">
        <v>1500000</v>
      </c>
      <c r="M1119" s="269"/>
      <c r="N1119" t="s">
        <v>2881</v>
      </c>
    </row>
    <row r="1120" spans="1:14" x14ac:dyDescent="0.3">
      <c r="A1120" s="58">
        <v>1118</v>
      </c>
      <c r="B1120" s="264">
        <v>45869</v>
      </c>
      <c r="C1120" s="292" t="s">
        <v>1799</v>
      </c>
      <c r="E1120" s="292" t="s">
        <v>2192</v>
      </c>
      <c r="F1120" s="269" t="s">
        <v>1208</v>
      </c>
      <c r="G1120" s="265">
        <v>1500000</v>
      </c>
      <c r="H1120" s="269">
        <v>1</v>
      </c>
      <c r="K1120" s="265">
        <v>1500000</v>
      </c>
      <c r="M1120" s="269"/>
      <c r="N1120" t="s">
        <v>2881</v>
      </c>
    </row>
    <row r="1121" spans="1:14" x14ac:dyDescent="0.3">
      <c r="A1121" s="58">
        <v>1119</v>
      </c>
      <c r="B1121" s="264">
        <v>45869</v>
      </c>
      <c r="C1121" s="292" t="s">
        <v>1799</v>
      </c>
      <c r="E1121" s="292" t="s">
        <v>2193</v>
      </c>
      <c r="F1121" s="269" t="s">
        <v>1812</v>
      </c>
      <c r="G1121" s="265">
        <v>50000</v>
      </c>
      <c r="H1121" s="269">
        <v>1</v>
      </c>
      <c r="K1121" s="265">
        <v>50000</v>
      </c>
      <c r="M1121" s="269"/>
      <c r="N1121" t="s">
        <v>2881</v>
      </c>
    </row>
    <row r="1122" spans="1:14" x14ac:dyDescent="0.3">
      <c r="A1122" s="58">
        <v>1120</v>
      </c>
      <c r="B1122" s="264">
        <v>45869</v>
      </c>
      <c r="C1122" s="292" t="s">
        <v>1506</v>
      </c>
      <c r="E1122" s="292" t="s">
        <v>1210</v>
      </c>
      <c r="F1122" s="269" t="s">
        <v>1761</v>
      </c>
      <c r="G1122" s="265">
        <v>1200000</v>
      </c>
      <c r="H1122" s="269">
        <v>1</v>
      </c>
      <c r="K1122" s="265">
        <v>1200000</v>
      </c>
      <c r="M1122" s="269"/>
      <c r="N1122" t="s">
        <v>2881</v>
      </c>
    </row>
    <row r="1123" spans="1:14" x14ac:dyDescent="0.3">
      <c r="A1123" s="58">
        <v>1121</v>
      </c>
      <c r="B1123" s="264">
        <v>45869</v>
      </c>
      <c r="C1123" s="292" t="s">
        <v>1506</v>
      </c>
      <c r="E1123" s="292" t="s">
        <v>1527</v>
      </c>
      <c r="G1123" s="265">
        <v>20000</v>
      </c>
      <c r="H1123" s="269">
        <v>1</v>
      </c>
      <c r="K1123" s="265">
        <v>20000</v>
      </c>
      <c r="M1123" s="269"/>
      <c r="N1123" t="s">
        <v>2881</v>
      </c>
    </row>
    <row r="1124" spans="1:14" x14ac:dyDescent="0.3">
      <c r="A1124" s="58">
        <v>1122</v>
      </c>
      <c r="B1124" s="264">
        <v>45869</v>
      </c>
      <c r="C1124" s="292" t="s">
        <v>1679</v>
      </c>
      <c r="E1124" s="292" t="s">
        <v>2582</v>
      </c>
      <c r="F1124" s="269" t="s">
        <v>2581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2881</v>
      </c>
    </row>
    <row r="1125" spans="1:14" x14ac:dyDescent="0.3">
      <c r="A1125" s="58">
        <v>1123</v>
      </c>
      <c r="B1125" s="264">
        <v>45869</v>
      </c>
      <c r="C1125" s="292" t="s">
        <v>1588</v>
      </c>
      <c r="E1125" s="292" t="s">
        <v>1273</v>
      </c>
      <c r="F1125" s="269" t="s">
        <v>1272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2881</v>
      </c>
    </row>
    <row r="1126" spans="1:14" x14ac:dyDescent="0.3">
      <c r="A1126" s="58">
        <v>1124</v>
      </c>
      <c r="B1126" s="264">
        <v>45869</v>
      </c>
      <c r="C1126" s="292" t="s">
        <v>1407</v>
      </c>
      <c r="E1126" s="292" t="s">
        <v>1130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1872</v>
      </c>
      <c r="E1127" s="292" t="s">
        <v>1130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1562</v>
      </c>
      <c r="E1128" s="292" t="s">
        <v>1130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1506</v>
      </c>
      <c r="E1129" s="292" t="s">
        <v>1130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1585</v>
      </c>
      <c r="E1130" s="292" t="s">
        <v>1130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1152</v>
      </c>
      <c r="E1131" s="292" t="s">
        <v>1130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1481</v>
      </c>
      <c r="E1132" s="292" t="s">
        <v>2199</v>
      </c>
      <c r="F1132" s="269" t="s">
        <v>1214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3112</v>
      </c>
      <c r="E1133" s="292" t="s">
        <v>1212</v>
      </c>
      <c r="F1133" s="269" t="s">
        <v>1211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1953</v>
      </c>
      <c r="E1134" s="292" t="s">
        <v>2192</v>
      </c>
      <c r="F1134" s="269" t="s">
        <v>1208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1953</v>
      </c>
      <c r="E1135" s="292" t="s">
        <v>2193</v>
      </c>
      <c r="F1135" s="269" t="s">
        <v>1812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1407</v>
      </c>
      <c r="E1136" s="292" t="s">
        <v>2192</v>
      </c>
      <c r="F1136" s="269" t="s">
        <v>1208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1407</v>
      </c>
      <c r="E1137" s="292" t="s">
        <v>2193</v>
      </c>
      <c r="F1137" s="269" t="s">
        <v>1812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1549</v>
      </c>
      <c r="E1138" s="292" t="s">
        <v>1130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1953</v>
      </c>
      <c r="E1139" s="292" t="s">
        <v>1130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1481</v>
      </c>
      <c r="E1140" s="292" t="s">
        <v>1130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3112</v>
      </c>
      <c r="E1141" s="292" t="s">
        <v>1130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1730</v>
      </c>
      <c r="E1142" s="292" t="s">
        <v>1724</v>
      </c>
      <c r="F1142" s="269" t="s">
        <v>1723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1337</v>
      </c>
      <c r="E1143" s="292" t="s">
        <v>3129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1481</v>
      </c>
      <c r="E1144" s="292" t="s">
        <v>1130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1818</v>
      </c>
      <c r="E1145" s="292" t="s">
        <v>1130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1814</v>
      </c>
      <c r="E1146" s="292" t="s">
        <v>1130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1481</v>
      </c>
      <c r="E1147" s="292" t="s">
        <v>2192</v>
      </c>
      <c r="F1147" s="269" t="s">
        <v>1208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1481</v>
      </c>
      <c r="E1148" s="292" t="s">
        <v>2192</v>
      </c>
      <c r="F1148" s="269" t="s">
        <v>1208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2160</v>
      </c>
      <c r="E1149" s="292" t="s">
        <v>1725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1870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1756</v>
      </c>
      <c r="E1151" s="292" t="s">
        <v>1755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1756</v>
      </c>
      <c r="E1152" s="292" t="s">
        <v>2202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1756</v>
      </c>
      <c r="E1153" s="292" t="s">
        <v>2203</v>
      </c>
      <c r="F1153" s="269" t="s">
        <v>1804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2157</v>
      </c>
      <c r="E1154" s="292" t="s">
        <v>2858</v>
      </c>
      <c r="F1154" s="269" t="s">
        <v>2768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1475</v>
      </c>
      <c r="E1155" s="292" t="s">
        <v>2206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1604</v>
      </c>
      <c r="E1156" s="292" t="s">
        <v>1212</v>
      </c>
      <c r="F1156" s="269" t="s">
        <v>1213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2422</v>
      </c>
      <c r="E1157" s="292" t="s">
        <v>2430</v>
      </c>
      <c r="F1157" s="269" t="s">
        <v>2766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3134</v>
      </c>
      <c r="E1158" s="292" t="s">
        <v>2208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1407</v>
      </c>
      <c r="E1159" s="292" t="s">
        <v>1210</v>
      </c>
      <c r="F1159" s="269" t="s">
        <v>1761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1407</v>
      </c>
      <c r="E1160" s="292" t="s">
        <v>2199</v>
      </c>
      <c r="F1160" s="269" t="s">
        <v>1214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1407</v>
      </c>
      <c r="E1161" s="292" t="s">
        <v>2203</v>
      </c>
      <c r="F1161" s="269" t="s">
        <v>1804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1989</v>
      </c>
      <c r="E1162" s="292" t="s">
        <v>1210</v>
      </c>
      <c r="F1162" s="269" t="s">
        <v>1761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1989</v>
      </c>
      <c r="E1163" s="292" t="s">
        <v>3135</v>
      </c>
      <c r="F1163" s="269" t="s">
        <v>1761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1562</v>
      </c>
      <c r="E1164" s="292" t="s">
        <v>3136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1562</v>
      </c>
      <c r="E1165" s="292" t="s">
        <v>3137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1562</v>
      </c>
      <c r="E1166" s="292" t="s">
        <v>3138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1452</v>
      </c>
      <c r="E1167" s="292" t="s">
        <v>2192</v>
      </c>
      <c r="F1167" s="269" t="s">
        <v>1208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1452</v>
      </c>
      <c r="E1168" s="292" t="s">
        <v>2193</v>
      </c>
      <c r="F1168" s="269" t="s">
        <v>1812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1989</v>
      </c>
      <c r="E1169" s="292" t="s">
        <v>1130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3134</v>
      </c>
      <c r="E1170" s="292" t="s">
        <v>1130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2160</v>
      </c>
      <c r="E1171" s="292" t="s">
        <v>1130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1481</v>
      </c>
      <c r="E1172" s="292" t="s">
        <v>1130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2422</v>
      </c>
      <c r="E1173" s="292" t="s">
        <v>1130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1502</v>
      </c>
      <c r="E1174" s="292" t="s">
        <v>1210</v>
      </c>
      <c r="F1174" s="269" t="s">
        <v>1761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2124</v>
      </c>
      <c r="F1175" s="269" t="s">
        <v>2598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3140</v>
      </c>
      <c r="E1176" s="292" t="s">
        <v>2192</v>
      </c>
      <c r="F1176" s="269" t="s">
        <v>1208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3140</v>
      </c>
      <c r="E1177" s="292" t="s">
        <v>2193</v>
      </c>
      <c r="F1177" s="269" t="s">
        <v>1812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1152</v>
      </c>
      <c r="E1178" s="292" t="s">
        <v>3153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1818</v>
      </c>
      <c r="E1179" s="292" t="s">
        <v>1504</v>
      </c>
      <c r="F1179" s="269" t="s">
        <v>2697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1323</v>
      </c>
      <c r="E1180" s="292" t="s">
        <v>1434</v>
      </c>
      <c r="F1180" s="269" t="s">
        <v>3162</v>
      </c>
      <c r="G1180" s="265">
        <v>1300000</v>
      </c>
      <c r="H1180" s="269">
        <v>1</v>
      </c>
      <c r="J1180" s="266" t="s">
        <v>3163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2157</v>
      </c>
      <c r="E1181" s="292" t="s">
        <v>2208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2157</v>
      </c>
      <c r="E1182" s="292" t="s">
        <v>2922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1585</v>
      </c>
      <c r="E1183" s="292" t="s">
        <v>3159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1756</v>
      </c>
      <c r="E1184" s="292" t="s">
        <v>2208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1756</v>
      </c>
      <c r="E1185" s="292" t="s">
        <v>1527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3140</v>
      </c>
      <c r="E1186" s="292" t="s">
        <v>1130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2157</v>
      </c>
      <c r="E1187" s="292" t="s">
        <v>1130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3156</v>
      </c>
      <c r="E1188" s="292" t="s">
        <v>1130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1452</v>
      </c>
      <c r="E1189" s="292" t="s">
        <v>2823</v>
      </c>
      <c r="F1189" s="269" t="s">
        <v>2822</v>
      </c>
      <c r="G1189" s="265">
        <v>250000</v>
      </c>
      <c r="H1189" s="269">
        <v>1</v>
      </c>
      <c r="K1189" s="265">
        <v>250000</v>
      </c>
      <c r="M1189" s="269" t="s">
        <v>3164</v>
      </c>
    </row>
    <row r="1190" spans="1:13" x14ac:dyDescent="0.3">
      <c r="A1190" s="58">
        <v>1188</v>
      </c>
      <c r="B1190" s="264">
        <v>45876</v>
      </c>
      <c r="C1190" s="292" t="s">
        <v>1452</v>
      </c>
      <c r="E1190" s="292" t="s">
        <v>2195</v>
      </c>
      <c r="F1190" s="269" t="s">
        <v>1728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2801</v>
      </c>
      <c r="E1191" s="292" t="s">
        <v>2192</v>
      </c>
      <c r="F1191" s="269" t="s">
        <v>1208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2801</v>
      </c>
      <c r="E1192" s="292" t="s">
        <v>2193</v>
      </c>
      <c r="F1192" s="269" t="s">
        <v>1812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2422</v>
      </c>
      <c r="E1193" s="292" t="s">
        <v>2430</v>
      </c>
      <c r="F1193" s="269" t="s">
        <v>2766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2422</v>
      </c>
      <c r="E1194" s="292" t="s">
        <v>3168</v>
      </c>
      <c r="F1194" s="269" t="s">
        <v>2766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1502</v>
      </c>
      <c r="E1195" s="292" t="s">
        <v>1130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1487</v>
      </c>
      <c r="E1196" s="292" t="s">
        <v>1130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1730</v>
      </c>
      <c r="E1197" s="292" t="s">
        <v>1130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2801</v>
      </c>
      <c r="E1198" s="292" t="s">
        <v>1130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2422</v>
      </c>
      <c r="E1199" s="292" t="s">
        <v>1130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3169</v>
      </c>
      <c r="E1200" s="292" t="s">
        <v>1504</v>
      </c>
      <c r="F1200" s="269" t="s">
        <v>2697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3169</v>
      </c>
      <c r="E1201" s="292" t="s">
        <v>1527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3169</v>
      </c>
      <c r="E1202" s="292" t="s">
        <v>1130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3171</v>
      </c>
      <c r="E1203" s="292" t="s">
        <v>2311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3171</v>
      </c>
      <c r="E1204" s="292" t="s">
        <v>1130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2851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1273</v>
      </c>
      <c r="F1207" s="269" t="s">
        <v>1272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3181</v>
      </c>
      <c r="E1208" s="292" t="s">
        <v>2192</v>
      </c>
      <c r="F1208" s="269" t="s">
        <v>1208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3181</v>
      </c>
      <c r="E1209" s="292" t="s">
        <v>2193</v>
      </c>
      <c r="F1209" s="269" t="s">
        <v>1812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1475</v>
      </c>
      <c r="E1210" s="292" t="s">
        <v>1130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2331</v>
      </c>
      <c r="E1211" s="292" t="s">
        <v>1212</v>
      </c>
      <c r="F1211" s="269" t="s">
        <v>1213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1756</v>
      </c>
      <c r="E1212" s="292" t="s">
        <v>2200</v>
      </c>
      <c r="F1212" s="269" t="s">
        <v>1266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1756</v>
      </c>
      <c r="E1213" s="292" t="s">
        <v>2204</v>
      </c>
      <c r="F1213" s="269" t="s">
        <v>1833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1588</v>
      </c>
      <c r="E1214" s="292" t="s">
        <v>1212</v>
      </c>
      <c r="F1214" s="269" t="s">
        <v>1571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1502</v>
      </c>
      <c r="E1215" s="292" t="s">
        <v>2396</v>
      </c>
      <c r="F1215" s="269" t="s">
        <v>3186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1407</v>
      </c>
      <c r="E1216" s="292" t="s">
        <v>1210</v>
      </c>
      <c r="F1216" s="269" t="s">
        <v>1761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1407</v>
      </c>
      <c r="E1217" s="292" t="s">
        <v>1504</v>
      </c>
      <c r="F1217" s="269" t="s">
        <v>2697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1407</v>
      </c>
      <c r="E1218" s="292" t="s">
        <v>2858</v>
      </c>
      <c r="F1218" s="269" t="s">
        <v>2768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1905</v>
      </c>
      <c r="E1219" s="292" t="s">
        <v>1210</v>
      </c>
      <c r="F1219" s="269" t="s">
        <v>1761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2934</v>
      </c>
      <c r="E1220" s="292" t="s">
        <v>2192</v>
      </c>
      <c r="F1220" s="269" t="s">
        <v>1208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2934</v>
      </c>
      <c r="E1221" s="292" t="s">
        <v>1130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1475</v>
      </c>
      <c r="E1222" s="292" t="s">
        <v>2039</v>
      </c>
      <c r="F1222" s="269" t="s">
        <v>1223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1481</v>
      </c>
      <c r="E1223" s="292" t="s">
        <v>2199</v>
      </c>
      <c r="F1223" s="269" t="s">
        <v>1214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2331</v>
      </c>
      <c r="E1224" s="292" t="s">
        <v>2793</v>
      </c>
      <c r="F1224" s="269" t="s">
        <v>1220</v>
      </c>
      <c r="G1224" s="265">
        <v>1500000</v>
      </c>
      <c r="H1224" s="269">
        <v>1</v>
      </c>
      <c r="K1224" s="265">
        <v>1500000</v>
      </c>
      <c r="M1224" s="269" t="s">
        <v>3195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2478</v>
      </c>
      <c r="F1225" s="269" t="s">
        <v>1219</v>
      </c>
      <c r="G1225" s="265">
        <v>1500000</v>
      </c>
      <c r="H1225" s="269">
        <v>1</v>
      </c>
      <c r="K1225" s="265">
        <v>1500000</v>
      </c>
      <c r="M1225" s="284" t="s">
        <v>3197</v>
      </c>
    </row>
    <row r="1226" spans="1:13" x14ac:dyDescent="0.3">
      <c r="A1226" s="58">
        <v>1224</v>
      </c>
      <c r="B1226" s="264">
        <v>45881</v>
      </c>
      <c r="C1226" s="292" t="s">
        <v>1679</v>
      </c>
      <c r="E1226" s="292" t="s">
        <v>1130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2331</v>
      </c>
      <c r="E1227" s="292" t="s">
        <v>1130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1818</v>
      </c>
      <c r="E1228" s="292" t="s">
        <v>1130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3181</v>
      </c>
      <c r="E1229" s="292" t="s">
        <v>1130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1814</v>
      </c>
      <c r="E1230" s="292" t="s">
        <v>2199</v>
      </c>
      <c r="F1230" s="269" t="s">
        <v>1214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1814</v>
      </c>
      <c r="E1231" s="292" t="s">
        <v>2200</v>
      </c>
      <c r="F1231" s="269" t="s">
        <v>1266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1588</v>
      </c>
      <c r="E1232" s="292" t="s">
        <v>2199</v>
      </c>
      <c r="F1232" s="269" t="s">
        <v>1214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1407</v>
      </c>
      <c r="E1233" s="292" t="s">
        <v>2430</v>
      </c>
      <c r="F1233" s="269" t="s">
        <v>2766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1407</v>
      </c>
      <c r="E1234" s="292" t="s">
        <v>2199</v>
      </c>
      <c r="F1234" s="269" t="s">
        <v>1214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1407</v>
      </c>
      <c r="E1235" s="292" t="s">
        <v>2204</v>
      </c>
      <c r="F1235" s="269" t="s">
        <v>1833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1407</v>
      </c>
      <c r="E1236" s="292" t="s">
        <v>2203</v>
      </c>
      <c r="F1236" s="269" t="s">
        <v>1804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1585</v>
      </c>
      <c r="E1237" s="292" t="s">
        <v>2199</v>
      </c>
      <c r="F1237" s="269" t="s">
        <v>1214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1585</v>
      </c>
      <c r="E1238" s="292" t="s">
        <v>2202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1585</v>
      </c>
      <c r="E1239" s="292" t="s">
        <v>2203</v>
      </c>
      <c r="F1239" s="269" t="s">
        <v>1804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1585</v>
      </c>
      <c r="E1240" s="292" t="s">
        <v>2204</v>
      </c>
      <c r="F1240" s="269" t="s">
        <v>1833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1585</v>
      </c>
      <c r="E1241" s="292" t="s">
        <v>2206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2200</v>
      </c>
      <c r="F1242" s="269" t="s">
        <v>1266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2204</v>
      </c>
      <c r="F1244" s="269" t="s">
        <v>1833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2203</v>
      </c>
      <c r="F1245" s="269" t="s">
        <v>1804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3206</v>
      </c>
      <c r="E1246" s="292" t="s">
        <v>1210</v>
      </c>
      <c r="F1246" s="269" t="s">
        <v>1761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3206</v>
      </c>
      <c r="E1247" s="292" t="s">
        <v>1504</v>
      </c>
      <c r="F1247" s="269" t="s">
        <v>2697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3203</v>
      </c>
      <c r="E1248" s="292" t="s">
        <v>3211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3206</v>
      </c>
      <c r="E1249" s="292" t="s">
        <v>1130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3203</v>
      </c>
      <c r="E1250" s="292" t="s">
        <v>1130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1297</v>
      </c>
      <c r="E1251" s="292" t="s">
        <v>1654</v>
      </c>
      <c r="F1251" s="269" t="s">
        <v>2360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3227</v>
      </c>
    </row>
    <row r="1252" spans="1:13" x14ac:dyDescent="0.3">
      <c r="A1252" s="58">
        <v>1250</v>
      </c>
      <c r="B1252" s="264">
        <v>45883</v>
      </c>
      <c r="C1252" s="292" t="s">
        <v>1502</v>
      </c>
      <c r="E1252" s="292" t="s">
        <v>1130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1487</v>
      </c>
      <c r="E1253" s="292" t="s">
        <v>2199</v>
      </c>
      <c r="F1253" s="269" t="s">
        <v>1214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1487</v>
      </c>
      <c r="E1254" s="292" t="s">
        <v>2200</v>
      </c>
      <c r="F1254" s="269" t="s">
        <v>1266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1487</v>
      </c>
      <c r="E1255" s="292" t="s">
        <v>2204</v>
      </c>
      <c r="F1255" s="269" t="s">
        <v>1833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1588</v>
      </c>
      <c r="E1256" s="292" t="s">
        <v>3216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2192</v>
      </c>
      <c r="F1257" s="269" t="s">
        <v>1208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2199</v>
      </c>
      <c r="F1258" s="269" t="s">
        <v>1214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1235</v>
      </c>
      <c r="E1259" s="292" t="s">
        <v>2198</v>
      </c>
      <c r="F1259" s="269" t="s">
        <v>1207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3219</v>
      </c>
    </row>
    <row r="1260" spans="1:13" x14ac:dyDescent="0.3">
      <c r="A1260" s="58">
        <v>1258</v>
      </c>
      <c r="B1260" s="264">
        <v>45883</v>
      </c>
      <c r="C1260" s="292" t="s">
        <v>3221</v>
      </c>
      <c r="E1260" s="292" t="s">
        <v>1752</v>
      </c>
      <c r="G1260" s="265">
        <v>600000</v>
      </c>
      <c r="H1260" s="269">
        <v>1</v>
      </c>
      <c r="K1260" s="265">
        <v>600000</v>
      </c>
      <c r="M1260" s="269" t="s">
        <v>3222</v>
      </c>
    </row>
    <row r="1261" spans="1:13" x14ac:dyDescent="0.3">
      <c r="A1261" s="58">
        <v>1259</v>
      </c>
      <c r="B1261" s="264">
        <v>45883</v>
      </c>
      <c r="C1261" s="292" t="s">
        <v>1328</v>
      </c>
      <c r="E1261" s="292" t="s">
        <v>3357</v>
      </c>
      <c r="F1261" s="269" t="s">
        <v>3358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1130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1235</v>
      </c>
      <c r="E1263" s="292" t="s">
        <v>1130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1130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2422</v>
      </c>
      <c r="E1265" s="292" t="s">
        <v>2698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1905</v>
      </c>
      <c r="E1266" s="292" t="s">
        <v>1130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1341</v>
      </c>
      <c r="E1267" s="292" t="s">
        <v>3240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1407</v>
      </c>
      <c r="E1268" s="292" t="s">
        <v>2669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3230</v>
      </c>
      <c r="E1269" s="292" t="s">
        <v>2311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3230</v>
      </c>
      <c r="E1270" s="292" t="s">
        <v>2858</v>
      </c>
      <c r="F1270" s="269" t="s">
        <v>2768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1730</v>
      </c>
      <c r="E1271" s="292" t="s">
        <v>2199</v>
      </c>
      <c r="F1271" s="269" t="s">
        <v>1214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1730</v>
      </c>
      <c r="E1272" s="292" t="s">
        <v>2200</v>
      </c>
      <c r="F1272" s="269" t="s">
        <v>1266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3221</v>
      </c>
      <c r="E1273" s="292" t="s">
        <v>1130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2422</v>
      </c>
      <c r="E1274" s="292" t="s">
        <v>1130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1457</v>
      </c>
      <c r="E1275" s="292" t="s">
        <v>1130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1407</v>
      </c>
      <c r="E1276" s="292" t="s">
        <v>1752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1487</v>
      </c>
      <c r="E1277" s="292" t="s">
        <v>2199</v>
      </c>
      <c r="F1277" s="269" t="s">
        <v>1214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1487</v>
      </c>
      <c r="E1278" s="292" t="s">
        <v>2200</v>
      </c>
      <c r="F1278" s="269" t="s">
        <v>1266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1487</v>
      </c>
      <c r="E1279" s="292" t="s">
        <v>2204</v>
      </c>
      <c r="F1279" s="269" t="s">
        <v>1833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1487</v>
      </c>
      <c r="E1280" s="292" t="s">
        <v>2203</v>
      </c>
      <c r="F1280" s="269" t="s">
        <v>1804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1487</v>
      </c>
      <c r="E1281" s="292" t="s">
        <v>1210</v>
      </c>
      <c r="F1281" s="269" t="s">
        <v>1761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1487</v>
      </c>
      <c r="E1282" s="292" t="s">
        <v>1504</v>
      </c>
      <c r="F1282" s="269" t="s">
        <v>2697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1452</v>
      </c>
      <c r="E1283" s="292" t="s">
        <v>2208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1452</v>
      </c>
      <c r="E1284" s="292" t="s">
        <v>2068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1475</v>
      </c>
      <c r="E1285" s="292" t="s">
        <v>3244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1475</v>
      </c>
      <c r="E1286" s="292" t="s">
        <v>3244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3245</v>
      </c>
    </row>
    <row r="1287" spans="1:13" x14ac:dyDescent="0.3">
      <c r="A1287" s="58">
        <v>1285</v>
      </c>
      <c r="B1287" s="264">
        <v>45887</v>
      </c>
      <c r="C1287" s="292" t="s">
        <v>1341</v>
      </c>
      <c r="E1287" s="292" t="s">
        <v>1226</v>
      </c>
      <c r="F1287" s="269" t="s">
        <v>2174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1989</v>
      </c>
      <c r="E1288" s="292" t="s">
        <v>2192</v>
      </c>
      <c r="F1288" s="269" t="s">
        <v>1208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3249</v>
      </c>
    </row>
    <row r="1289" spans="1:13" x14ac:dyDescent="0.3">
      <c r="A1289" s="58">
        <v>1287</v>
      </c>
      <c r="B1289" s="264">
        <v>45887</v>
      </c>
      <c r="C1289" s="292" t="s">
        <v>1326</v>
      </c>
      <c r="E1289" s="292" t="s">
        <v>1731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1606</v>
      </c>
      <c r="E1290" s="292" t="s">
        <v>2192</v>
      </c>
      <c r="F1290" s="269" t="s">
        <v>1208</v>
      </c>
      <c r="G1290" s="265">
        <v>1500000</v>
      </c>
      <c r="H1290" s="269">
        <v>1</v>
      </c>
      <c r="K1290" s="265">
        <v>1500000</v>
      </c>
      <c r="M1290" s="269" t="s">
        <v>3251</v>
      </c>
    </row>
    <row r="1291" spans="1:13" x14ac:dyDescent="0.3">
      <c r="A1291" s="58">
        <v>1289</v>
      </c>
      <c r="B1291" s="264">
        <v>45887</v>
      </c>
      <c r="C1291" s="292" t="s">
        <v>1989</v>
      </c>
      <c r="E1291" s="292" t="s">
        <v>1130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1462</v>
      </c>
      <c r="E1292" s="292" t="s">
        <v>2192</v>
      </c>
      <c r="F1292" s="269" t="s">
        <v>1208</v>
      </c>
      <c r="G1292" s="265">
        <v>1550000</v>
      </c>
      <c r="H1292" s="269">
        <v>1</v>
      </c>
      <c r="K1292" s="265">
        <v>1550000</v>
      </c>
      <c r="M1292" s="269" t="s">
        <v>3253</v>
      </c>
    </row>
    <row r="1293" spans="1:13" x14ac:dyDescent="0.3">
      <c r="A1293" s="58">
        <v>1291</v>
      </c>
      <c r="B1293" s="264">
        <v>45887</v>
      </c>
      <c r="C1293" s="292" t="s">
        <v>3230</v>
      </c>
      <c r="E1293" s="292" t="s">
        <v>1130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1457</v>
      </c>
      <c r="E1294" s="292" t="s">
        <v>1130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1585</v>
      </c>
      <c r="E1295" s="292" t="s">
        <v>2864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1585</v>
      </c>
      <c r="E1296" s="292" t="s">
        <v>2793</v>
      </c>
      <c r="F1296" s="269" t="s">
        <v>1220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3255</v>
      </c>
    </row>
    <row r="1297" spans="1:14" x14ac:dyDescent="0.3">
      <c r="A1297" s="58">
        <v>1295</v>
      </c>
      <c r="B1297" s="264">
        <v>45888</v>
      </c>
      <c r="C1297" s="292" t="s">
        <v>1585</v>
      </c>
      <c r="E1297" s="292" t="s">
        <v>1527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1407</v>
      </c>
      <c r="E1298" s="292" t="s">
        <v>2039</v>
      </c>
      <c r="F1298" s="269" t="s">
        <v>1223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1481</v>
      </c>
      <c r="E1299" s="292" t="s">
        <v>2302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1606</v>
      </c>
      <c r="E1300" s="292" t="s">
        <v>1210</v>
      </c>
      <c r="F1300" s="269" t="s">
        <v>1761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1407</v>
      </c>
      <c r="E1301" s="292" t="s">
        <v>1752</v>
      </c>
      <c r="G1301" s="265">
        <v>650000</v>
      </c>
      <c r="H1301" s="269">
        <v>1</v>
      </c>
      <c r="K1301" s="265">
        <v>650000</v>
      </c>
      <c r="M1301" s="269" t="s">
        <v>3260</v>
      </c>
    </row>
    <row r="1302" spans="1:14" x14ac:dyDescent="0.3">
      <c r="A1302" s="58">
        <v>1300</v>
      </c>
      <c r="B1302" s="264">
        <v>45888</v>
      </c>
      <c r="C1302" s="292" t="s">
        <v>1606</v>
      </c>
      <c r="E1302" s="292" t="s">
        <v>1130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2626</v>
      </c>
      <c r="E1303" s="292" t="s">
        <v>1130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2198</v>
      </c>
      <c r="F1304" s="269" t="s">
        <v>1207</v>
      </c>
      <c r="G1304" s="265">
        <v>1400000</v>
      </c>
      <c r="H1304" s="269">
        <v>1</v>
      </c>
      <c r="K1304" s="265">
        <v>1400000</v>
      </c>
      <c r="M1304" s="269" t="s">
        <v>3262</v>
      </c>
    </row>
    <row r="1305" spans="1:14" x14ac:dyDescent="0.3">
      <c r="A1305" s="58">
        <v>1303</v>
      </c>
      <c r="B1305" s="264">
        <v>45889</v>
      </c>
      <c r="C1305" s="292" t="s">
        <v>1549</v>
      </c>
      <c r="E1305" s="292" t="s">
        <v>1752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2192</v>
      </c>
      <c r="F1306" s="269" t="s">
        <v>1208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2193</v>
      </c>
      <c r="F1307" s="269" t="s">
        <v>1812</v>
      </c>
      <c r="G1307" s="265">
        <v>50000</v>
      </c>
      <c r="H1307" s="269">
        <v>1</v>
      </c>
      <c r="K1307" s="265">
        <v>50000</v>
      </c>
      <c r="M1307" s="269" t="s">
        <v>3266</v>
      </c>
    </row>
    <row r="1308" spans="1:14" x14ac:dyDescent="0.3">
      <c r="A1308" s="58">
        <v>1306</v>
      </c>
      <c r="B1308" s="264">
        <v>45889</v>
      </c>
      <c r="C1308" s="292" t="s">
        <v>2572</v>
      </c>
      <c r="E1308" s="292" t="s">
        <v>1752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2273</v>
      </c>
      <c r="E1309" s="292" t="s">
        <v>1210</v>
      </c>
      <c r="F1309" s="269" t="s">
        <v>1761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2379</v>
      </c>
      <c r="E1310" s="292" t="s">
        <v>3269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1386</v>
      </c>
      <c r="E1311" s="292" t="s">
        <v>1725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3514</v>
      </c>
    </row>
    <row r="1312" spans="1:14" x14ac:dyDescent="0.3">
      <c r="A1312" s="58">
        <v>1310</v>
      </c>
      <c r="B1312" s="264">
        <v>45890</v>
      </c>
      <c r="C1312" s="292" t="s">
        <v>2934</v>
      </c>
      <c r="E1312" s="292" t="s">
        <v>2302</v>
      </c>
      <c r="G1312" s="265">
        <v>1500000</v>
      </c>
      <c r="H1312" s="269">
        <v>1</v>
      </c>
      <c r="K1312" s="265">
        <v>1500000</v>
      </c>
      <c r="M1312" s="269"/>
      <c r="N1312" t="s">
        <v>3514</v>
      </c>
    </row>
    <row r="1313" spans="1:14" x14ac:dyDescent="0.3">
      <c r="A1313" s="58">
        <v>1311</v>
      </c>
      <c r="B1313" s="264">
        <v>45890</v>
      </c>
      <c r="C1313" s="292" t="s">
        <v>1588</v>
      </c>
      <c r="E1313" s="292" t="s">
        <v>1753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1588</v>
      </c>
      <c r="E1314" s="292" t="s">
        <v>1273</v>
      </c>
      <c r="F1314" s="269" t="s">
        <v>1272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2572</v>
      </c>
      <c r="E1315" s="292" t="s">
        <v>2190</v>
      </c>
      <c r="F1315" s="269" t="s">
        <v>1472</v>
      </c>
      <c r="G1315" s="265">
        <v>1500000</v>
      </c>
      <c r="H1315" s="269">
        <v>1</v>
      </c>
      <c r="K1315" s="265">
        <v>1500000</v>
      </c>
      <c r="M1315" s="269"/>
      <c r="N1315" t="s">
        <v>3514</v>
      </c>
    </row>
    <row r="1316" spans="1:14" x14ac:dyDescent="0.3">
      <c r="A1316" s="58">
        <v>1314</v>
      </c>
      <c r="B1316" s="264">
        <v>45890</v>
      </c>
      <c r="C1316" s="292" t="s">
        <v>1730</v>
      </c>
      <c r="E1316" s="292" t="s">
        <v>1212</v>
      </c>
      <c r="F1316" s="269" t="s">
        <v>1213</v>
      </c>
      <c r="G1316" s="265">
        <v>1200000</v>
      </c>
      <c r="H1316" s="269">
        <v>1</v>
      </c>
      <c r="K1316" s="265">
        <v>1200000</v>
      </c>
      <c r="M1316" s="269" t="s">
        <v>3275</v>
      </c>
    </row>
    <row r="1317" spans="1:14" x14ac:dyDescent="0.3">
      <c r="A1317" s="58">
        <v>1315</v>
      </c>
      <c r="B1317" s="264">
        <v>45890</v>
      </c>
      <c r="C1317" s="292" t="s">
        <v>1407</v>
      </c>
      <c r="E1317" s="292" t="s">
        <v>2192</v>
      </c>
      <c r="F1317" s="269" t="s">
        <v>1208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1407</v>
      </c>
      <c r="E1318" s="292" t="s">
        <v>3277</v>
      </c>
      <c r="H1318" s="269">
        <v>1</v>
      </c>
      <c r="L1318" s="265">
        <v>-600000</v>
      </c>
      <c r="M1318" s="269" t="s">
        <v>3278</v>
      </c>
    </row>
    <row r="1319" spans="1:14" x14ac:dyDescent="0.3">
      <c r="A1319" s="58">
        <v>1317</v>
      </c>
      <c r="B1319" s="264">
        <v>45890</v>
      </c>
      <c r="C1319" s="292" t="s">
        <v>1407</v>
      </c>
      <c r="E1319" s="292" t="s">
        <v>2193</v>
      </c>
      <c r="F1319" s="269" t="s">
        <v>1812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3140</v>
      </c>
      <c r="E1320" s="292" t="s">
        <v>2430</v>
      </c>
      <c r="F1320" s="269" t="s">
        <v>2766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3514</v>
      </c>
    </row>
    <row r="1321" spans="1:14" x14ac:dyDescent="0.3">
      <c r="A1321" s="58">
        <v>1319</v>
      </c>
      <c r="B1321" s="264">
        <v>45890</v>
      </c>
      <c r="C1321" s="292" t="s">
        <v>2934</v>
      </c>
      <c r="E1321" s="292" t="s">
        <v>1130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3140</v>
      </c>
      <c r="E1322" s="292" t="s">
        <v>1130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2273</v>
      </c>
      <c r="E1323" s="292" t="s">
        <v>1130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2572</v>
      </c>
      <c r="E1324" s="292" t="s">
        <v>1130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1462</v>
      </c>
      <c r="E1325" s="292" t="s">
        <v>1130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2876</v>
      </c>
      <c r="E1326" s="292" t="s">
        <v>2832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3514</v>
      </c>
    </row>
    <row r="1327" spans="1:14" x14ac:dyDescent="0.3">
      <c r="A1327" s="58">
        <v>1325</v>
      </c>
      <c r="B1327" s="264">
        <v>45891</v>
      </c>
      <c r="C1327" s="292" t="s">
        <v>1821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3514</v>
      </c>
    </row>
    <row r="1328" spans="1:14" x14ac:dyDescent="0.3">
      <c r="A1328" s="58">
        <v>1326</v>
      </c>
      <c r="B1328" s="264">
        <v>45891</v>
      </c>
      <c r="C1328" s="292" t="s">
        <v>1821</v>
      </c>
      <c r="E1328" s="292" t="s">
        <v>2199</v>
      </c>
      <c r="F1328" s="269" t="s">
        <v>1214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3284</v>
      </c>
      <c r="N1328" t="s">
        <v>3514</v>
      </c>
    </row>
    <row r="1329" spans="1:14" x14ac:dyDescent="0.3">
      <c r="A1329" s="58">
        <v>1327</v>
      </c>
      <c r="B1329" s="264">
        <v>45891</v>
      </c>
      <c r="C1329" s="292" t="s">
        <v>3286</v>
      </c>
      <c r="E1329" s="292" t="s">
        <v>3289</v>
      </c>
      <c r="G1329" s="265">
        <v>200000</v>
      </c>
      <c r="H1329" s="269">
        <v>1</v>
      </c>
      <c r="K1329" s="265">
        <v>200000</v>
      </c>
      <c r="M1329" s="269"/>
      <c r="N1329" t="s">
        <v>3514</v>
      </c>
    </row>
    <row r="1330" spans="1:14" x14ac:dyDescent="0.3">
      <c r="A1330" s="58">
        <v>1328</v>
      </c>
      <c r="B1330" s="264">
        <v>45891</v>
      </c>
      <c r="C1330" s="292" t="s">
        <v>1326</v>
      </c>
      <c r="E1330" s="292" t="s">
        <v>1731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3514</v>
      </c>
    </row>
    <row r="1331" spans="1:14" x14ac:dyDescent="0.3">
      <c r="A1331" s="58">
        <v>1329</v>
      </c>
      <c r="B1331" s="264">
        <v>45891</v>
      </c>
      <c r="C1331" s="292" t="s">
        <v>3292</v>
      </c>
      <c r="E1331" s="292" t="s">
        <v>3296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3297</v>
      </c>
      <c r="N1331" t="s">
        <v>3514</v>
      </c>
    </row>
    <row r="1332" spans="1:14" x14ac:dyDescent="0.3">
      <c r="A1332" s="58">
        <v>1330</v>
      </c>
      <c r="B1332" s="264">
        <v>45891</v>
      </c>
      <c r="C1332" s="292" t="s">
        <v>3286</v>
      </c>
      <c r="E1332" s="292" t="s">
        <v>1130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3292</v>
      </c>
      <c r="E1333" s="292" t="s">
        <v>1130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2876</v>
      </c>
      <c r="E1334" s="292" t="s">
        <v>1130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2572</v>
      </c>
      <c r="E1335" s="292" t="s">
        <v>1130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1725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3514</v>
      </c>
    </row>
    <row r="1337" spans="1:14" x14ac:dyDescent="0.3">
      <c r="A1337" s="58">
        <v>1335</v>
      </c>
      <c r="B1337" s="264">
        <v>45892</v>
      </c>
      <c r="C1337" s="292" t="s">
        <v>2626</v>
      </c>
      <c r="E1337" s="292" t="s">
        <v>1755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1386</v>
      </c>
      <c r="E1338" s="292" t="s">
        <v>1755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1130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1130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1407</v>
      </c>
      <c r="E1341" s="292" t="s">
        <v>1753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3514</v>
      </c>
    </row>
    <row r="1342" spans="1:14" x14ac:dyDescent="0.3">
      <c r="A1342" s="58">
        <v>1340</v>
      </c>
      <c r="B1342" s="264">
        <v>45894</v>
      </c>
      <c r="C1342" s="292" t="s">
        <v>1407</v>
      </c>
      <c r="E1342" s="292" t="s">
        <v>1210</v>
      </c>
      <c r="F1342" s="269" t="s">
        <v>1761</v>
      </c>
      <c r="G1342" s="265">
        <v>1200000</v>
      </c>
      <c r="H1342" s="269">
        <v>1</v>
      </c>
      <c r="K1342" s="265">
        <v>1200000</v>
      </c>
      <c r="M1342" s="269"/>
      <c r="N1342" t="s">
        <v>3514</v>
      </c>
    </row>
    <row r="1343" spans="1:14" x14ac:dyDescent="0.3">
      <c r="A1343" s="58">
        <v>1341</v>
      </c>
      <c r="B1343" s="264">
        <v>45894</v>
      </c>
      <c r="C1343" s="292" t="s">
        <v>1407</v>
      </c>
      <c r="E1343" s="292" t="s">
        <v>2858</v>
      </c>
      <c r="F1343" s="269" t="s">
        <v>2768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1407</v>
      </c>
      <c r="E1344" s="292" t="s">
        <v>2199</v>
      </c>
      <c r="F1344" s="269" t="s">
        <v>1214</v>
      </c>
      <c r="G1344" s="265">
        <v>510000</v>
      </c>
      <c r="H1344" s="269">
        <v>1</v>
      </c>
      <c r="K1344" s="265">
        <v>510000</v>
      </c>
      <c r="M1344" s="269"/>
      <c r="N1344" t="s">
        <v>3514</v>
      </c>
    </row>
    <row r="1345" spans="1:14" x14ac:dyDescent="0.3">
      <c r="A1345" s="58">
        <v>1343</v>
      </c>
      <c r="B1345" s="264">
        <v>45894</v>
      </c>
      <c r="C1345" s="292" t="s">
        <v>1407</v>
      </c>
      <c r="E1345" s="292" t="s">
        <v>2200</v>
      </c>
      <c r="F1345" s="269" t="s">
        <v>1266</v>
      </c>
      <c r="G1345" s="265">
        <v>130000</v>
      </c>
      <c r="H1345" s="269">
        <v>1</v>
      </c>
      <c r="K1345" s="265">
        <v>130000</v>
      </c>
      <c r="M1345" s="269"/>
      <c r="N1345" t="s">
        <v>3514</v>
      </c>
    </row>
    <row r="1346" spans="1:14" x14ac:dyDescent="0.3">
      <c r="A1346" s="58">
        <v>1344</v>
      </c>
      <c r="B1346" s="264">
        <v>45894</v>
      </c>
      <c r="C1346" s="292" t="s">
        <v>1407</v>
      </c>
      <c r="E1346" s="292" t="s">
        <v>2203</v>
      </c>
      <c r="F1346" s="269" t="s">
        <v>1804</v>
      </c>
      <c r="G1346" s="265">
        <v>30000</v>
      </c>
      <c r="H1346" s="269">
        <v>1</v>
      </c>
      <c r="K1346" s="265">
        <v>30000</v>
      </c>
      <c r="M1346" s="269"/>
      <c r="N1346" t="s">
        <v>3514</v>
      </c>
    </row>
    <row r="1347" spans="1:14" x14ac:dyDescent="0.3">
      <c r="A1347" s="58">
        <v>1345</v>
      </c>
      <c r="B1347" s="264">
        <v>45894</v>
      </c>
      <c r="C1347" s="292" t="s">
        <v>1407</v>
      </c>
      <c r="E1347" s="292" t="s">
        <v>2204</v>
      </c>
      <c r="F1347" s="269" t="s">
        <v>1833</v>
      </c>
      <c r="G1347" s="265">
        <v>10000</v>
      </c>
      <c r="H1347" s="269">
        <v>1</v>
      </c>
      <c r="K1347" s="265">
        <v>10000</v>
      </c>
      <c r="M1347" s="269"/>
      <c r="N1347" t="s">
        <v>3514</v>
      </c>
    </row>
    <row r="1348" spans="1:14" x14ac:dyDescent="0.3">
      <c r="A1348" s="58">
        <v>1346</v>
      </c>
      <c r="B1348" s="264">
        <v>45894</v>
      </c>
      <c r="C1348" s="292" t="s">
        <v>1814</v>
      </c>
      <c r="E1348" s="292" t="s">
        <v>2199</v>
      </c>
      <c r="F1348" s="269" t="s">
        <v>1214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1814</v>
      </c>
      <c r="E1349" s="292" t="s">
        <v>2200</v>
      </c>
      <c r="F1349" s="269" t="s">
        <v>1266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1814</v>
      </c>
      <c r="E1350" s="292" t="s">
        <v>2203</v>
      </c>
      <c r="F1350" s="269" t="s">
        <v>1804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1814</v>
      </c>
      <c r="E1351" s="292" t="s">
        <v>2204</v>
      </c>
      <c r="F1351" s="269" t="s">
        <v>1833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3140</v>
      </c>
      <c r="E1352" s="292" t="s">
        <v>3309</v>
      </c>
      <c r="F1352" s="269" t="s">
        <v>3310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3514</v>
      </c>
    </row>
    <row r="1353" spans="1:14" x14ac:dyDescent="0.3">
      <c r="A1353" s="58">
        <v>1351</v>
      </c>
      <c r="B1353" s="264">
        <v>45894</v>
      </c>
      <c r="C1353" s="292" t="s">
        <v>2934</v>
      </c>
      <c r="E1353" s="292" t="s">
        <v>2149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3514</v>
      </c>
    </row>
    <row r="1354" spans="1:14" x14ac:dyDescent="0.3">
      <c r="A1354" s="58">
        <v>1352</v>
      </c>
      <c r="B1354" s="264">
        <v>45894</v>
      </c>
      <c r="C1354" s="292" t="s">
        <v>1585</v>
      </c>
      <c r="E1354" s="292" t="s">
        <v>2937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3514</v>
      </c>
    </row>
    <row r="1355" spans="1:14" x14ac:dyDescent="0.3">
      <c r="A1355" s="58">
        <v>1353</v>
      </c>
      <c r="B1355" s="264">
        <v>45894</v>
      </c>
      <c r="C1355" s="292" t="s">
        <v>2304</v>
      </c>
      <c r="E1355" s="292" t="s">
        <v>3089</v>
      </c>
      <c r="F1355" s="269" t="s">
        <v>2339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3514</v>
      </c>
    </row>
    <row r="1356" spans="1:14" x14ac:dyDescent="0.3">
      <c r="A1356" s="58">
        <v>1354</v>
      </c>
      <c r="B1356" s="264">
        <v>45894</v>
      </c>
      <c r="C1356" s="292" t="s">
        <v>2572</v>
      </c>
      <c r="E1356" s="292" t="s">
        <v>2039</v>
      </c>
      <c r="F1356" s="269" t="s">
        <v>1223</v>
      </c>
      <c r="G1356" s="265">
        <v>1500000</v>
      </c>
      <c r="H1356" s="269">
        <v>1</v>
      </c>
      <c r="K1356" s="265">
        <v>1500000</v>
      </c>
      <c r="M1356" s="269"/>
      <c r="N1356" t="s">
        <v>3514</v>
      </c>
    </row>
    <row r="1357" spans="1:14" x14ac:dyDescent="0.3">
      <c r="A1357" s="58">
        <v>1355</v>
      </c>
      <c r="B1357" s="264">
        <v>45894</v>
      </c>
      <c r="C1357" s="292" t="s">
        <v>2572</v>
      </c>
      <c r="E1357" s="292" t="s">
        <v>1749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3514</v>
      </c>
    </row>
    <row r="1358" spans="1:14" x14ac:dyDescent="0.3">
      <c r="A1358" s="58">
        <v>1356</v>
      </c>
      <c r="B1358" s="264">
        <v>45894</v>
      </c>
      <c r="C1358" s="292" t="s">
        <v>3317</v>
      </c>
      <c r="E1358" s="292" t="s">
        <v>2192</v>
      </c>
      <c r="F1358" s="269" t="s">
        <v>1208</v>
      </c>
      <c r="G1358" s="265">
        <v>1500000</v>
      </c>
      <c r="H1358" s="269">
        <v>1</v>
      </c>
      <c r="K1358" s="265">
        <v>1500000</v>
      </c>
      <c r="M1358" s="269"/>
      <c r="N1358" t="s">
        <v>3514</v>
      </c>
    </row>
    <row r="1359" spans="1:14" x14ac:dyDescent="0.3">
      <c r="A1359" s="58">
        <v>1357</v>
      </c>
      <c r="B1359" s="264">
        <v>45894</v>
      </c>
      <c r="C1359" s="292" t="s">
        <v>3317</v>
      </c>
      <c r="E1359" s="292" t="s">
        <v>2192</v>
      </c>
      <c r="F1359" s="269" t="s">
        <v>1208</v>
      </c>
      <c r="G1359" s="265">
        <v>1500000</v>
      </c>
      <c r="H1359" s="269">
        <v>1</v>
      </c>
      <c r="K1359" s="265">
        <v>1500000</v>
      </c>
      <c r="M1359" s="269"/>
      <c r="N1359" t="s">
        <v>3514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3514</v>
      </c>
    </row>
    <row r="1361" spans="1:14" x14ac:dyDescent="0.3">
      <c r="A1361" s="58">
        <v>1359</v>
      </c>
      <c r="B1361" s="264">
        <v>45894</v>
      </c>
      <c r="C1361" s="292" t="s">
        <v>2422</v>
      </c>
      <c r="E1361" s="292" t="s">
        <v>3324</v>
      </c>
      <c r="G1361" s="265">
        <v>300000</v>
      </c>
      <c r="H1361" s="269">
        <v>1</v>
      </c>
      <c r="K1361" s="265">
        <v>300000</v>
      </c>
      <c r="M1361" s="269"/>
      <c r="N1361" t="s">
        <v>3514</v>
      </c>
    </row>
    <row r="1362" spans="1:14" x14ac:dyDescent="0.3">
      <c r="A1362" s="58">
        <v>1360</v>
      </c>
      <c r="B1362" s="264">
        <v>45894</v>
      </c>
      <c r="C1362" s="292" t="s">
        <v>2318</v>
      </c>
      <c r="E1362" s="292" t="s">
        <v>2311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3514</v>
      </c>
    </row>
    <row r="1363" spans="1:14" x14ac:dyDescent="0.3">
      <c r="A1363" s="58">
        <v>1361</v>
      </c>
      <c r="B1363" s="264">
        <v>45894</v>
      </c>
      <c r="C1363" s="292" t="s">
        <v>1585</v>
      </c>
      <c r="E1363" s="292" t="s">
        <v>2199</v>
      </c>
      <c r="F1363" s="269" t="s">
        <v>1214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3514</v>
      </c>
    </row>
    <row r="1364" spans="1:14" x14ac:dyDescent="0.3">
      <c r="A1364" s="58">
        <v>1362</v>
      </c>
      <c r="B1364" s="264">
        <v>45894</v>
      </c>
      <c r="C1364" s="292" t="s">
        <v>1281</v>
      </c>
      <c r="E1364" s="292" t="s">
        <v>3004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3514</v>
      </c>
    </row>
    <row r="1365" spans="1:14" x14ac:dyDescent="0.3">
      <c r="A1365" s="58">
        <v>1363</v>
      </c>
      <c r="B1365" s="264">
        <v>45894</v>
      </c>
      <c r="C1365" s="292" t="s">
        <v>1585</v>
      </c>
      <c r="E1365" s="292" t="s">
        <v>2203</v>
      </c>
      <c r="F1365" s="269" t="s">
        <v>1804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3514</v>
      </c>
    </row>
    <row r="1366" spans="1:14" x14ac:dyDescent="0.3">
      <c r="A1366" s="58">
        <v>1364</v>
      </c>
      <c r="B1366" s="264">
        <v>45894</v>
      </c>
      <c r="C1366" s="292" t="s">
        <v>1585</v>
      </c>
      <c r="E1366" s="292" t="s">
        <v>2204</v>
      </c>
      <c r="F1366" s="269" t="s">
        <v>1833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3514</v>
      </c>
    </row>
    <row r="1367" spans="1:14" x14ac:dyDescent="0.3">
      <c r="A1367" s="58">
        <v>1365</v>
      </c>
      <c r="B1367" s="264">
        <v>45894</v>
      </c>
      <c r="C1367" s="292" t="s">
        <v>1585</v>
      </c>
      <c r="E1367" s="292" t="s">
        <v>2206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3514</v>
      </c>
    </row>
    <row r="1368" spans="1:14" x14ac:dyDescent="0.3">
      <c r="A1368" s="58">
        <v>1366</v>
      </c>
      <c r="B1368" s="264">
        <v>45894</v>
      </c>
      <c r="C1368" s="292" t="s">
        <v>1585</v>
      </c>
      <c r="E1368" s="292" t="s">
        <v>2199</v>
      </c>
      <c r="F1368" s="269" t="s">
        <v>1214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3514</v>
      </c>
    </row>
    <row r="1369" spans="1:14" x14ac:dyDescent="0.3">
      <c r="A1369" s="58">
        <v>1367</v>
      </c>
      <c r="B1369" s="264">
        <v>45894</v>
      </c>
      <c r="C1369" s="292" t="s">
        <v>1585</v>
      </c>
      <c r="E1369" s="292" t="s">
        <v>2202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3514</v>
      </c>
    </row>
    <row r="1370" spans="1:14" x14ac:dyDescent="0.3">
      <c r="A1370" s="58">
        <v>1368</v>
      </c>
      <c r="B1370" s="264">
        <v>45894</v>
      </c>
      <c r="C1370" s="292" t="s">
        <v>1585</v>
      </c>
      <c r="E1370" s="292" t="s">
        <v>2203</v>
      </c>
      <c r="F1370" s="269" t="s">
        <v>1804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3514</v>
      </c>
    </row>
    <row r="1371" spans="1:14" x14ac:dyDescent="0.3">
      <c r="A1371" s="58">
        <v>1369</v>
      </c>
      <c r="B1371" s="264">
        <v>45894</v>
      </c>
      <c r="C1371" s="292" t="s">
        <v>1585</v>
      </c>
      <c r="E1371" s="292" t="s">
        <v>2204</v>
      </c>
      <c r="F1371" s="269" t="s">
        <v>1833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3514</v>
      </c>
    </row>
    <row r="1372" spans="1:14" x14ac:dyDescent="0.3">
      <c r="A1372" s="58">
        <v>1370</v>
      </c>
      <c r="B1372" s="264">
        <v>45894</v>
      </c>
      <c r="C1372" s="292" t="s">
        <v>1585</v>
      </c>
      <c r="E1372" s="292" t="s">
        <v>2206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3514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2199</v>
      </c>
      <c r="F1373" s="269" t="s">
        <v>1214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2227</v>
      </c>
      <c r="E1374" s="292" t="s">
        <v>3004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1452</v>
      </c>
      <c r="E1375" s="292" t="s">
        <v>3330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1452</v>
      </c>
      <c r="E1376" s="292" t="s">
        <v>3331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1588</v>
      </c>
      <c r="E1377" s="292" t="s">
        <v>1130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2422</v>
      </c>
      <c r="E1378" s="292" t="s">
        <v>1130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1130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2304</v>
      </c>
      <c r="E1380" s="292" t="s">
        <v>1130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2934</v>
      </c>
      <c r="E1381" s="292" t="s">
        <v>1130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3317</v>
      </c>
      <c r="E1382" s="292" t="s">
        <v>1130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1549</v>
      </c>
      <c r="E1383" s="292" t="s">
        <v>1930</v>
      </c>
      <c r="G1383" s="265">
        <v>2500000</v>
      </c>
      <c r="H1383" s="269">
        <v>1</v>
      </c>
      <c r="K1383" s="265">
        <v>2500000</v>
      </c>
      <c r="M1383" s="269"/>
      <c r="N1383" t="s">
        <v>3514</v>
      </c>
    </row>
    <row r="1384" spans="1:14" x14ac:dyDescent="0.3">
      <c r="A1384" s="58">
        <v>1384</v>
      </c>
      <c r="B1384" s="264">
        <v>45895</v>
      </c>
      <c r="C1384" s="292" t="s">
        <v>1477</v>
      </c>
      <c r="E1384" s="292" t="s">
        <v>1927</v>
      </c>
      <c r="F1384" s="269" t="s">
        <v>2066</v>
      </c>
      <c r="G1384" s="265">
        <v>1500000</v>
      </c>
      <c r="H1384" s="269">
        <v>1</v>
      </c>
      <c r="K1384" s="265">
        <v>1500000</v>
      </c>
      <c r="M1384" s="269"/>
      <c r="N1384" t="s">
        <v>3514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2198</v>
      </c>
      <c r="F1385" s="269" t="s">
        <v>1207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1588</v>
      </c>
      <c r="E1386" s="292" t="s">
        <v>3336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1452</v>
      </c>
      <c r="E1387" s="292" t="s">
        <v>2199</v>
      </c>
      <c r="F1387" s="269" t="s">
        <v>1214</v>
      </c>
      <c r="G1387" s="265">
        <v>510000</v>
      </c>
      <c r="H1387" s="269">
        <v>1</v>
      </c>
      <c r="K1387" s="265">
        <v>510000</v>
      </c>
      <c r="M1387" s="269"/>
      <c r="N1387" t="s">
        <v>3514</v>
      </c>
    </row>
    <row r="1388" spans="1:14" x14ac:dyDescent="0.3">
      <c r="A1388" s="58">
        <v>1388</v>
      </c>
      <c r="B1388" s="264">
        <v>45895</v>
      </c>
      <c r="C1388" s="292" t="s">
        <v>1452</v>
      </c>
      <c r="E1388" s="292" t="s">
        <v>2202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3514</v>
      </c>
    </row>
    <row r="1389" spans="1:14" x14ac:dyDescent="0.3">
      <c r="A1389" s="58">
        <v>1389</v>
      </c>
      <c r="B1389" s="264">
        <v>45895</v>
      </c>
      <c r="C1389" s="292" t="s">
        <v>1452</v>
      </c>
      <c r="E1389" s="292" t="s">
        <v>2203</v>
      </c>
      <c r="F1389" s="269" t="s">
        <v>1804</v>
      </c>
      <c r="G1389" s="265">
        <v>35000</v>
      </c>
      <c r="H1389" s="269">
        <v>1</v>
      </c>
      <c r="K1389" s="265">
        <v>35000</v>
      </c>
      <c r="M1389" s="269"/>
      <c r="N1389" t="s">
        <v>3514</v>
      </c>
    </row>
    <row r="1390" spans="1:14" x14ac:dyDescent="0.3">
      <c r="A1390" s="58">
        <v>1390</v>
      </c>
      <c r="B1390" s="264">
        <v>45895</v>
      </c>
      <c r="C1390" s="292" t="s">
        <v>1452</v>
      </c>
      <c r="E1390" s="292" t="s">
        <v>1725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3514</v>
      </c>
    </row>
    <row r="1391" spans="1:14" x14ac:dyDescent="0.3">
      <c r="A1391" s="58">
        <v>1391</v>
      </c>
      <c r="B1391" s="264">
        <v>45895</v>
      </c>
      <c r="C1391" s="292" t="s">
        <v>2876</v>
      </c>
      <c r="E1391" s="292" t="s">
        <v>3340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3514</v>
      </c>
    </row>
    <row r="1392" spans="1:14" x14ac:dyDescent="0.3">
      <c r="A1392" s="58">
        <v>1392</v>
      </c>
      <c r="B1392" s="264">
        <v>45895</v>
      </c>
      <c r="C1392" s="292" t="s">
        <v>2876</v>
      </c>
      <c r="E1392" s="292" t="s">
        <v>1527</v>
      </c>
      <c r="G1392" s="265">
        <v>25000</v>
      </c>
      <c r="H1392" s="269">
        <v>1</v>
      </c>
      <c r="K1392" s="265">
        <v>25000</v>
      </c>
      <c r="M1392" s="269"/>
      <c r="N1392" t="s">
        <v>3514</v>
      </c>
    </row>
    <row r="1393" spans="1:14" x14ac:dyDescent="0.3">
      <c r="A1393" s="58">
        <v>1392</v>
      </c>
      <c r="B1393" s="264">
        <v>45895</v>
      </c>
      <c r="C1393" s="292" t="s">
        <v>2876</v>
      </c>
      <c r="E1393" s="292" t="s">
        <v>1130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1799</v>
      </c>
      <c r="E1394" s="292" t="s">
        <v>1130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2318</v>
      </c>
      <c r="E1395" s="292" t="s">
        <v>1130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1348</v>
      </c>
      <c r="E1396" s="292" t="s">
        <v>1226</v>
      </c>
      <c r="F1396" s="269" t="s">
        <v>2174</v>
      </c>
      <c r="G1396" s="265">
        <v>1100000</v>
      </c>
      <c r="H1396" s="269">
        <v>1</v>
      </c>
      <c r="K1396" s="265">
        <v>1100000</v>
      </c>
      <c r="M1396" s="269"/>
      <c r="N1396" t="s">
        <v>3514</v>
      </c>
    </row>
    <row r="1397" spans="1:14" x14ac:dyDescent="0.3">
      <c r="A1397" s="58">
        <v>1396</v>
      </c>
      <c r="B1397" s="264">
        <v>45896</v>
      </c>
      <c r="C1397" s="292" t="s">
        <v>1481</v>
      </c>
      <c r="E1397" s="292" t="s">
        <v>3344</v>
      </c>
      <c r="F1397" s="269" t="s">
        <v>3345</v>
      </c>
      <c r="M1397" s="269"/>
      <c r="N1397" t="s">
        <v>3514</v>
      </c>
    </row>
    <row r="1398" spans="1:14" x14ac:dyDescent="0.3">
      <c r="A1398" s="58">
        <v>1397</v>
      </c>
      <c r="B1398" s="264">
        <v>45896</v>
      </c>
      <c r="C1398" s="292" t="s">
        <v>3134</v>
      </c>
      <c r="E1398" s="292" t="s">
        <v>2190</v>
      </c>
      <c r="F1398" s="269" t="s">
        <v>1472</v>
      </c>
      <c r="G1398" s="265">
        <v>2500000</v>
      </c>
      <c r="H1398" s="269">
        <v>1</v>
      </c>
      <c r="K1398" s="265">
        <v>2500000</v>
      </c>
      <c r="M1398" s="269" t="s">
        <v>3347</v>
      </c>
      <c r="N1398" t="s">
        <v>3514</v>
      </c>
    </row>
    <row r="1399" spans="1:14" x14ac:dyDescent="0.3">
      <c r="A1399" s="58">
        <v>1398</v>
      </c>
      <c r="B1399" s="264">
        <v>45896</v>
      </c>
      <c r="C1399" s="292" t="s">
        <v>1756</v>
      </c>
      <c r="E1399" s="292" t="s">
        <v>2208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1087</v>
      </c>
      <c r="E1400" s="292" t="s">
        <v>2430</v>
      </c>
      <c r="F1400" s="269" t="s">
        <v>2766</v>
      </c>
      <c r="G1400" s="265">
        <v>1100000</v>
      </c>
      <c r="H1400" s="269">
        <v>1</v>
      </c>
      <c r="K1400" s="265">
        <v>1100000</v>
      </c>
      <c r="M1400" s="269"/>
      <c r="N1400" t="s">
        <v>3514</v>
      </c>
    </row>
    <row r="1401" spans="1:14" x14ac:dyDescent="0.3">
      <c r="A1401" s="58">
        <v>1400</v>
      </c>
      <c r="B1401" s="264">
        <v>45896</v>
      </c>
      <c r="C1401" s="292" t="s">
        <v>2480</v>
      </c>
      <c r="E1401" s="292" t="s">
        <v>1731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3514</v>
      </c>
    </row>
    <row r="1402" spans="1:14" x14ac:dyDescent="0.3">
      <c r="A1402" s="58">
        <v>1401</v>
      </c>
      <c r="B1402" s="264">
        <v>45896</v>
      </c>
      <c r="C1402" s="292" t="s">
        <v>2572</v>
      </c>
      <c r="E1402" s="292" t="s">
        <v>3352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3134</v>
      </c>
      <c r="E1403" s="292" t="s">
        <v>1130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1348</v>
      </c>
      <c r="E1404" s="292" t="s">
        <v>1678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2479</v>
      </c>
      <c r="E1405" s="292" t="s">
        <v>1130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3140</v>
      </c>
      <c r="E1406" s="292" t="s">
        <v>1130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2613</v>
      </c>
      <c r="E1407" s="292" t="s">
        <v>1130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1294</v>
      </c>
      <c r="E1408" s="292" t="s">
        <v>3366</v>
      </c>
      <c r="G1408" s="265">
        <v>2500000</v>
      </c>
      <c r="H1408" s="269">
        <v>1</v>
      </c>
      <c r="J1408" s="266" t="s">
        <v>3367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1799</v>
      </c>
      <c r="E1409" s="292" t="s">
        <v>1752</v>
      </c>
      <c r="G1409" s="265">
        <v>650000</v>
      </c>
      <c r="H1409" s="269">
        <v>1</v>
      </c>
      <c r="K1409" s="265">
        <v>650000</v>
      </c>
      <c r="M1409" s="269"/>
      <c r="N1409" t="s">
        <v>3514</v>
      </c>
    </row>
    <row r="1410" spans="1:14" x14ac:dyDescent="0.3">
      <c r="A1410" s="58">
        <v>1409</v>
      </c>
      <c r="B1410" s="264">
        <v>45897</v>
      </c>
      <c r="C1410" s="292" t="s">
        <v>1152</v>
      </c>
      <c r="E1410" s="292" t="s">
        <v>2425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3514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2209</v>
      </c>
      <c r="F1411" s="269" t="s">
        <v>1205</v>
      </c>
      <c r="G1411" s="265">
        <v>1100000</v>
      </c>
      <c r="H1411" s="269">
        <v>1</v>
      </c>
      <c r="K1411" s="265">
        <v>1100000</v>
      </c>
      <c r="M1411" s="269"/>
      <c r="N1411" t="s">
        <v>3514</v>
      </c>
    </row>
    <row r="1412" spans="1:14" x14ac:dyDescent="0.3">
      <c r="A1412" s="58">
        <v>1411</v>
      </c>
      <c r="B1412" s="264">
        <v>45897</v>
      </c>
      <c r="C1412" s="292" t="s">
        <v>1179</v>
      </c>
      <c r="E1412" s="292" t="s">
        <v>1569</v>
      </c>
      <c r="F1412" s="269" t="s">
        <v>1777</v>
      </c>
      <c r="G1412" s="265">
        <v>1300000</v>
      </c>
      <c r="H1412" s="269">
        <v>1</v>
      </c>
      <c r="K1412" s="265">
        <v>1300000</v>
      </c>
      <c r="M1412" s="269"/>
      <c r="N1412" t="s">
        <v>3514</v>
      </c>
    </row>
    <row r="1413" spans="1:14" x14ac:dyDescent="0.3">
      <c r="A1413" s="58">
        <v>1412</v>
      </c>
      <c r="B1413" s="264">
        <v>45897</v>
      </c>
      <c r="C1413" s="292" t="s">
        <v>1179</v>
      </c>
      <c r="E1413" s="292" t="s">
        <v>1527</v>
      </c>
      <c r="G1413" s="265">
        <v>20000</v>
      </c>
      <c r="H1413" s="269">
        <v>1</v>
      </c>
      <c r="K1413" s="265">
        <v>20000</v>
      </c>
      <c r="M1413" s="269"/>
      <c r="N1413" t="s">
        <v>3514</v>
      </c>
    </row>
    <row r="1414" spans="1:14" x14ac:dyDescent="0.3">
      <c r="A1414" s="58">
        <v>1413</v>
      </c>
      <c r="B1414" s="264">
        <v>45897</v>
      </c>
      <c r="C1414" s="292" t="s">
        <v>1585</v>
      </c>
      <c r="E1414" s="292" t="s">
        <v>2937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3514</v>
      </c>
    </row>
    <row r="1415" spans="1:14" x14ac:dyDescent="0.3">
      <c r="A1415" s="58">
        <v>1414</v>
      </c>
      <c r="B1415" s="264">
        <v>45897</v>
      </c>
      <c r="C1415" s="292" t="s">
        <v>1730</v>
      </c>
      <c r="E1415" s="292" t="s">
        <v>2192</v>
      </c>
      <c r="F1415" s="269" t="s">
        <v>1208</v>
      </c>
      <c r="G1415" s="265">
        <v>1500000</v>
      </c>
      <c r="H1415" s="269">
        <v>1</v>
      </c>
      <c r="K1415" s="265">
        <v>1500000</v>
      </c>
      <c r="M1415" s="269"/>
      <c r="N1415" t="s">
        <v>3514</v>
      </c>
    </row>
    <row r="1416" spans="1:14" x14ac:dyDescent="0.3">
      <c r="A1416" s="58">
        <v>1415</v>
      </c>
      <c r="B1416" s="264">
        <v>45897</v>
      </c>
      <c r="C1416" s="292" t="s">
        <v>1730</v>
      </c>
      <c r="E1416" s="292" t="s">
        <v>2193</v>
      </c>
      <c r="F1416" s="269" t="s">
        <v>1812</v>
      </c>
      <c r="G1416" s="265">
        <v>50000</v>
      </c>
      <c r="H1416" s="269">
        <v>1</v>
      </c>
      <c r="K1416" s="265">
        <v>50000</v>
      </c>
      <c r="M1416" s="269"/>
      <c r="N1416" t="s">
        <v>3514</v>
      </c>
    </row>
    <row r="1417" spans="1:14" x14ac:dyDescent="0.3">
      <c r="A1417" s="58">
        <v>1416</v>
      </c>
      <c r="B1417" s="264">
        <v>45897</v>
      </c>
      <c r="C1417" s="292" t="s">
        <v>1481</v>
      </c>
      <c r="E1417" s="292" t="s">
        <v>1130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1549</v>
      </c>
      <c r="E1418" s="292" t="s">
        <v>1130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1477</v>
      </c>
      <c r="E1419" s="292" t="s">
        <v>2416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1477</v>
      </c>
      <c r="E1420" s="292" t="s">
        <v>1130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1152</v>
      </c>
      <c r="E1421" s="292" t="s">
        <v>1130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1487</v>
      </c>
      <c r="E1422" s="292" t="s">
        <v>1130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1821</v>
      </c>
      <c r="E1423" s="292" t="s">
        <v>1130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2228</v>
      </c>
      <c r="F1424" s="269" t="s">
        <v>1769</v>
      </c>
      <c r="G1424" s="265">
        <v>546000</v>
      </c>
      <c r="H1424" s="269">
        <v>1</v>
      </c>
      <c r="K1424" s="265">
        <v>546000</v>
      </c>
      <c r="M1424" s="269"/>
      <c r="N1424" t="s">
        <v>3514</v>
      </c>
    </row>
    <row r="1425" spans="1:14" x14ac:dyDescent="0.3">
      <c r="A1425" s="58">
        <v>1424</v>
      </c>
      <c r="B1425" s="264">
        <v>45898</v>
      </c>
      <c r="C1425" s="292" t="s">
        <v>3016</v>
      </c>
      <c r="E1425" s="292" t="s">
        <v>3369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3514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3391</v>
      </c>
      <c r="F1427" s="269" t="s">
        <v>1740</v>
      </c>
      <c r="G1427" s="265">
        <v>35000</v>
      </c>
      <c r="H1427" s="269">
        <v>1</v>
      </c>
      <c r="K1427" s="265">
        <v>35000</v>
      </c>
      <c r="M1427" s="269"/>
      <c r="N1427" t="s">
        <v>3514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2681</v>
      </c>
      <c r="F1428" s="269" t="s">
        <v>1741</v>
      </c>
      <c r="G1428" s="265">
        <v>10000</v>
      </c>
      <c r="H1428" s="269">
        <v>2</v>
      </c>
      <c r="K1428" s="265">
        <v>20000</v>
      </c>
      <c r="M1428" s="269"/>
      <c r="N1428" t="s">
        <v>3514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2447</v>
      </c>
      <c r="G1429" s="265">
        <v>600000</v>
      </c>
      <c r="H1429" s="269">
        <v>1</v>
      </c>
      <c r="K1429" s="265">
        <v>600000</v>
      </c>
      <c r="M1429" s="269"/>
      <c r="N1429" t="s">
        <v>3514</v>
      </c>
    </row>
    <row r="1430" spans="1:14" x14ac:dyDescent="0.3">
      <c r="A1430" s="58">
        <v>1429</v>
      </c>
      <c r="B1430" s="264">
        <v>45898</v>
      </c>
      <c r="C1430" s="292" t="s">
        <v>3515</v>
      </c>
      <c r="E1430" s="292" t="s">
        <v>3516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3515</v>
      </c>
      <c r="E1431" s="292" t="s">
        <v>3517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3515</v>
      </c>
      <c r="E1432" s="292" t="s">
        <v>3518</v>
      </c>
      <c r="F1432" s="269" t="s">
        <v>3519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3515</v>
      </c>
      <c r="E1433" s="292" t="s">
        <v>3520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3515</v>
      </c>
      <c r="E1434" s="292" t="s">
        <v>3521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1730</v>
      </c>
      <c r="E1435" s="292" t="s">
        <v>2190</v>
      </c>
      <c r="F1435" s="269" t="s">
        <v>1472</v>
      </c>
      <c r="G1435" s="265">
        <v>1500000</v>
      </c>
      <c r="H1435" s="269">
        <v>1</v>
      </c>
      <c r="K1435" s="265">
        <v>1500000</v>
      </c>
      <c r="M1435" s="269"/>
      <c r="N1435" t="s">
        <v>3514</v>
      </c>
    </row>
    <row r="1436" spans="1:14" x14ac:dyDescent="0.3">
      <c r="A1436" s="58">
        <v>1435</v>
      </c>
      <c r="B1436" s="264">
        <v>45898</v>
      </c>
      <c r="C1436" s="292" t="s">
        <v>3221</v>
      </c>
      <c r="E1436" s="292" t="s">
        <v>1752</v>
      </c>
      <c r="G1436" s="265">
        <v>1100000</v>
      </c>
      <c r="H1436" s="269">
        <v>1</v>
      </c>
      <c r="K1436" s="265">
        <v>1100000</v>
      </c>
      <c r="M1436" s="269"/>
      <c r="N1436" t="s">
        <v>3514</v>
      </c>
    </row>
    <row r="1437" spans="1:14" x14ac:dyDescent="0.3">
      <c r="A1437" s="58">
        <v>1436</v>
      </c>
      <c r="B1437" s="264">
        <v>45898</v>
      </c>
      <c r="C1437" s="292" t="s">
        <v>3221</v>
      </c>
      <c r="E1437" s="292" t="s">
        <v>1130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2926</v>
      </c>
      <c r="E1438" s="292" t="s">
        <v>2675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3392</v>
      </c>
      <c r="N1438" t="s">
        <v>3514</v>
      </c>
    </row>
    <row r="1439" spans="1:14" x14ac:dyDescent="0.3">
      <c r="A1439" s="58">
        <v>1438</v>
      </c>
      <c r="B1439" s="264">
        <v>45899</v>
      </c>
      <c r="C1439" s="292" t="s">
        <v>1756</v>
      </c>
      <c r="E1439" s="292" t="s">
        <v>2311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3514</v>
      </c>
    </row>
    <row r="1440" spans="1:14" x14ac:dyDescent="0.3">
      <c r="A1440" s="58">
        <v>1439</v>
      </c>
      <c r="B1440" s="264">
        <v>45899</v>
      </c>
      <c r="C1440" s="292" t="s">
        <v>1562</v>
      </c>
      <c r="E1440" s="292" t="s">
        <v>1130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1585</v>
      </c>
      <c r="E1441" s="292" t="s">
        <v>1755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1179</v>
      </c>
      <c r="E1442" s="292" t="s">
        <v>1755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1407</v>
      </c>
      <c r="E1443" s="292" t="s">
        <v>1130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1087</v>
      </c>
      <c r="E1444" s="292" t="s">
        <v>1130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1730</v>
      </c>
      <c r="E1445" s="292" t="s">
        <v>1130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1814</v>
      </c>
      <c r="E1446" s="292" t="s">
        <v>1130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1407</v>
      </c>
      <c r="E1447" s="292" t="s">
        <v>1210</v>
      </c>
      <c r="F1447" s="269" t="s">
        <v>1761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1407</v>
      </c>
      <c r="E1448" s="292" t="s">
        <v>1504</v>
      </c>
      <c r="F1448" s="269" t="s">
        <v>2697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1407</v>
      </c>
      <c r="E1449" s="292" t="s">
        <v>2858</v>
      </c>
      <c r="F1449" s="269" t="s">
        <v>2768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1407</v>
      </c>
      <c r="E1450" s="292" t="s">
        <v>2311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1407</v>
      </c>
      <c r="E1451" s="292" t="s">
        <v>1273</v>
      </c>
      <c r="F1451" s="269" t="s">
        <v>1272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1407</v>
      </c>
      <c r="E1452" s="292" t="s">
        <v>1713</v>
      </c>
      <c r="F1452" s="269" t="s">
        <v>1712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3515</v>
      </c>
      <c r="E1453" s="292" t="s">
        <v>3522</v>
      </c>
      <c r="F1453" s="269" t="s">
        <v>3523</v>
      </c>
      <c r="G1453" s="265">
        <v>800000</v>
      </c>
      <c r="H1453" s="269">
        <v>1</v>
      </c>
      <c r="K1453" s="265">
        <v>800000</v>
      </c>
      <c r="M1453" s="269" t="s">
        <v>3524</v>
      </c>
    </row>
    <row r="1454" spans="1:13" x14ac:dyDescent="0.3">
      <c r="A1454" s="58">
        <v>1453</v>
      </c>
      <c r="B1454" s="264">
        <v>45901</v>
      </c>
      <c r="C1454" s="292" t="s">
        <v>1481</v>
      </c>
      <c r="E1454" s="292" t="s">
        <v>2192</v>
      </c>
      <c r="F1454" s="269" t="s">
        <v>1208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1821</v>
      </c>
      <c r="E1455" s="292" t="s">
        <v>1212</v>
      </c>
      <c r="F1455" s="269" t="s">
        <v>1571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1821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1452</v>
      </c>
      <c r="E1457" s="292" t="s">
        <v>2208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2780</v>
      </c>
      <c r="E1458" s="292" t="s">
        <v>2823</v>
      </c>
      <c r="F1458" s="269" t="s">
        <v>2822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2780</v>
      </c>
      <c r="E1459" s="292" t="s">
        <v>2195</v>
      </c>
      <c r="F1459" s="269" t="s">
        <v>1728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3376</v>
      </c>
      <c r="E1460" s="292" t="s">
        <v>3079</v>
      </c>
      <c r="F1460" s="269" t="s">
        <v>3078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1452</v>
      </c>
      <c r="E1461" s="292" t="s">
        <v>2192</v>
      </c>
      <c r="F1461" s="269" t="s">
        <v>1208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3016</v>
      </c>
      <c r="E1462" s="292" t="s">
        <v>1130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2780</v>
      </c>
      <c r="E1463" s="292" t="s">
        <v>1130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3376</v>
      </c>
      <c r="E1464" s="292" t="s">
        <v>1130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2887</v>
      </c>
      <c r="E1465" s="292" t="s">
        <v>1130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1130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1179</v>
      </c>
      <c r="E1467" s="292" t="s">
        <v>2311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1989</v>
      </c>
      <c r="E1468" s="292" t="s">
        <v>2208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3016</v>
      </c>
      <c r="E1469" s="292" t="s">
        <v>2192</v>
      </c>
      <c r="F1469" s="269" t="s">
        <v>1208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3016</v>
      </c>
      <c r="E1470" s="292" t="s">
        <v>2193</v>
      </c>
      <c r="F1470" s="269" t="s">
        <v>1812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1152</v>
      </c>
      <c r="E1471" s="292" t="s">
        <v>2204</v>
      </c>
      <c r="F1471" s="269" t="s">
        <v>1833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1585</v>
      </c>
      <c r="E1472" s="292" t="s">
        <v>1752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1502</v>
      </c>
      <c r="E1473" s="292" t="s">
        <v>3399</v>
      </c>
      <c r="F1473" s="269" t="s">
        <v>1213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1725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1989</v>
      </c>
      <c r="E1475" s="292" t="s">
        <v>1130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1821</v>
      </c>
      <c r="E1476" s="292" t="s">
        <v>1130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1755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1799</v>
      </c>
      <c r="E1478" s="292" t="s">
        <v>2192</v>
      </c>
      <c r="F1478" s="269" t="s">
        <v>1208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1799</v>
      </c>
      <c r="E1479" s="292" t="s">
        <v>2193</v>
      </c>
      <c r="F1479" s="269" t="s">
        <v>1812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1475</v>
      </c>
      <c r="E1480" s="292" t="s">
        <v>1504</v>
      </c>
      <c r="F1480" s="269" t="s">
        <v>2697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1452</v>
      </c>
      <c r="E1481" s="292" t="s">
        <v>2199</v>
      </c>
      <c r="F1481" s="269" t="s">
        <v>1214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1452</v>
      </c>
      <c r="E1482" s="292" t="s">
        <v>2202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1179</v>
      </c>
      <c r="E1483" s="292" t="s">
        <v>1569</v>
      </c>
      <c r="F1483" s="269" t="s">
        <v>1777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1179</v>
      </c>
      <c r="E1484" s="292" t="s">
        <v>3405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1506</v>
      </c>
      <c r="E1485" s="292" t="s">
        <v>3407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1588</v>
      </c>
      <c r="E1486" s="292" t="s">
        <v>2199</v>
      </c>
      <c r="F1486" s="269" t="s">
        <v>1214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1588</v>
      </c>
      <c r="E1487" s="292" t="s">
        <v>2202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3317</v>
      </c>
      <c r="E1488" s="292" t="s">
        <v>2192</v>
      </c>
      <c r="F1488" s="269" t="s">
        <v>1208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3476</v>
      </c>
      <c r="E1489" s="292" t="s">
        <v>3477</v>
      </c>
      <c r="F1489" s="269" t="s">
        <v>3478</v>
      </c>
      <c r="G1489" s="265">
        <v>1850000</v>
      </c>
      <c r="H1489" s="269">
        <v>1</v>
      </c>
      <c r="J1489" s="266" t="s">
        <v>3479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2331</v>
      </c>
      <c r="E1490" s="292" t="s">
        <v>2214</v>
      </c>
      <c r="F1490" s="269" t="s">
        <v>1967</v>
      </c>
      <c r="G1490" s="265">
        <v>1850000</v>
      </c>
      <c r="H1490" s="269">
        <v>1</v>
      </c>
      <c r="K1490" s="265">
        <v>1850000</v>
      </c>
      <c r="M1490" s="269"/>
    </row>
    <row r="1491" spans="1:14" x14ac:dyDescent="0.3">
      <c r="A1491" s="58">
        <v>1490</v>
      </c>
      <c r="B1491" s="264">
        <v>45903</v>
      </c>
      <c r="C1491" s="292" t="s">
        <v>3418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1756</v>
      </c>
      <c r="E1492" s="292" t="s">
        <v>1873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2331</v>
      </c>
      <c r="E1493" s="292" t="s">
        <v>2215</v>
      </c>
      <c r="G1493" s="265">
        <v>150000</v>
      </c>
      <c r="H1493" s="269">
        <v>1</v>
      </c>
      <c r="K1493" s="265">
        <v>150000</v>
      </c>
      <c r="M1493" s="269"/>
    </row>
    <row r="1494" spans="1:14" x14ac:dyDescent="0.3">
      <c r="A1494" s="58">
        <v>1493</v>
      </c>
      <c r="B1494" s="264">
        <v>45903</v>
      </c>
      <c r="C1494" s="292" t="s">
        <v>1858</v>
      </c>
      <c r="E1494" s="292" t="s">
        <v>2832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3425</v>
      </c>
    </row>
    <row r="1495" spans="1:14" x14ac:dyDescent="0.3">
      <c r="A1495" s="58">
        <v>1494</v>
      </c>
      <c r="B1495" s="264">
        <v>45903</v>
      </c>
      <c r="C1495" s="292" t="s">
        <v>1756</v>
      </c>
      <c r="E1495" s="292" t="s">
        <v>1527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1756</v>
      </c>
      <c r="E1496" s="292" t="s">
        <v>1527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3514</v>
      </c>
    </row>
    <row r="1497" spans="1:14" x14ac:dyDescent="0.3">
      <c r="A1497" s="58">
        <v>1496</v>
      </c>
      <c r="B1497" s="264">
        <v>45904</v>
      </c>
      <c r="C1497" s="292" t="s">
        <v>3459</v>
      </c>
      <c r="E1497" s="292" t="s">
        <v>3460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1506</v>
      </c>
      <c r="E1498" s="292" t="s">
        <v>1809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3317</v>
      </c>
      <c r="E1499" s="292" t="s">
        <v>1809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2331</v>
      </c>
      <c r="E1500" s="292" t="s">
        <v>1809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3427</v>
      </c>
      <c r="E1501" s="292" t="s">
        <v>1569</v>
      </c>
      <c r="F1501" s="269" t="s">
        <v>1777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1481</v>
      </c>
      <c r="E1502" s="292" t="s">
        <v>1676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1502</v>
      </c>
      <c r="E1503" s="292" t="s">
        <v>2311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1502</v>
      </c>
      <c r="E1504" s="292" t="s">
        <v>1504</v>
      </c>
      <c r="F1504" s="269" t="s">
        <v>2697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1502</v>
      </c>
      <c r="E1505" s="292" t="s">
        <v>3445</v>
      </c>
      <c r="F1505" s="269" t="s">
        <v>3444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3435</v>
      </c>
      <c r="E1506" s="292" t="s">
        <v>2425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3435</v>
      </c>
      <c r="E1507" s="292" t="s">
        <v>1273</v>
      </c>
      <c r="F1507" s="269" t="s">
        <v>1272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1487</v>
      </c>
      <c r="E1508" s="292" t="s">
        <v>1752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2934</v>
      </c>
      <c r="E1509" s="292" t="s">
        <v>2149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1481</v>
      </c>
      <c r="E1510" s="292" t="s">
        <v>2192</v>
      </c>
      <c r="F1510" s="269" t="s">
        <v>1208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1730</v>
      </c>
      <c r="E1511" s="292" t="s">
        <v>2103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1487</v>
      </c>
      <c r="E1512" s="292" t="s">
        <v>1130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3427</v>
      </c>
      <c r="E1513" s="292" t="s">
        <v>1130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2934</v>
      </c>
      <c r="E1514" s="292" t="s">
        <v>1130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1502</v>
      </c>
      <c r="E1515" s="292" t="s">
        <v>3461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1858</v>
      </c>
      <c r="E1516" s="292" t="s">
        <v>1755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1756</v>
      </c>
      <c r="E1517" s="292" t="s">
        <v>3462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3463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2198</v>
      </c>
      <c r="F1519" s="269" t="s">
        <v>1207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3464</v>
      </c>
      <c r="N1519" t="s">
        <v>3514</v>
      </c>
    </row>
    <row r="1520" spans="1:14" x14ac:dyDescent="0.3">
      <c r="A1520" s="58">
        <v>1513</v>
      </c>
      <c r="B1520" s="264">
        <v>45905</v>
      </c>
      <c r="C1520" s="292" t="s">
        <v>1475</v>
      </c>
      <c r="E1520" s="292" t="s">
        <v>2170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1210</v>
      </c>
      <c r="F1521" s="269" t="s">
        <v>1761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1452</v>
      </c>
      <c r="E1522" s="292" t="s">
        <v>2044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1452</v>
      </c>
      <c r="E1523" s="292" t="s">
        <v>2851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1452</v>
      </c>
      <c r="E1524" s="292" t="s">
        <v>3467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1313</v>
      </c>
      <c r="E1525" s="292" t="s">
        <v>3070</v>
      </c>
      <c r="F1525" s="269" t="s">
        <v>1963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1730</v>
      </c>
      <c r="E1526" s="292" t="s">
        <v>3470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1730</v>
      </c>
      <c r="E1527" s="292" t="s">
        <v>1557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3169</v>
      </c>
      <c r="E1528" s="292" t="s">
        <v>1768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3169</v>
      </c>
      <c r="E1529" s="292" t="s">
        <v>2124</v>
      </c>
      <c r="F1529" s="269" t="s">
        <v>2598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3481</v>
      </c>
      <c r="E1530" s="292" t="s">
        <v>2194</v>
      </c>
      <c r="F1530" s="269" t="s">
        <v>2229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1407</v>
      </c>
      <c r="E1531" s="292" t="s">
        <v>1210</v>
      </c>
      <c r="F1531" s="269" t="s">
        <v>1761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1407</v>
      </c>
      <c r="E1532" s="292" t="s">
        <v>2858</v>
      </c>
      <c r="F1532" s="269" t="s">
        <v>2768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1457</v>
      </c>
      <c r="E1533" s="292" t="s">
        <v>1130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1481</v>
      </c>
      <c r="E1534" s="292" t="s">
        <v>1755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3169</v>
      </c>
      <c r="E1535" s="292" t="s">
        <v>1755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3481</v>
      </c>
      <c r="E1536" s="292" t="s">
        <v>1755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1481</v>
      </c>
      <c r="E1537" s="292" t="s">
        <v>2199</v>
      </c>
      <c r="F1537" s="269" t="s">
        <v>1214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3435</v>
      </c>
      <c r="E1538" s="292" t="s">
        <v>1755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3488</v>
      </c>
      <c r="E1539" s="292" t="s">
        <v>3495</v>
      </c>
      <c r="F1539" s="269" t="s">
        <v>1214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3488</v>
      </c>
      <c r="E1540" s="292" t="s">
        <v>2202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3488</v>
      </c>
      <c r="E1541" s="292" t="s">
        <v>2203</v>
      </c>
      <c r="F1541" s="269" t="s">
        <v>1804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3488</v>
      </c>
      <c r="E1542" s="292" t="s">
        <v>2204</v>
      </c>
      <c r="F1542" s="269" t="s">
        <v>1833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3016</v>
      </c>
      <c r="E1543" s="292" t="s">
        <v>3498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3491</v>
      </c>
      <c r="E1544" s="292" t="s">
        <v>3500</v>
      </c>
      <c r="F1544" s="269" t="s">
        <v>1571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3488</v>
      </c>
      <c r="E1545" s="292" t="s">
        <v>1130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3491</v>
      </c>
      <c r="E1546" s="292" t="s">
        <v>1809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1313</v>
      </c>
      <c r="E1547" s="292" t="s">
        <v>1809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1604</v>
      </c>
      <c r="E1548" s="292" t="s">
        <v>1809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1502</v>
      </c>
      <c r="E1549" s="292" t="s">
        <v>3502</v>
      </c>
      <c r="F1549" s="269" t="s">
        <v>1213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1594</v>
      </c>
      <c r="E1550" s="292" t="s">
        <v>2119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1313</v>
      </c>
      <c r="E1551" s="292" t="s">
        <v>3495</v>
      </c>
      <c r="F1551" s="269" t="s">
        <v>1214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1313</v>
      </c>
      <c r="E1552" s="292" t="s">
        <v>2202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1313</v>
      </c>
      <c r="E1553" s="292" t="s">
        <v>2203</v>
      </c>
      <c r="F1553" s="269" t="s">
        <v>1804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1313</v>
      </c>
      <c r="E1554" s="292" t="s">
        <v>2204</v>
      </c>
      <c r="F1554" s="269" t="s">
        <v>1833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1588</v>
      </c>
      <c r="E1555" s="292" t="s">
        <v>3495</v>
      </c>
      <c r="F1555" s="269" t="s">
        <v>1214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1679</v>
      </c>
      <c r="E1556" s="292" t="s">
        <v>3508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1487</v>
      </c>
      <c r="E1558" s="292" t="s">
        <v>3495</v>
      </c>
      <c r="F1558" s="269" t="s">
        <v>1214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1487</v>
      </c>
      <c r="E1559" s="292" t="s">
        <v>2200</v>
      </c>
      <c r="F1559" s="269" t="s">
        <v>1266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1487</v>
      </c>
      <c r="E1560" s="292" t="s">
        <v>2204</v>
      </c>
      <c r="F1560" s="269" t="s">
        <v>1833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1487</v>
      </c>
      <c r="E1561" s="292" t="s">
        <v>2203</v>
      </c>
      <c r="F1561" s="269" t="s">
        <v>1804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1407</v>
      </c>
      <c r="E1562" s="292" t="s">
        <v>1752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1809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1562</v>
      </c>
      <c r="E1564" s="292" t="s">
        <v>1130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1313</v>
      </c>
      <c r="E1565" s="292" t="s">
        <v>1130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1179</v>
      </c>
      <c r="E1566" s="292" t="s">
        <v>1130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3552</v>
      </c>
      <c r="E1567" s="292" t="s">
        <v>3553</v>
      </c>
      <c r="G1567" s="265">
        <v>1100000</v>
      </c>
      <c r="H1567" s="269">
        <v>1</v>
      </c>
      <c r="J1567" s="266" t="s">
        <v>3554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2422</v>
      </c>
      <c r="E1568" s="292" t="s">
        <v>2201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2198</v>
      </c>
      <c r="F1569" s="269" t="s">
        <v>1207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2479</v>
      </c>
      <c r="E1570" s="292" t="s">
        <v>1725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1878</v>
      </c>
      <c r="E1571" s="292" t="s">
        <v>2209</v>
      </c>
      <c r="F1571" s="269" t="s">
        <v>1205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1878</v>
      </c>
      <c r="E1572" s="292" t="s">
        <v>1130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2479</v>
      </c>
      <c r="E1573" s="292" t="s">
        <v>1130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1130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1457</v>
      </c>
      <c r="E1575" s="292" t="s">
        <v>3539</v>
      </c>
      <c r="F1575" s="269" t="s">
        <v>1214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1679</v>
      </c>
      <c r="E1576" s="292" t="s">
        <v>1210</v>
      </c>
      <c r="F1576" s="269" t="s">
        <v>1761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1679</v>
      </c>
      <c r="E1577" s="292" t="s">
        <v>1504</v>
      </c>
      <c r="F1577" s="269" t="s">
        <v>2697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1881</v>
      </c>
      <c r="E1578" s="292" t="s">
        <v>2198</v>
      </c>
      <c r="F1578" s="269" t="s">
        <v>1207</v>
      </c>
      <c r="G1578" s="265">
        <v>900000</v>
      </c>
      <c r="H1578" s="269">
        <v>1</v>
      </c>
      <c r="K1578" s="265">
        <v>900000</v>
      </c>
      <c r="M1578" s="292" t="s">
        <v>3533</v>
      </c>
    </row>
    <row r="1579" spans="1:13" x14ac:dyDescent="0.3">
      <c r="A1579" s="58">
        <v>1573</v>
      </c>
      <c r="B1579" s="264">
        <v>45910</v>
      </c>
      <c r="C1579" s="292" t="s">
        <v>1549</v>
      </c>
      <c r="E1579" s="292" t="s">
        <v>1210</v>
      </c>
      <c r="F1579" s="269" t="s">
        <v>1761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1549</v>
      </c>
      <c r="E1580" s="292" t="s">
        <v>3538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3535</v>
      </c>
      <c r="E1581" s="292" t="s">
        <v>3495</v>
      </c>
      <c r="F1581" s="269" t="s">
        <v>1214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1452</v>
      </c>
      <c r="E1582" s="292" t="s">
        <v>3467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3418</v>
      </c>
      <c r="E1583" s="292" t="s">
        <v>2192</v>
      </c>
      <c r="F1583" s="269" t="s">
        <v>1208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3418</v>
      </c>
      <c r="E1584" s="292" t="s">
        <v>2193</v>
      </c>
      <c r="F1584" s="269" t="s">
        <v>1812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1452</v>
      </c>
      <c r="E1585" s="292" t="s">
        <v>3330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1313</v>
      </c>
      <c r="E1586" s="292" t="s">
        <v>2206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2801</v>
      </c>
      <c r="E1587" s="292" t="s">
        <v>2302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1799</v>
      </c>
      <c r="E1588" s="292" t="s">
        <v>2206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1799</v>
      </c>
      <c r="E1589" s="292" t="s">
        <v>3495</v>
      </c>
      <c r="F1589" s="269" t="s">
        <v>1214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1799</v>
      </c>
      <c r="E1590" s="292" t="s">
        <v>2204</v>
      </c>
      <c r="F1590" s="269" t="s">
        <v>1833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1799</v>
      </c>
      <c r="E1591" s="292" t="s">
        <v>2203</v>
      </c>
      <c r="F1591" s="269" t="s">
        <v>1804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1799</v>
      </c>
      <c r="E1592" s="292" t="s">
        <v>1527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1475</v>
      </c>
      <c r="E1593" s="292" t="s">
        <v>1130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3418</v>
      </c>
      <c r="E1594" s="292" t="s">
        <v>1130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1313</v>
      </c>
      <c r="E1595" s="292" t="s">
        <v>1130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1457</v>
      </c>
      <c r="E1596" s="292" t="s">
        <v>1130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2422</v>
      </c>
      <c r="E1597" s="292" t="s">
        <v>1130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1594</v>
      </c>
      <c r="E1598" s="292" t="s">
        <v>1130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2801</v>
      </c>
      <c r="E1599" s="292" t="s">
        <v>1130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3535</v>
      </c>
      <c r="E1600" s="292" t="s">
        <v>1130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1475</v>
      </c>
      <c r="E1601" s="292" t="s">
        <v>3244</v>
      </c>
      <c r="F1601" s="269" t="s">
        <v>3556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1087</v>
      </c>
      <c r="E1602" s="292" t="s">
        <v>2192</v>
      </c>
      <c r="F1602" s="269" t="s">
        <v>1208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1087</v>
      </c>
      <c r="E1603" s="292" t="s">
        <v>2193</v>
      </c>
      <c r="F1603" s="269" t="s">
        <v>1812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1821</v>
      </c>
      <c r="E1604" s="292" t="s">
        <v>1212</v>
      </c>
      <c r="F1604" s="269" t="s">
        <v>1211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2408</v>
      </c>
      <c r="F1605" s="269" t="s">
        <v>2905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1457</v>
      </c>
      <c r="E1606" s="292" t="s">
        <v>3407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1457</v>
      </c>
      <c r="E1607" s="292" t="s">
        <v>1557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1457</v>
      </c>
      <c r="E1608" s="292" t="s">
        <v>3563</v>
      </c>
      <c r="F1608" s="269" t="s">
        <v>3562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1407</v>
      </c>
      <c r="E1609" s="292" t="s">
        <v>2425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1799</v>
      </c>
      <c r="E1610" s="292" t="s">
        <v>3407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1799</v>
      </c>
      <c r="E1611" s="292" t="s">
        <v>1527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3134</v>
      </c>
      <c r="E1612" s="292" t="s">
        <v>1752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1588</v>
      </c>
      <c r="E1613" s="292" t="s">
        <v>1130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1130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3134</v>
      </c>
      <c r="E1615" s="292" t="s">
        <v>1130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1481</v>
      </c>
      <c r="E1616" s="292" t="s">
        <v>2208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1679</v>
      </c>
      <c r="E1617" s="292" t="s">
        <v>2430</v>
      </c>
      <c r="F1617" s="269" t="s">
        <v>2766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1730</v>
      </c>
      <c r="E1618" s="292" t="s">
        <v>1543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2934</v>
      </c>
      <c r="E1619" s="292" t="s">
        <v>2958</v>
      </c>
      <c r="F1619" s="269" t="s">
        <v>3136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1730</v>
      </c>
      <c r="E1620" s="292" t="s">
        <v>3574</v>
      </c>
      <c r="F1620" s="269" t="s">
        <v>2339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1477</v>
      </c>
      <c r="E1621" s="292" t="s">
        <v>2201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3577</v>
      </c>
      <c r="E1622" s="292" t="s">
        <v>3301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3581</v>
      </c>
      <c r="E1623" s="292" t="s">
        <v>3582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1457</v>
      </c>
      <c r="E1624" s="292" t="s">
        <v>1130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3577</v>
      </c>
      <c r="E1625" s="292" t="s">
        <v>1130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1730</v>
      </c>
      <c r="E1626" s="292" t="s">
        <v>1753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1457</v>
      </c>
      <c r="E1627" s="292" t="s">
        <v>1210</v>
      </c>
      <c r="F1627" s="269" t="s">
        <v>1761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1992</v>
      </c>
      <c r="E1628" s="292" t="s">
        <v>1212</v>
      </c>
      <c r="F1628" s="269" t="s">
        <v>1213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1992</v>
      </c>
      <c r="E1629" s="292" t="s">
        <v>2931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2192</v>
      </c>
      <c r="F1630" s="269" t="s">
        <v>1208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2193</v>
      </c>
      <c r="F1631" s="269" t="s">
        <v>1812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1872</v>
      </c>
      <c r="E1632" s="292" t="s">
        <v>3585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2" x14ac:dyDescent="0.3">
      <c r="A1633" s="58">
        <v>1627</v>
      </c>
      <c r="B1633" s="264">
        <v>45915</v>
      </c>
      <c r="C1633" s="292" t="s">
        <v>1407</v>
      </c>
      <c r="E1633" s="292" t="s">
        <v>1752</v>
      </c>
      <c r="G1633" s="265">
        <v>650000</v>
      </c>
      <c r="H1633" s="269">
        <v>1</v>
      </c>
      <c r="K1633" s="265">
        <v>650000</v>
      </c>
    </row>
    <row r="1634" spans="1:12" x14ac:dyDescent="0.3">
      <c r="A1634" s="58">
        <v>1628</v>
      </c>
      <c r="B1634" s="264">
        <v>45915</v>
      </c>
      <c r="C1634" s="292" t="s">
        <v>1152</v>
      </c>
      <c r="E1634" s="292" t="s">
        <v>1725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2" x14ac:dyDescent="0.3">
      <c r="A1635" s="58">
        <v>1629</v>
      </c>
      <c r="B1635" s="264">
        <v>45915</v>
      </c>
      <c r="C1635" s="292" t="s">
        <v>1452</v>
      </c>
      <c r="E1635" s="292" t="s">
        <v>2207</v>
      </c>
      <c r="G1635" s="265">
        <v>300000</v>
      </c>
      <c r="H1635" s="269">
        <v>3</v>
      </c>
      <c r="K1635" s="265">
        <v>900000</v>
      </c>
    </row>
    <row r="1636" spans="1:12" x14ac:dyDescent="0.3">
      <c r="A1636" s="58">
        <v>1630</v>
      </c>
      <c r="B1636" s="264">
        <v>45915</v>
      </c>
      <c r="C1636" s="292" t="s">
        <v>1452</v>
      </c>
      <c r="E1636" s="292" t="s">
        <v>3599</v>
      </c>
      <c r="L1636" s="265">
        <v>-1000000</v>
      </c>
    </row>
    <row r="1637" spans="1:12" x14ac:dyDescent="0.3">
      <c r="A1637" s="58">
        <v>1631</v>
      </c>
      <c r="B1637" s="264">
        <v>45915</v>
      </c>
      <c r="C1637" s="292" t="s">
        <v>1588</v>
      </c>
      <c r="E1637" s="292" t="s">
        <v>2068</v>
      </c>
      <c r="L1637" s="265">
        <v>-3300000</v>
      </c>
    </row>
    <row r="1638" spans="1:12" x14ac:dyDescent="0.3">
      <c r="A1638" s="58">
        <v>1632</v>
      </c>
      <c r="B1638" s="264">
        <v>45915</v>
      </c>
      <c r="C1638" s="292" t="s">
        <v>1756</v>
      </c>
      <c r="E1638" s="292" t="s">
        <v>1130</v>
      </c>
      <c r="L1638" s="265">
        <v>-737000</v>
      </c>
    </row>
  </sheetData>
  <autoFilter ref="A1:K159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10" workbookViewId="0">
      <selection activeCell="G20" sqref="G20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45915</v>
      </c>
      <c r="B3" s="235" t="s">
        <v>1131</v>
      </c>
      <c r="C3" s="286">
        <f>SUMIF($B:$B,A3,I:I)</f>
        <v>7050000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5698000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99323000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99323000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2858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2780</v>
      </c>
      <c r="D24" s="112" t="s">
        <v>2823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2780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3376</v>
      </c>
      <c r="D26" s="112" t="s">
        <v>3079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3016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2780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3376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2887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3016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3016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3399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3405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3407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3317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3414</v>
      </c>
      <c r="F55" s="120">
        <v>1850000</v>
      </c>
      <c r="G55" s="85">
        <v>1</v>
      </c>
      <c r="H55" s="126" t="s">
        <v>3479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3418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2832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3418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3317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3427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3445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3435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3435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2934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1487</v>
      </c>
      <c r="D77" s="113" t="s">
        <v>1130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3427</v>
      </c>
      <c r="D78" s="113" t="s">
        <v>1130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2934</v>
      </c>
      <c r="D79" s="113" t="s">
        <v>1130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1502</v>
      </c>
      <c r="D80" s="113" t="s">
        <v>3461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1858</v>
      </c>
      <c r="D81" s="113" t="s">
        <v>1755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1756</v>
      </c>
      <c r="D82" s="113" t="s">
        <v>3462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3463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1475</v>
      </c>
      <c r="D84" s="113" t="s">
        <v>2170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1210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1452</v>
      </c>
      <c r="D86" s="113" t="s">
        <v>2044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1452</v>
      </c>
      <c r="D87" s="113" t="s">
        <v>2851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1452</v>
      </c>
      <c r="D88" s="113" t="s">
        <v>3467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1313</v>
      </c>
      <c r="D89" s="113" t="s">
        <v>3070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1730</v>
      </c>
      <c r="D90" s="113" t="s">
        <v>3470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1730</v>
      </c>
      <c r="D91" s="113" t="s">
        <v>1557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3169</v>
      </c>
      <c r="D92" s="113" t="s">
        <v>1768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3169</v>
      </c>
      <c r="D93" s="113" t="s">
        <v>2124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3480</v>
      </c>
      <c r="D94" s="113" t="s">
        <v>2194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1407</v>
      </c>
      <c r="D95" s="113" t="s">
        <v>1210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1407</v>
      </c>
      <c r="D96" s="113" t="s">
        <v>2858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1457</v>
      </c>
      <c r="D97" s="113" t="s">
        <v>1130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1481</v>
      </c>
      <c r="D98" s="113" t="s">
        <v>1755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3169</v>
      </c>
      <c r="D99" s="113" t="s">
        <v>1755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3480</v>
      </c>
      <c r="D100" s="113" t="s">
        <v>1755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1481</v>
      </c>
      <c r="D101" s="113" t="s">
        <v>2199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3435</v>
      </c>
      <c r="D102" s="113" t="s">
        <v>1755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3488</v>
      </c>
      <c r="D103" s="113" t="s">
        <v>3495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3488</v>
      </c>
      <c r="D104" s="113" t="s">
        <v>2202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3488</v>
      </c>
      <c r="D105" s="113" t="s">
        <v>2203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3488</v>
      </c>
      <c r="D106" s="113" t="s">
        <v>2204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3016</v>
      </c>
      <c r="D107" s="113" t="s">
        <v>3498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3491</v>
      </c>
      <c r="D108" s="113" t="s">
        <v>3500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3488</v>
      </c>
      <c r="D109" s="113" t="s">
        <v>1130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3491</v>
      </c>
      <c r="D110" s="113" t="s">
        <v>1809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1313</v>
      </c>
      <c r="D111" s="113" t="s">
        <v>1809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1604</v>
      </c>
      <c r="D112" s="113" t="s">
        <v>1809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1502</v>
      </c>
      <c r="D113" s="113" t="s">
        <v>3502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1594</v>
      </c>
      <c r="D114" s="113" t="s">
        <v>2119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1313</v>
      </c>
      <c r="D115" s="113" t="s">
        <v>3495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1313</v>
      </c>
      <c r="D116" s="113" t="s">
        <v>2202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1313</v>
      </c>
      <c r="D117" s="113" t="s">
        <v>2203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1313</v>
      </c>
      <c r="D118" s="113" t="s">
        <v>2204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1588</v>
      </c>
      <c r="D119" s="113" t="s">
        <v>3495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1679</v>
      </c>
      <c r="D120" s="113" t="s">
        <v>3508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2149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1487</v>
      </c>
      <c r="D122" s="113" t="s">
        <v>3495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1487</v>
      </c>
      <c r="D123" s="113" t="s">
        <v>2200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1487</v>
      </c>
      <c r="D124" s="113" t="s">
        <v>2204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1487</v>
      </c>
      <c r="D125" s="113" t="s">
        <v>2203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1407</v>
      </c>
      <c r="D126" s="113" t="s">
        <v>1752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1809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1562</v>
      </c>
      <c r="D128" s="113" t="s">
        <v>1130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1313</v>
      </c>
      <c r="D129" s="113" t="s">
        <v>1130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1179</v>
      </c>
      <c r="D130" s="113" t="s">
        <v>1130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2641</v>
      </c>
      <c r="D131" s="113" t="s">
        <v>1752</v>
      </c>
      <c r="F131" s="120">
        <v>1100000</v>
      </c>
      <c r="G131" s="85">
        <v>1</v>
      </c>
      <c r="H131" s="126" t="s">
        <v>3554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2422</v>
      </c>
      <c r="D132" s="113" t="s">
        <v>2201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2198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2479</v>
      </c>
      <c r="D134" s="113" t="s">
        <v>1725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1878</v>
      </c>
      <c r="D135" s="113" t="s">
        <v>2209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1878</v>
      </c>
      <c r="D136" s="113" t="s">
        <v>1130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2479</v>
      </c>
      <c r="D137" s="113" t="s">
        <v>1130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1130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1457</v>
      </c>
      <c r="D139" s="113" t="s">
        <v>3495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1679</v>
      </c>
      <c r="D140" s="113" t="s">
        <v>1210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3551</v>
      </c>
    </row>
    <row r="141" spans="1:11" ht="18" customHeight="1" x14ac:dyDescent="0.3">
      <c r="A141" s="82">
        <v>1571</v>
      </c>
      <c r="B141" s="93">
        <v>45910</v>
      </c>
      <c r="C141" s="83" t="s">
        <v>1679</v>
      </c>
      <c r="D141" s="113" t="s">
        <v>1504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3551</v>
      </c>
    </row>
    <row r="142" spans="1:11" ht="18" customHeight="1" x14ac:dyDescent="0.3">
      <c r="A142" s="82">
        <v>1572</v>
      </c>
      <c r="B142" s="93">
        <v>45910</v>
      </c>
      <c r="C142" s="83" t="s">
        <v>1881</v>
      </c>
      <c r="D142" s="113" t="s">
        <v>2198</v>
      </c>
      <c r="F142" s="120">
        <v>900000</v>
      </c>
      <c r="G142" s="85">
        <v>1</v>
      </c>
      <c r="I142" s="80">
        <v>900000</v>
      </c>
      <c r="K142" s="69" t="s">
        <v>3551</v>
      </c>
    </row>
    <row r="143" spans="1:11" ht="18" customHeight="1" x14ac:dyDescent="0.3">
      <c r="A143" s="82">
        <v>1573</v>
      </c>
      <c r="B143" s="93">
        <v>45910</v>
      </c>
      <c r="C143" s="83" t="s">
        <v>1549</v>
      </c>
      <c r="D143" s="113" t="s">
        <v>1210</v>
      </c>
      <c r="F143" s="120">
        <v>1200000</v>
      </c>
      <c r="G143" s="85">
        <v>1</v>
      </c>
      <c r="I143" s="80">
        <v>1200000</v>
      </c>
      <c r="K143" s="69" t="s">
        <v>3551</v>
      </c>
    </row>
    <row r="144" spans="1:11" ht="18" customHeight="1" x14ac:dyDescent="0.3">
      <c r="A144" s="82">
        <v>1574</v>
      </c>
      <c r="B144" s="93">
        <v>45910</v>
      </c>
      <c r="C144" s="83" t="s">
        <v>1549</v>
      </c>
      <c r="D144" s="113" t="s">
        <v>3467</v>
      </c>
      <c r="F144" s="120">
        <v>80000</v>
      </c>
      <c r="G144" s="85">
        <v>1</v>
      </c>
      <c r="I144" s="80">
        <v>80000</v>
      </c>
      <c r="K144" s="69" t="s">
        <v>3551</v>
      </c>
    </row>
    <row r="145" spans="1:11" ht="18" customHeight="1" x14ac:dyDescent="0.3">
      <c r="A145" s="82">
        <v>1575</v>
      </c>
      <c r="B145" s="93">
        <v>45910</v>
      </c>
      <c r="C145" s="83" t="s">
        <v>3535</v>
      </c>
      <c r="D145" s="113" t="s">
        <v>3495</v>
      </c>
      <c r="F145" s="120">
        <v>540000</v>
      </c>
      <c r="G145" s="85">
        <v>1</v>
      </c>
      <c r="I145" s="80">
        <v>540000</v>
      </c>
      <c r="K145" s="69" t="s">
        <v>3551</v>
      </c>
    </row>
    <row r="146" spans="1:11" ht="18" customHeight="1" x14ac:dyDescent="0.3">
      <c r="A146" s="82">
        <v>1576</v>
      </c>
      <c r="B146" s="93">
        <v>45910</v>
      </c>
      <c r="C146" s="83" t="s">
        <v>1452</v>
      </c>
      <c r="D146" s="113" t="s">
        <v>3467</v>
      </c>
      <c r="F146" s="120">
        <v>80000</v>
      </c>
      <c r="G146" s="85">
        <v>3</v>
      </c>
      <c r="I146" s="80">
        <v>240000</v>
      </c>
      <c r="K146" s="69" t="s">
        <v>3551</v>
      </c>
    </row>
    <row r="147" spans="1:11" ht="18" customHeight="1" x14ac:dyDescent="0.3">
      <c r="A147" s="82">
        <v>1577</v>
      </c>
      <c r="B147" s="93">
        <v>45910</v>
      </c>
      <c r="C147" s="83" t="s">
        <v>3418</v>
      </c>
      <c r="D147" s="113" t="s">
        <v>2192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3551</v>
      </c>
    </row>
    <row r="148" spans="1:11" ht="18" customHeight="1" x14ac:dyDescent="0.3">
      <c r="A148" s="82">
        <v>1578</v>
      </c>
      <c r="B148" s="93">
        <v>45910</v>
      </c>
      <c r="C148" s="83" t="s">
        <v>3418</v>
      </c>
      <c r="D148" s="113" t="s">
        <v>2193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3551</v>
      </c>
    </row>
    <row r="149" spans="1:11" ht="18" customHeight="1" x14ac:dyDescent="0.3">
      <c r="A149" s="82">
        <v>1579</v>
      </c>
      <c r="B149" s="93">
        <v>45910</v>
      </c>
      <c r="C149" s="83" t="s">
        <v>1452</v>
      </c>
      <c r="D149" s="113" t="s">
        <v>3330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1313</v>
      </c>
      <c r="D150" s="113" t="s">
        <v>2206</v>
      </c>
      <c r="F150" s="120">
        <v>600000</v>
      </c>
      <c r="G150" s="85">
        <v>1</v>
      </c>
      <c r="I150" s="80">
        <v>600000</v>
      </c>
      <c r="K150" s="69" t="s">
        <v>3551</v>
      </c>
    </row>
    <row r="151" spans="1:11" ht="18" customHeight="1" x14ac:dyDescent="0.3">
      <c r="A151" s="82">
        <v>1581</v>
      </c>
      <c r="B151" s="93">
        <v>45910</v>
      </c>
      <c r="C151" s="83" t="s">
        <v>2801</v>
      </c>
      <c r="D151" s="113" t="s">
        <v>2302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3551</v>
      </c>
    </row>
    <row r="152" spans="1:11" ht="18" customHeight="1" x14ac:dyDescent="0.3">
      <c r="A152" s="82">
        <v>1582</v>
      </c>
      <c r="B152" s="93">
        <v>45910</v>
      </c>
      <c r="C152" s="83" t="s">
        <v>1799</v>
      </c>
      <c r="D152" s="113" t="s">
        <v>2206</v>
      </c>
      <c r="F152" s="120">
        <v>600000</v>
      </c>
      <c r="G152" s="85">
        <v>1</v>
      </c>
      <c r="I152" s="80">
        <v>600000</v>
      </c>
      <c r="K152" s="69" t="s">
        <v>3551</v>
      </c>
    </row>
    <row r="153" spans="1:11" ht="18" customHeight="1" x14ac:dyDescent="0.3">
      <c r="A153" s="82">
        <v>1583</v>
      </c>
      <c r="B153" s="93">
        <v>45910</v>
      </c>
      <c r="C153" s="83" t="s">
        <v>1799</v>
      </c>
      <c r="D153" s="113" t="s">
        <v>3495</v>
      </c>
      <c r="F153" s="120">
        <v>540000</v>
      </c>
      <c r="G153" s="85">
        <v>1</v>
      </c>
      <c r="I153" s="80">
        <v>540000</v>
      </c>
      <c r="K153" s="69" t="s">
        <v>3551</v>
      </c>
    </row>
    <row r="154" spans="1:11" ht="18" customHeight="1" x14ac:dyDescent="0.3">
      <c r="A154" s="82">
        <v>1584</v>
      </c>
      <c r="B154" s="93">
        <v>45910</v>
      </c>
      <c r="C154" s="83" t="s">
        <v>1799</v>
      </c>
      <c r="D154" s="113" t="s">
        <v>2204</v>
      </c>
      <c r="F154" s="120">
        <v>10000</v>
      </c>
      <c r="G154" s="85">
        <v>1</v>
      </c>
      <c r="I154" s="80">
        <v>10000</v>
      </c>
      <c r="K154" s="69" t="s">
        <v>3551</v>
      </c>
    </row>
    <row r="155" spans="1:11" ht="18" customHeight="1" x14ac:dyDescent="0.3">
      <c r="A155" s="82">
        <v>1585</v>
      </c>
      <c r="B155" s="93">
        <v>45910</v>
      </c>
      <c r="C155" s="83" t="s">
        <v>1799</v>
      </c>
      <c r="D155" s="113" t="s">
        <v>2203</v>
      </c>
      <c r="F155" s="120">
        <v>35000</v>
      </c>
      <c r="G155" s="85">
        <v>1</v>
      </c>
      <c r="I155" s="80">
        <v>35000</v>
      </c>
      <c r="K155" s="69" t="s">
        <v>3551</v>
      </c>
    </row>
    <row r="156" spans="1:11" ht="18" customHeight="1" x14ac:dyDescent="0.3">
      <c r="A156" s="82">
        <v>1586</v>
      </c>
      <c r="B156" s="93">
        <v>45910</v>
      </c>
      <c r="C156" s="83" t="s">
        <v>1799</v>
      </c>
      <c r="D156" s="113" t="s">
        <v>1527</v>
      </c>
      <c r="F156" s="120">
        <v>20000</v>
      </c>
      <c r="G156" s="85">
        <v>1</v>
      </c>
      <c r="I156" s="80">
        <v>20000</v>
      </c>
      <c r="K156" s="69" t="s">
        <v>3551</v>
      </c>
    </row>
    <row r="157" spans="1:11" ht="18" customHeight="1" x14ac:dyDescent="0.3">
      <c r="A157" s="82">
        <v>1587</v>
      </c>
      <c r="B157" s="93">
        <v>45910</v>
      </c>
      <c r="C157" s="83" t="s">
        <v>1475</v>
      </c>
      <c r="D157" s="113" t="s">
        <v>1130</v>
      </c>
      <c r="J157" s="80">
        <v>-3080000</v>
      </c>
      <c r="K157" s="69" t="s">
        <v>3551</v>
      </c>
    </row>
    <row r="158" spans="1:11" ht="18" customHeight="1" x14ac:dyDescent="0.3">
      <c r="A158" s="82">
        <v>1588</v>
      </c>
      <c r="B158" s="93">
        <v>45910</v>
      </c>
      <c r="C158" s="83" t="s">
        <v>3418</v>
      </c>
      <c r="D158" s="113" t="s">
        <v>1130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1313</v>
      </c>
      <c r="D159" s="113" t="s">
        <v>1130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1457</v>
      </c>
      <c r="D160" s="113" t="s">
        <v>1130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2422</v>
      </c>
      <c r="D161" s="113" t="s">
        <v>1130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1594</v>
      </c>
      <c r="D162" s="113" t="s">
        <v>1130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2801</v>
      </c>
      <c r="D163" s="113" t="s">
        <v>1130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3535</v>
      </c>
      <c r="D164" s="113" t="s">
        <v>1130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1475</v>
      </c>
      <c r="D165" s="113" t="s">
        <v>3244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1087</v>
      </c>
      <c r="D166" s="113" t="s">
        <v>2192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1087</v>
      </c>
      <c r="D167" s="113" t="s">
        <v>2193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1821</v>
      </c>
      <c r="D168" s="113" t="s">
        <v>1212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2408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1457</v>
      </c>
      <c r="D170" s="113" t="s">
        <v>3407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1457</v>
      </c>
      <c r="D171" s="113" t="s">
        <v>1557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1457</v>
      </c>
      <c r="D172" s="113" t="s">
        <v>3563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1407</v>
      </c>
      <c r="D173" s="113" t="s">
        <v>2425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1799</v>
      </c>
      <c r="D174" s="113" t="s">
        <v>3407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1799</v>
      </c>
      <c r="D175" s="113" t="s">
        <v>1527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3134</v>
      </c>
      <c r="D176" s="113" t="s">
        <v>1752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1588</v>
      </c>
      <c r="D177" s="113" t="s">
        <v>1130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1130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3134</v>
      </c>
      <c r="D179" s="113" t="s">
        <v>1130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1481</v>
      </c>
      <c r="D180" s="113" t="s">
        <v>2208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1679</v>
      </c>
      <c r="D181" s="113" t="s">
        <v>2430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1730</v>
      </c>
      <c r="D182" s="113" t="s">
        <v>1543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2934</v>
      </c>
      <c r="D183" s="113" t="s">
        <v>2958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1730</v>
      </c>
      <c r="D184" s="113" t="s">
        <v>3574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1477</v>
      </c>
      <c r="D185" s="113" t="s">
        <v>2201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3577</v>
      </c>
      <c r="D186" s="113" t="s">
        <v>3301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1481</v>
      </c>
      <c r="D187" s="113" t="s">
        <v>1130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1457</v>
      </c>
      <c r="D188" s="113" t="s">
        <v>1130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3577</v>
      </c>
      <c r="D189" s="113" t="s">
        <v>1130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1730</v>
      </c>
      <c r="D190" s="113" t="s">
        <v>1753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1457</v>
      </c>
      <c r="D191" s="113" t="s">
        <v>1210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1992</v>
      </c>
      <c r="D192" s="113" t="s">
        <v>1212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1992</v>
      </c>
      <c r="D193" s="113" t="s">
        <v>2931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2192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2193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1872</v>
      </c>
      <c r="D196" s="113" t="s">
        <v>3585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1407</v>
      </c>
      <c r="D197" s="113" t="s">
        <v>1752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1152</v>
      </c>
      <c r="D198" s="113" t="s">
        <v>1725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1452</v>
      </c>
      <c r="D199" s="113" t="s">
        <v>2207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1452</v>
      </c>
      <c r="D200" s="113" t="s">
        <v>3599</v>
      </c>
      <c r="I200" s="126"/>
      <c r="J200" s="80">
        <v>-1000000</v>
      </c>
    </row>
    <row r="201" spans="1:10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2850</v>
      </c>
      <c r="D1" s="283" t="s">
        <v>2849</v>
      </c>
      <c r="E1" s="283"/>
      <c r="F1" s="282"/>
    </row>
    <row r="2" spans="1:6" x14ac:dyDescent="0.3">
      <c r="B2" t="s">
        <v>1296</v>
      </c>
      <c r="C2" s="52">
        <f>SUMIF(BTS_매출관리!C:C,B2,BTS_매출관리!I:I)</f>
        <v>6300000</v>
      </c>
      <c r="D2">
        <f t="shared" ref="D2:D65" si="0">RANK(C2,C:C,0)</f>
        <v>2</v>
      </c>
    </row>
    <row r="3" spans="1:6" x14ac:dyDescent="0.3">
      <c r="B3" t="s">
        <v>1309</v>
      </c>
      <c r="C3" s="52">
        <f>SUMIF(BTS_매출관리!C:C,B3,BTS_매출관리!I:I)</f>
        <v>5093000</v>
      </c>
      <c r="D3">
        <f t="shared" si="0"/>
        <v>4</v>
      </c>
    </row>
    <row r="4" spans="1:6" x14ac:dyDescent="0.3">
      <c r="B4" t="s">
        <v>1283</v>
      </c>
      <c r="C4" s="52">
        <f>SUMIF(BTS_매출관리!C:C,B4,BTS_매출관리!I:I)</f>
        <v>3520000</v>
      </c>
      <c r="D4">
        <f t="shared" si="0"/>
        <v>7</v>
      </c>
    </row>
    <row r="5" spans="1:6" x14ac:dyDescent="0.3">
      <c r="B5" t="s">
        <v>1348</v>
      </c>
      <c r="C5" s="52">
        <f>SUMIF(BTS_매출관리!C:C,B5,BTS_매출관리!I:I)</f>
        <v>5640000</v>
      </c>
      <c r="D5">
        <f t="shared" si="0"/>
        <v>3</v>
      </c>
    </row>
    <row r="6" spans="1:6" x14ac:dyDescent="0.3">
      <c r="B6" t="s">
        <v>1333</v>
      </c>
      <c r="C6" s="52">
        <f>SUMIF(BTS_매출관리!C:C,B6,BTS_매출관리!I:I)</f>
        <v>2700000</v>
      </c>
      <c r="D6">
        <f t="shared" si="0"/>
        <v>10</v>
      </c>
    </row>
    <row r="7" spans="1:6" x14ac:dyDescent="0.3">
      <c r="B7" t="s">
        <v>1179</v>
      </c>
      <c r="C7" s="52">
        <f>SUMIF(BTS_매출관리!C:C,B7,BTS_매출관리!I:I)</f>
        <v>2100000</v>
      </c>
      <c r="D7">
        <f t="shared" si="0"/>
        <v>16</v>
      </c>
    </row>
    <row r="8" spans="1:6" x14ac:dyDescent="0.3">
      <c r="B8" t="s">
        <v>2484</v>
      </c>
      <c r="C8" s="52">
        <f>SUMIF(BTS_매출관리!C:C,B8,BTS_매출관리!I:I)</f>
        <v>2000000</v>
      </c>
      <c r="D8">
        <f t="shared" si="0"/>
        <v>17</v>
      </c>
    </row>
    <row r="9" spans="1:6" x14ac:dyDescent="0.3">
      <c r="B9" t="s">
        <v>1341</v>
      </c>
      <c r="C9" s="52">
        <f>SUMIF(BTS_매출관리!C:C,B9,BTS_매출관리!I:I)</f>
        <v>4506000</v>
      </c>
      <c r="D9">
        <f t="shared" si="0"/>
        <v>5</v>
      </c>
    </row>
    <row r="10" spans="1:6" x14ac:dyDescent="0.3">
      <c r="B10" t="s">
        <v>1360</v>
      </c>
      <c r="C10" s="52">
        <f>SUMIF(BTS_매출관리!C:C,B10,BTS_매출관리!I:I)</f>
        <v>1782000</v>
      </c>
      <c r="D10">
        <f t="shared" si="0"/>
        <v>18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20</v>
      </c>
    </row>
    <row r="12" spans="1:6" x14ac:dyDescent="0.3">
      <c r="B12" t="s">
        <v>1286</v>
      </c>
      <c r="C12" s="52">
        <f>SUMIF(BTS_매출관리!C:C,B12,BTS_매출관리!I:I)</f>
        <v>3225000</v>
      </c>
      <c r="D12">
        <f t="shared" si="0"/>
        <v>8</v>
      </c>
      <c r="F12">
        <f>IF(D12 &lt; 10,,"")</f>
        <v>0</v>
      </c>
    </row>
    <row r="13" spans="1:6" x14ac:dyDescent="0.3">
      <c r="B13" t="s">
        <v>1297</v>
      </c>
      <c r="C13" s="52">
        <f>SUMIF(BTS_매출관리!C:C,B13,BTS_매출관리!I:I)</f>
        <v>2695000</v>
      </c>
      <c r="D13">
        <f t="shared" si="0"/>
        <v>11</v>
      </c>
      <c r="F13" t="str">
        <f>IF(D13 &lt; 10,,"")</f>
        <v/>
      </c>
    </row>
    <row r="14" spans="1:6" x14ac:dyDescent="0.3">
      <c r="B14" t="s">
        <v>1343</v>
      </c>
      <c r="C14" s="52">
        <f>SUMIF(BTS_매출관리!C:C,B14,BTS_매출관리!I:I)</f>
        <v>4150000</v>
      </c>
      <c r="D14">
        <f t="shared" si="0"/>
        <v>6</v>
      </c>
      <c r="F14">
        <f>IF(D14 &lt; 10,,"")</f>
        <v>0</v>
      </c>
    </row>
    <row r="15" spans="1:6" x14ac:dyDescent="0.3">
      <c r="B15" t="s">
        <v>1358</v>
      </c>
      <c r="C15" s="52">
        <f>SUMIF(BTS_매출관리!C:C,B15,BTS_매출관리!I:I)</f>
        <v>2410000</v>
      </c>
      <c r="D15">
        <f t="shared" si="0"/>
        <v>13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28</v>
      </c>
    </row>
    <row r="17" spans="2:4" x14ac:dyDescent="0.3">
      <c r="B17" t="s">
        <v>1302</v>
      </c>
      <c r="C17" s="52">
        <f>SUMIF(BTS_매출관리!C:C,B17,BTS_매출관리!I:I)</f>
        <v>1150000</v>
      </c>
      <c r="D17">
        <f t="shared" si="0"/>
        <v>29</v>
      </c>
    </row>
    <row r="18" spans="2:4" x14ac:dyDescent="0.3">
      <c r="B18" t="s">
        <v>1324</v>
      </c>
      <c r="C18" s="52">
        <f>SUMIF(BTS_매출관리!C:C,B18,BTS_매출관리!I:I)</f>
        <v>2550000</v>
      </c>
      <c r="D18">
        <f t="shared" si="0"/>
        <v>12</v>
      </c>
    </row>
    <row r="19" spans="2:4" x14ac:dyDescent="0.3">
      <c r="B19" t="s">
        <v>1314</v>
      </c>
      <c r="C19" s="52">
        <f>SUMIF(BTS_매출관리!C:C,B19,BTS_매출관리!I:I)</f>
        <v>2255000</v>
      </c>
      <c r="D19">
        <f t="shared" si="0"/>
        <v>14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33</v>
      </c>
    </row>
    <row r="21" spans="2:4" x14ac:dyDescent="0.3">
      <c r="B21" t="s">
        <v>1281</v>
      </c>
      <c r="C21" s="52">
        <f>SUMIF(BTS_매출관리!C:C,B21,BTS_매출관리!I:I)</f>
        <v>715000</v>
      </c>
      <c r="D21">
        <f t="shared" si="0"/>
        <v>34</v>
      </c>
    </row>
    <row r="22" spans="2:4" x14ac:dyDescent="0.3">
      <c r="B22" t="s">
        <v>1294</v>
      </c>
      <c r="C22" s="52">
        <f>SUMIF(BTS_매출관리!C:C,B22,BTS_매출관리!I:I)</f>
        <v>1235000</v>
      </c>
      <c r="D22">
        <f t="shared" si="0"/>
        <v>26</v>
      </c>
    </row>
    <row r="23" spans="2:4" x14ac:dyDescent="0.3">
      <c r="B23" t="s">
        <v>1301</v>
      </c>
      <c r="C23" s="52">
        <f>SUMIF(BTS_매출관리!C:C,B23,BTS_매출관리!I:I)</f>
        <v>2255000</v>
      </c>
      <c r="D23">
        <f t="shared" si="0"/>
        <v>14</v>
      </c>
    </row>
    <row r="24" spans="2:4" x14ac:dyDescent="0.3">
      <c r="B24" t="s">
        <v>2780</v>
      </c>
      <c r="C24" s="52">
        <f>SUMIF(BTS_매출관리!C:C,B24,BTS_매출관리!I:I)</f>
        <v>462000</v>
      </c>
      <c r="D24">
        <f t="shared" si="0"/>
        <v>36</v>
      </c>
    </row>
    <row r="25" spans="2:4" x14ac:dyDescent="0.3">
      <c r="B25" t="s">
        <v>1346</v>
      </c>
      <c r="C25" s="52">
        <f>SUMIF(BTS_매출관리!C:C,B25,BTS_매출관리!I:I)</f>
        <v>450000</v>
      </c>
      <c r="D25">
        <f t="shared" si="0"/>
        <v>37</v>
      </c>
    </row>
    <row r="26" spans="2:4" x14ac:dyDescent="0.3">
      <c r="B26" t="s">
        <v>1304</v>
      </c>
      <c r="C26" s="52">
        <f>SUMIF(BTS_매출관리!C:C,B26,BTS_매출관리!I:I)</f>
        <v>315000</v>
      </c>
      <c r="D26">
        <f t="shared" si="0"/>
        <v>39</v>
      </c>
    </row>
    <row r="27" spans="2:4" x14ac:dyDescent="0.3">
      <c r="B27" t="s">
        <v>1316</v>
      </c>
      <c r="C27" s="52">
        <f>SUMIF(BTS_매출관리!C:C,B27,BTS_매출관리!I:I)</f>
        <v>0</v>
      </c>
      <c r="D27">
        <f t="shared" si="0"/>
        <v>45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43</v>
      </c>
    </row>
    <row r="29" spans="2:4" x14ac:dyDescent="0.3">
      <c r="B29" t="s">
        <v>1342</v>
      </c>
      <c r="C29" s="52">
        <f>SUMIF(BTS_매출관리!C:C,B29,BTS_매출관리!I:I)</f>
        <v>85000</v>
      </c>
      <c r="D29">
        <f t="shared" si="0"/>
        <v>44</v>
      </c>
    </row>
    <row r="30" spans="2:4" x14ac:dyDescent="0.3">
      <c r="B30" t="s">
        <v>1153</v>
      </c>
      <c r="C30" s="52">
        <f>SUMIF(BTS_매출관리!C:C,B30,BTS_매출관리!I:I)</f>
        <v>320000</v>
      </c>
      <c r="D30">
        <f t="shared" si="0"/>
        <v>38</v>
      </c>
    </row>
    <row r="31" spans="2:4" x14ac:dyDescent="0.3">
      <c r="B31" t="s">
        <v>2575</v>
      </c>
      <c r="C31" s="52">
        <f>SUMIF(BTS_매출관리!C:C,B31,BTS_매출관리!I:I)</f>
        <v>0</v>
      </c>
      <c r="D31">
        <f t="shared" si="0"/>
        <v>45</v>
      </c>
    </row>
    <row r="32" spans="2:4" x14ac:dyDescent="0.3">
      <c r="B32" t="s">
        <v>1306</v>
      </c>
      <c r="C32" s="52">
        <f>SUMIF(BTS_매출관리!C:C,B32,BTS_매출관리!I:I)</f>
        <v>650000</v>
      </c>
      <c r="D32">
        <f t="shared" si="0"/>
        <v>35</v>
      </c>
    </row>
    <row r="33" spans="2:4" x14ac:dyDescent="0.3">
      <c r="B33" t="s">
        <v>2227</v>
      </c>
      <c r="C33" s="52">
        <f>SUMIF(BTS_매출관리!C:C,B33,BTS_매출관리!I:I)</f>
        <v>0</v>
      </c>
      <c r="D33">
        <f t="shared" si="0"/>
        <v>45</v>
      </c>
    </row>
    <row r="34" spans="2:4" x14ac:dyDescent="0.3">
      <c r="B34" t="s">
        <v>1340</v>
      </c>
      <c r="C34" s="52">
        <f>SUMIF(BTS_매출관리!C:C,B34,BTS_매출관리!I:I)</f>
        <v>1280000</v>
      </c>
      <c r="D34">
        <f t="shared" si="0"/>
        <v>25</v>
      </c>
    </row>
    <row r="35" spans="2:4" x14ac:dyDescent="0.3">
      <c r="B35" t="s">
        <v>1059</v>
      </c>
      <c r="C35" s="52">
        <f>SUMIF(BTS_매출관리!C:C,B35,BTS_매출관리!I:I)</f>
        <v>200000</v>
      </c>
      <c r="D35">
        <f t="shared" si="0"/>
        <v>42</v>
      </c>
    </row>
    <row r="36" spans="2:4" x14ac:dyDescent="0.3">
      <c r="B36" t="s">
        <v>1496</v>
      </c>
      <c r="C36" s="52">
        <f>SUMIF(BTS_매출관리!C:C,B36,BTS_매출관리!I:I)</f>
        <v>0</v>
      </c>
      <c r="D36">
        <f t="shared" si="0"/>
        <v>45</v>
      </c>
    </row>
    <row r="37" spans="2:4" x14ac:dyDescent="0.3">
      <c r="B37" t="s">
        <v>1320</v>
      </c>
      <c r="C37" s="52">
        <f>SUMIF(BTS_매출관리!C:C,B37,BTS_매출관리!I:I)</f>
        <v>0</v>
      </c>
      <c r="D37">
        <f t="shared" si="0"/>
        <v>45</v>
      </c>
    </row>
    <row r="38" spans="2:4" x14ac:dyDescent="0.3">
      <c r="B38" t="s">
        <v>2373</v>
      </c>
      <c r="C38" s="52">
        <f>SUMIF(BTS_매출관리!C:C,B38,BTS_매출관리!I:I)</f>
        <v>1485000</v>
      </c>
      <c r="D38">
        <f t="shared" si="0"/>
        <v>22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45</v>
      </c>
    </row>
    <row r="40" spans="2:4" x14ac:dyDescent="0.3">
      <c r="B40" t="s">
        <v>1349</v>
      </c>
      <c r="C40" s="52">
        <f>SUMIF(BTS_매출관리!C:C,B40,BTS_매출관리!I:I)</f>
        <v>0</v>
      </c>
      <c r="D40">
        <f t="shared" si="0"/>
        <v>45</v>
      </c>
    </row>
    <row r="41" spans="2:4" x14ac:dyDescent="0.3">
      <c r="B41" t="s">
        <v>1579</v>
      </c>
      <c r="C41" s="52">
        <f>SUMIF(BTS_매출관리!C:C,B41,BTS_매출관리!I:I)</f>
        <v>0</v>
      </c>
      <c r="D41">
        <f t="shared" si="0"/>
        <v>45</v>
      </c>
    </row>
    <row r="42" spans="2:4" x14ac:dyDescent="0.3">
      <c r="B42" t="s">
        <v>2802</v>
      </c>
      <c r="C42" s="52">
        <f>SUMIF(BTS_매출관리!C:C,B42,BTS_매출관리!I:I)</f>
        <v>1760000</v>
      </c>
      <c r="D42">
        <f t="shared" si="0"/>
        <v>19</v>
      </c>
    </row>
    <row r="43" spans="2:4" x14ac:dyDescent="0.3">
      <c r="B43" t="s">
        <v>1366</v>
      </c>
      <c r="C43" s="52">
        <f>SUMIF(BTS_매출관리!C:C,B43,BTS_매출관리!I:I)</f>
        <v>0</v>
      </c>
      <c r="D43">
        <f t="shared" si="0"/>
        <v>45</v>
      </c>
    </row>
    <row r="44" spans="2:4" x14ac:dyDescent="0.3">
      <c r="B44" t="s">
        <v>1367</v>
      </c>
      <c r="C44" s="52">
        <f>SUMIF(BTS_매출관리!C:C,B44,BTS_매출관리!I:I)</f>
        <v>0</v>
      </c>
      <c r="D44">
        <f t="shared" si="0"/>
        <v>45</v>
      </c>
    </row>
    <row r="45" spans="2:4" x14ac:dyDescent="0.3">
      <c r="B45" t="s">
        <v>1356</v>
      </c>
      <c r="C45" s="52">
        <f>SUMIF(BTS_매출관리!C:C,B45,BTS_매출관리!I:I)</f>
        <v>0</v>
      </c>
      <c r="D45">
        <f t="shared" si="0"/>
        <v>45</v>
      </c>
    </row>
    <row r="46" spans="2:4" x14ac:dyDescent="0.3">
      <c r="B46" t="s">
        <v>1337</v>
      </c>
      <c r="C46" s="52">
        <f>SUMIF(BTS_매출관리!C:C,B46,BTS_매출관리!I:I)</f>
        <v>300000</v>
      </c>
      <c r="D46">
        <f t="shared" si="0"/>
        <v>40</v>
      </c>
    </row>
    <row r="47" spans="2:4" x14ac:dyDescent="0.3">
      <c r="B47" t="s">
        <v>1323</v>
      </c>
      <c r="C47" s="52">
        <f>SUMIF(BTS_매출관리!C:C,B47,BTS_매출관리!I:I)</f>
        <v>0</v>
      </c>
      <c r="D47">
        <f t="shared" si="0"/>
        <v>45</v>
      </c>
    </row>
    <row r="48" spans="2:4" x14ac:dyDescent="0.3">
      <c r="B48" t="s">
        <v>1285</v>
      </c>
      <c r="C48" s="52">
        <f>SUMIF(BTS_매출관리!C:C,B48,BTS_매출관리!I:I)</f>
        <v>0</v>
      </c>
      <c r="D48">
        <f t="shared" si="0"/>
        <v>45</v>
      </c>
    </row>
    <row r="49" spans="2:4" x14ac:dyDescent="0.3">
      <c r="B49" t="s">
        <v>1290</v>
      </c>
      <c r="C49" s="52">
        <f>SUMIF(BTS_매출관리!C:C,B49,BTS_매출관리!I:I)</f>
        <v>0</v>
      </c>
      <c r="D49">
        <f t="shared" si="0"/>
        <v>45</v>
      </c>
    </row>
    <row r="50" spans="2:4" x14ac:dyDescent="0.3">
      <c r="B50" t="s">
        <v>1303</v>
      </c>
      <c r="C50" s="52">
        <f>SUMIF(BTS_매출관리!C:C,B50,BTS_매출관리!I:I)</f>
        <v>0</v>
      </c>
      <c r="D50">
        <f t="shared" si="0"/>
        <v>45</v>
      </c>
    </row>
    <row r="51" spans="2:4" x14ac:dyDescent="0.3">
      <c r="B51" t="s">
        <v>2775</v>
      </c>
      <c r="C51" s="52">
        <f>SUMIF(BTS_매출관리!C:C,B51,BTS_매출관리!I:I)</f>
        <v>0</v>
      </c>
      <c r="D51">
        <f t="shared" si="0"/>
        <v>45</v>
      </c>
    </row>
    <row r="52" spans="2:4" x14ac:dyDescent="0.3">
      <c r="B52" t="s">
        <v>1235</v>
      </c>
      <c r="C52" s="52">
        <f>SUMIF(BTS_매출관리!C:C,B52,BTS_매출관리!I:I)</f>
        <v>0</v>
      </c>
      <c r="D52">
        <f t="shared" si="0"/>
        <v>45</v>
      </c>
    </row>
    <row r="53" spans="2:4" x14ac:dyDescent="0.3">
      <c r="B53" t="s">
        <v>1625</v>
      </c>
      <c r="C53" s="52">
        <f>SUMIF(BTS_매출관리!C:C,B53,BTS_매출관리!I:I)</f>
        <v>1550000</v>
      </c>
      <c r="D53">
        <f t="shared" si="0"/>
        <v>21</v>
      </c>
    </row>
    <row r="54" spans="2:4" x14ac:dyDescent="0.3">
      <c r="B54" t="s">
        <v>1328</v>
      </c>
      <c r="C54" s="52">
        <f>SUMIF(BTS_매출관리!C:C,B54,BTS_매출관리!I:I)</f>
        <v>0</v>
      </c>
      <c r="D54">
        <f t="shared" si="0"/>
        <v>45</v>
      </c>
    </row>
    <row r="55" spans="2:4" x14ac:dyDescent="0.3">
      <c r="B55" t="s">
        <v>1364</v>
      </c>
      <c r="C55" s="52">
        <f>SUMIF(BTS_매출관리!C:C,B55,BTS_매출관리!I:I)</f>
        <v>0</v>
      </c>
      <c r="D55">
        <f t="shared" si="0"/>
        <v>45</v>
      </c>
    </row>
    <row r="56" spans="2:4" x14ac:dyDescent="0.3">
      <c r="B56" t="s">
        <v>2319</v>
      </c>
      <c r="C56" s="52">
        <f>SUMIF(BTS_매출관리!C:C,B56,BTS_매출관리!I:I)</f>
        <v>0</v>
      </c>
      <c r="D56">
        <f t="shared" si="0"/>
        <v>45</v>
      </c>
    </row>
    <row r="57" spans="2:4" x14ac:dyDescent="0.3">
      <c r="B57" t="s">
        <v>1241</v>
      </c>
      <c r="C57" s="52">
        <f>SUMIF(BTS_매출관리!C:C,B57,BTS_매출관리!I:I)</f>
        <v>0</v>
      </c>
      <c r="D57">
        <f t="shared" si="0"/>
        <v>45</v>
      </c>
    </row>
    <row r="58" spans="2:4" x14ac:dyDescent="0.3">
      <c r="B58" t="s">
        <v>1326</v>
      </c>
      <c r="C58" s="52">
        <f>SUMIF(BTS_매출관리!C:C,B58,BTS_매출관리!I:I)</f>
        <v>0</v>
      </c>
      <c r="D58">
        <f t="shared" si="0"/>
        <v>45</v>
      </c>
    </row>
    <row r="59" spans="2:4" x14ac:dyDescent="0.3">
      <c r="B59" t="s">
        <v>1291</v>
      </c>
      <c r="C59" s="52">
        <f>SUMIF(BTS_매출관리!C:C,B59,BTS_매출관리!I:I)</f>
        <v>0</v>
      </c>
      <c r="D59">
        <f t="shared" si="0"/>
        <v>45</v>
      </c>
    </row>
    <row r="60" spans="2:4" x14ac:dyDescent="0.3">
      <c r="B60" t="s">
        <v>1305</v>
      </c>
      <c r="C60" s="52">
        <f>SUMIF(BTS_매출관리!C:C,B60,BTS_매출관리!I:I)</f>
        <v>0</v>
      </c>
      <c r="D60">
        <f t="shared" si="0"/>
        <v>45</v>
      </c>
    </row>
    <row r="61" spans="2:4" x14ac:dyDescent="0.3">
      <c r="B61" t="s">
        <v>2480</v>
      </c>
      <c r="C61" s="52">
        <f>SUMIF(BTS_매출관리!C:C,B61,BTS_매출관리!I:I)</f>
        <v>220000</v>
      </c>
      <c r="D61">
        <f t="shared" si="0"/>
        <v>41</v>
      </c>
    </row>
    <row r="62" spans="2:4" x14ac:dyDescent="0.3">
      <c r="B62" t="s">
        <v>2160</v>
      </c>
      <c r="C62" s="52">
        <f>SUMIF(BTS_매출관리!C:C,B62,BTS_매출관리!I:I)</f>
        <v>0</v>
      </c>
      <c r="D62">
        <f t="shared" si="0"/>
        <v>45</v>
      </c>
    </row>
    <row r="63" spans="2:4" x14ac:dyDescent="0.3">
      <c r="B63" t="s">
        <v>1679</v>
      </c>
      <c r="C63" s="52">
        <f>SUMIF(BTS_매출관리!C:C,B63,BTS_매출관리!I:I)</f>
        <v>8470000</v>
      </c>
      <c r="D63">
        <f t="shared" si="0"/>
        <v>1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24</v>
      </c>
    </row>
    <row r="65" spans="2:4" x14ac:dyDescent="0.3">
      <c r="B65" t="s">
        <v>1164</v>
      </c>
      <c r="C65" s="52">
        <f>SUMIF(BTS_매출관리!C:C,B65,BTS_매출관리!I:I)</f>
        <v>900000</v>
      </c>
      <c r="D65">
        <f t="shared" si="0"/>
        <v>32</v>
      </c>
    </row>
    <row r="66" spans="2:4" x14ac:dyDescent="0.3">
      <c r="B66" t="s">
        <v>1793</v>
      </c>
      <c r="C66" s="52">
        <f>SUMIF(BTS_매출관리!C:C,B66,BTS_매출관리!I:I)</f>
        <v>3200000</v>
      </c>
      <c r="D66">
        <f t="shared" ref="D66:D129" si="1">RANK(C66,C:C,0)</f>
        <v>9</v>
      </c>
    </row>
    <row r="67" spans="2:4" x14ac:dyDescent="0.3">
      <c r="B67" t="s">
        <v>1299</v>
      </c>
      <c r="C67" s="52">
        <f>SUMIF(BTS_매출관리!C:C,B67,BTS_매출관리!I:I)</f>
        <v>0</v>
      </c>
      <c r="D67">
        <f t="shared" si="1"/>
        <v>45</v>
      </c>
    </row>
    <row r="68" spans="2:4" x14ac:dyDescent="0.3">
      <c r="B68" t="s">
        <v>2807</v>
      </c>
      <c r="C68" s="52">
        <f>SUMIF(BTS_매출관리!C:C,B68,BTS_매출관리!I:I)</f>
        <v>0</v>
      </c>
      <c r="D68">
        <f t="shared" si="1"/>
        <v>45</v>
      </c>
    </row>
    <row r="69" spans="2:4" x14ac:dyDescent="0.3">
      <c r="B69" t="s">
        <v>2387</v>
      </c>
      <c r="C69" s="52">
        <f>SUMIF(BTS_매출관리!C:C,B69,BTS_매출관리!I:I)</f>
        <v>0</v>
      </c>
      <c r="D69">
        <f t="shared" si="1"/>
        <v>45</v>
      </c>
    </row>
    <row r="70" spans="2:4" x14ac:dyDescent="0.3">
      <c r="B70" t="s">
        <v>1352</v>
      </c>
      <c r="C70" s="52">
        <f>SUMIF(BTS_매출관리!C:C,B70,BTS_매출관리!I:I)</f>
        <v>0</v>
      </c>
      <c r="D70">
        <f t="shared" si="1"/>
        <v>45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27</v>
      </c>
    </row>
    <row r="72" spans="2:4" x14ac:dyDescent="0.3">
      <c r="B72" t="s">
        <v>2787</v>
      </c>
      <c r="C72" s="52">
        <f>SUMIF(BTS_매출관리!C:C,B72,BTS_매출관리!I:I)</f>
        <v>0</v>
      </c>
      <c r="D72">
        <f t="shared" si="1"/>
        <v>45</v>
      </c>
    </row>
    <row r="73" spans="2:4" x14ac:dyDescent="0.3">
      <c r="B73" t="s">
        <v>1363</v>
      </c>
      <c r="C73" s="52">
        <f>SUMIF(BTS_매출관리!C:C,B73,BTS_매출관리!I:I)</f>
        <v>0</v>
      </c>
      <c r="D73">
        <f t="shared" si="1"/>
        <v>45</v>
      </c>
    </row>
    <row r="74" spans="2:4" x14ac:dyDescent="0.3">
      <c r="B74" t="s">
        <v>1278</v>
      </c>
      <c r="C74" s="52">
        <f>SUMIF(BTS_매출관리!C:C,B74,BTS_매출관리!I:I)</f>
        <v>1000000</v>
      </c>
      <c r="D74">
        <f t="shared" si="1"/>
        <v>31</v>
      </c>
    </row>
    <row r="75" spans="2:4" x14ac:dyDescent="0.3">
      <c r="B75" t="s">
        <v>1353</v>
      </c>
      <c r="C75" s="52">
        <f>SUMIF(BTS_매출관리!C:C,B75,BTS_매출관리!I:I)</f>
        <v>1330000</v>
      </c>
      <c r="D75">
        <f t="shared" si="1"/>
        <v>23</v>
      </c>
    </row>
    <row r="76" spans="2:4" x14ac:dyDescent="0.3">
      <c r="B76" t="s">
        <v>2295</v>
      </c>
      <c r="C76" s="52">
        <f>SUMIF(BTS_매출관리!C:C,B76,BTS_매출관리!I:I)</f>
        <v>0</v>
      </c>
      <c r="D76">
        <f t="shared" si="1"/>
        <v>45</v>
      </c>
    </row>
    <row r="77" spans="2:4" x14ac:dyDescent="0.3">
      <c r="B77" t="s">
        <v>1619</v>
      </c>
      <c r="C77" s="52">
        <f>SUMIF(BTS_매출관리!C:C,B77,BTS_매출관리!I:I)</f>
        <v>0</v>
      </c>
      <c r="D77">
        <f t="shared" si="1"/>
        <v>45</v>
      </c>
    </row>
    <row r="78" spans="2:4" x14ac:dyDescent="0.3">
      <c r="B78" t="s">
        <v>1335</v>
      </c>
      <c r="C78" s="52">
        <f>SUMIF(BTS_매출관리!C:C,B78,BTS_매출관리!I:I)</f>
        <v>0</v>
      </c>
      <c r="D78">
        <f t="shared" si="1"/>
        <v>45</v>
      </c>
    </row>
    <row r="79" spans="2:4" x14ac:dyDescent="0.3">
      <c r="B79" t="s">
        <v>2760</v>
      </c>
      <c r="C79" s="52">
        <f>SUMIF(BTS_매출관리!C:C,B79,BTS_매출관리!I:I)</f>
        <v>0</v>
      </c>
      <c r="D79">
        <f t="shared" si="1"/>
        <v>45</v>
      </c>
    </row>
    <row r="80" spans="2:4" x14ac:dyDescent="0.3">
      <c r="B80" t="s">
        <v>1308</v>
      </c>
      <c r="C80" s="52">
        <f>SUMIF(BTS_매출관리!C:C,B80,BTS_매출관리!I:I)</f>
        <v>0</v>
      </c>
      <c r="D80">
        <f t="shared" si="1"/>
        <v>45</v>
      </c>
    </row>
    <row r="81" spans="2:4" x14ac:dyDescent="0.3">
      <c r="B81" t="s">
        <v>2270</v>
      </c>
      <c r="C81" s="52">
        <f>SUMIF(BTS_매출관리!C:C,B81,BTS_매출관리!I:I)</f>
        <v>0</v>
      </c>
      <c r="D81">
        <f t="shared" si="1"/>
        <v>45</v>
      </c>
    </row>
    <row r="82" spans="2:4" x14ac:dyDescent="0.3">
      <c r="B82" t="s">
        <v>2827</v>
      </c>
      <c r="C82" s="52">
        <f>SUMIF(BTS_매출관리!C:C,B82,BTS_매출관리!I:I)</f>
        <v>0</v>
      </c>
      <c r="D82">
        <f t="shared" si="1"/>
        <v>45</v>
      </c>
    </row>
    <row r="83" spans="2:4" x14ac:dyDescent="0.3">
      <c r="B83" t="s">
        <v>1355</v>
      </c>
      <c r="C83" s="52">
        <f>SUMIF(BTS_매출관리!C:C,B83,BTS_매출관리!I:I)</f>
        <v>0</v>
      </c>
      <c r="D83">
        <f t="shared" si="1"/>
        <v>45</v>
      </c>
    </row>
    <row r="84" spans="2:4" x14ac:dyDescent="0.3">
      <c r="B84" t="s">
        <v>2750</v>
      </c>
      <c r="C84" s="52">
        <f>SUMIF(BTS_매출관리!C:C,B84,BTS_매출관리!I:I)</f>
        <v>0</v>
      </c>
      <c r="D84">
        <f t="shared" si="1"/>
        <v>45</v>
      </c>
    </row>
    <row r="85" spans="2:4" x14ac:dyDescent="0.3">
      <c r="B85" t="s">
        <v>1295</v>
      </c>
      <c r="C85" s="52">
        <f>SUMIF(BTS_매출관리!C:C,B85,BTS_매출관리!I:I)</f>
        <v>0</v>
      </c>
      <c r="D85">
        <f t="shared" si="1"/>
        <v>45</v>
      </c>
    </row>
    <row r="86" spans="2:4" x14ac:dyDescent="0.3">
      <c r="B86" t="s">
        <v>1310</v>
      </c>
      <c r="C86" s="52">
        <f>SUMIF(BTS_매출관리!C:C,B86,BTS_매출관리!I:I)</f>
        <v>0</v>
      </c>
      <c r="D86">
        <f t="shared" si="1"/>
        <v>45</v>
      </c>
    </row>
    <row r="87" spans="2:4" x14ac:dyDescent="0.3">
      <c r="B87" t="s">
        <v>1915</v>
      </c>
      <c r="C87" s="52">
        <f>SUMIF(BTS_매출관리!C:C,B87,BTS_매출관리!I:I)</f>
        <v>0</v>
      </c>
      <c r="D87">
        <f t="shared" si="1"/>
        <v>45</v>
      </c>
    </row>
    <row r="88" spans="2:4" x14ac:dyDescent="0.3">
      <c r="B88" t="s">
        <v>2377</v>
      </c>
      <c r="C88" s="52">
        <f>SUMIF(BTS_매출관리!C:C,B88,BTS_매출관리!I:I)</f>
        <v>0</v>
      </c>
      <c r="D88">
        <f t="shared" si="1"/>
        <v>45</v>
      </c>
    </row>
    <row r="89" spans="2:4" x14ac:dyDescent="0.3">
      <c r="B89" t="s">
        <v>1312</v>
      </c>
      <c r="C89" s="52">
        <f>SUMIF(BTS_매출관리!C:C,B89,BTS_매출관리!I:I)</f>
        <v>0</v>
      </c>
      <c r="D89">
        <f t="shared" si="1"/>
        <v>45</v>
      </c>
    </row>
    <row r="90" spans="2:4" x14ac:dyDescent="0.3">
      <c r="B90" t="s">
        <v>1381</v>
      </c>
      <c r="C90" s="52">
        <f>SUMIF(BTS_매출관리!C:C,B90,BTS_매출관리!I:I)</f>
        <v>0</v>
      </c>
      <c r="D90">
        <f t="shared" si="1"/>
        <v>45</v>
      </c>
    </row>
    <row r="91" spans="2:4" x14ac:dyDescent="0.3">
      <c r="B91" t="s">
        <v>2029</v>
      </c>
      <c r="C91" s="52">
        <f>SUMIF(BTS_매출관리!C:C,B91,BTS_매출관리!I:I)</f>
        <v>0</v>
      </c>
      <c r="D91">
        <f t="shared" si="1"/>
        <v>45</v>
      </c>
    </row>
    <row r="92" spans="2:4" x14ac:dyDescent="0.3">
      <c r="B92" t="s">
        <v>1275</v>
      </c>
      <c r="C92" s="52">
        <f>SUMIF(BTS_매출관리!C:C,B92,BTS_매출관리!I:I)</f>
        <v>0</v>
      </c>
      <c r="D92">
        <f t="shared" si="1"/>
        <v>45</v>
      </c>
    </row>
    <row r="93" spans="2:4" x14ac:dyDescent="0.3">
      <c r="B93" t="s">
        <v>1282</v>
      </c>
      <c r="C93" s="52">
        <f>SUMIF(BTS_매출관리!C:C,B93,BTS_매출관리!I:I)</f>
        <v>0</v>
      </c>
      <c r="D93">
        <f t="shared" si="1"/>
        <v>45</v>
      </c>
    </row>
    <row r="94" spans="2:4" x14ac:dyDescent="0.3">
      <c r="B94" t="s">
        <v>2107</v>
      </c>
      <c r="C94" s="52">
        <f>SUMIF(BTS_매출관리!C:C,B94,BTS_매출관리!I:I)</f>
        <v>0</v>
      </c>
      <c r="D94">
        <f t="shared" si="1"/>
        <v>45</v>
      </c>
    </row>
    <row r="95" spans="2:4" x14ac:dyDescent="0.3">
      <c r="B95" t="s">
        <v>1292</v>
      </c>
      <c r="C95" s="52">
        <f>SUMIF(BTS_매출관리!C:C,B95,BTS_매출관리!I:I)</f>
        <v>0</v>
      </c>
      <c r="D95">
        <f t="shared" si="1"/>
        <v>45</v>
      </c>
    </row>
    <row r="96" spans="2:4" x14ac:dyDescent="0.3">
      <c r="B96" t="s">
        <v>2145</v>
      </c>
      <c r="C96" s="52">
        <f>SUMIF(BTS_매출관리!C:C,B96,BTS_매출관리!I:I)</f>
        <v>0</v>
      </c>
      <c r="D96">
        <f t="shared" si="1"/>
        <v>45</v>
      </c>
    </row>
    <row r="97" spans="2:4" x14ac:dyDescent="0.3">
      <c r="B97" t="s">
        <v>2051</v>
      </c>
      <c r="C97" s="52">
        <f>SUMIF(BTS_매출관리!C:C,B97,BTS_매출관리!I:I)</f>
        <v>0</v>
      </c>
      <c r="D97">
        <f t="shared" si="1"/>
        <v>45</v>
      </c>
    </row>
    <row r="98" spans="2:4" x14ac:dyDescent="0.3">
      <c r="B98" t="s">
        <v>1245</v>
      </c>
      <c r="C98" s="52">
        <f>SUMIF(BTS_매출관리!C:C,B98,BTS_매출관리!I:I)</f>
        <v>0</v>
      </c>
      <c r="D98">
        <f t="shared" si="1"/>
        <v>45</v>
      </c>
    </row>
    <row r="99" spans="2:4" x14ac:dyDescent="0.3">
      <c r="B99" t="s">
        <v>1197</v>
      </c>
      <c r="C99" s="52">
        <f>SUMIF(BTS_매출관리!C:C,B99,BTS_매출관리!I:I)</f>
        <v>0</v>
      </c>
      <c r="D99">
        <f t="shared" si="1"/>
        <v>45</v>
      </c>
    </row>
    <row r="100" spans="2:4" x14ac:dyDescent="0.3">
      <c r="B100" t="s">
        <v>1336</v>
      </c>
      <c r="C100" s="52">
        <f>SUMIF(BTS_매출관리!C:C,B100,BTS_매출관리!I:I)</f>
        <v>0</v>
      </c>
      <c r="D100">
        <f t="shared" si="1"/>
        <v>45</v>
      </c>
    </row>
    <row r="101" spans="2:4" x14ac:dyDescent="0.3">
      <c r="B101" t="s">
        <v>1322</v>
      </c>
      <c r="C101" s="52">
        <f>SUMIF(BTS_매출관리!C:C,B101,BTS_매출관리!I:I)</f>
        <v>1100000</v>
      </c>
      <c r="D101">
        <f t="shared" si="1"/>
        <v>30</v>
      </c>
    </row>
    <row r="102" spans="2:4" x14ac:dyDescent="0.3">
      <c r="B102" t="s">
        <v>2608</v>
      </c>
      <c r="C102" s="52">
        <f>SUMIF(BTS_매출관리!C:C,B102,BTS_매출관리!I:I)</f>
        <v>0</v>
      </c>
      <c r="D102">
        <f t="shared" si="1"/>
        <v>45</v>
      </c>
    </row>
    <row r="103" spans="2:4" x14ac:dyDescent="0.3">
      <c r="B103" t="s">
        <v>1315</v>
      </c>
      <c r="C103" s="52">
        <f>SUMIF(BTS_매출관리!C:C,B103,BTS_매출관리!I:I)</f>
        <v>0</v>
      </c>
      <c r="D103">
        <f t="shared" si="1"/>
        <v>45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45</v>
      </c>
    </row>
    <row r="105" spans="2:4" x14ac:dyDescent="0.3">
      <c r="B105" t="s">
        <v>1359</v>
      </c>
      <c r="C105" s="52">
        <f>SUMIF(BTS_매출관리!C:C,B105,BTS_매출관리!I:I)</f>
        <v>0</v>
      </c>
      <c r="D105">
        <f t="shared" si="1"/>
        <v>45</v>
      </c>
    </row>
    <row r="106" spans="2:4" x14ac:dyDescent="0.3">
      <c r="B106" t="s">
        <v>1161</v>
      </c>
      <c r="C106" s="52">
        <f>SUMIF(BTS_매출관리!C:C,B106,BTS_매출관리!I:I)</f>
        <v>0</v>
      </c>
      <c r="D106">
        <f t="shared" si="1"/>
        <v>45</v>
      </c>
    </row>
    <row r="107" spans="2:4" x14ac:dyDescent="0.3">
      <c r="B107" t="s">
        <v>2046</v>
      </c>
      <c r="C107" s="52">
        <f>SUMIF(BTS_매출관리!C:C,B107,BTS_매출관리!I:I)</f>
        <v>0</v>
      </c>
      <c r="D107">
        <f t="shared" si="1"/>
        <v>45</v>
      </c>
    </row>
    <row r="108" spans="2:4" x14ac:dyDescent="0.3">
      <c r="B108" t="s">
        <v>1194</v>
      </c>
      <c r="C108" s="52">
        <f>SUMIF(BTS_매출관리!C:C,B108,BTS_매출관리!I:I)</f>
        <v>0</v>
      </c>
      <c r="D108">
        <f t="shared" si="1"/>
        <v>45</v>
      </c>
    </row>
    <row r="109" spans="2:4" x14ac:dyDescent="0.3">
      <c r="B109" t="s">
        <v>2393</v>
      </c>
      <c r="C109" s="52">
        <f>SUMIF(BTS_매출관리!C:C,B109,BTS_매출관리!I:I)</f>
        <v>0</v>
      </c>
      <c r="D109">
        <f t="shared" si="1"/>
        <v>45</v>
      </c>
    </row>
    <row r="110" spans="2:4" x14ac:dyDescent="0.3">
      <c r="B110" t="s">
        <v>2503</v>
      </c>
      <c r="C110" s="52">
        <f>SUMIF(BTS_매출관리!C:C,B110,BTS_매출관리!I:I)</f>
        <v>0</v>
      </c>
      <c r="D110">
        <f t="shared" si="1"/>
        <v>45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45</v>
      </c>
    </row>
    <row r="112" spans="2:4" x14ac:dyDescent="0.3">
      <c r="B112" t="s">
        <v>1325</v>
      </c>
      <c r="C112" s="52">
        <f>SUMIF(BTS_매출관리!C:C,B112,BTS_매출관리!I:I)</f>
        <v>0</v>
      </c>
      <c r="D112">
        <f t="shared" si="1"/>
        <v>45</v>
      </c>
    </row>
    <row r="113" spans="2:4" x14ac:dyDescent="0.3">
      <c r="B113" t="s">
        <v>1351</v>
      </c>
      <c r="C113" s="52">
        <f>SUMIF(BTS_매출관리!C:C,B113,BTS_매출관리!I:I)</f>
        <v>0</v>
      </c>
      <c r="D113">
        <f t="shared" si="1"/>
        <v>45</v>
      </c>
    </row>
    <row r="114" spans="2:4" x14ac:dyDescent="0.3">
      <c r="B114" t="s">
        <v>1361</v>
      </c>
      <c r="C114" s="52">
        <f>SUMIF(BTS_매출관리!C:C,B114,BTS_매출관리!I:I)</f>
        <v>0</v>
      </c>
      <c r="D114">
        <f t="shared" si="1"/>
        <v>45</v>
      </c>
    </row>
    <row r="115" spans="2:4" x14ac:dyDescent="0.3">
      <c r="B115" t="s">
        <v>1331</v>
      </c>
      <c r="C115" s="52">
        <f>SUMIF(BTS_매출관리!C:C,B115,BTS_매출관리!I:I)</f>
        <v>0</v>
      </c>
      <c r="D115">
        <f t="shared" si="1"/>
        <v>45</v>
      </c>
    </row>
    <row r="116" spans="2:4" x14ac:dyDescent="0.3">
      <c r="B116" t="s">
        <v>1288</v>
      </c>
      <c r="C116" s="52">
        <f>SUMIF(BTS_매출관리!C:C,B116,BTS_매출관리!I:I)</f>
        <v>0</v>
      </c>
      <c r="D116">
        <f t="shared" si="1"/>
        <v>45</v>
      </c>
    </row>
    <row r="117" spans="2:4" x14ac:dyDescent="0.3">
      <c r="B117" t="s">
        <v>2065</v>
      </c>
      <c r="C117" s="52">
        <f>SUMIF(BTS_매출관리!C:C,B117,BTS_매출관리!I:I)</f>
        <v>0</v>
      </c>
      <c r="D117">
        <f t="shared" si="1"/>
        <v>45</v>
      </c>
    </row>
    <row r="118" spans="2:4" x14ac:dyDescent="0.3">
      <c r="B118" t="s">
        <v>2651</v>
      </c>
      <c r="C118" s="52">
        <f>SUMIF(BTS_매출관리!C:C,B118,BTS_매출관리!I:I)</f>
        <v>0</v>
      </c>
      <c r="D118">
        <f t="shared" si="1"/>
        <v>45</v>
      </c>
    </row>
    <row r="119" spans="2:4" x14ac:dyDescent="0.3">
      <c r="B119" t="s">
        <v>2722</v>
      </c>
      <c r="C119" s="52">
        <f>SUMIF(BTS_매출관리!C:C,B119,BTS_매출관리!I:I)</f>
        <v>0</v>
      </c>
      <c r="D119">
        <f t="shared" si="1"/>
        <v>45</v>
      </c>
    </row>
    <row r="120" spans="2:4" x14ac:dyDescent="0.3">
      <c r="B120" t="s">
        <v>2289</v>
      </c>
      <c r="C120" s="52">
        <f>SUMIF(BTS_매출관리!C:C,B120,BTS_매출관리!I:I)</f>
        <v>0</v>
      </c>
      <c r="D120">
        <f t="shared" si="1"/>
        <v>45</v>
      </c>
    </row>
    <row r="121" spans="2:4" x14ac:dyDescent="0.3">
      <c r="B121" t="s">
        <v>1666</v>
      </c>
      <c r="C121" s="52">
        <f>SUMIF(BTS_매출관리!C:C,B121,BTS_매출관리!I:I)</f>
        <v>0</v>
      </c>
      <c r="D121">
        <f t="shared" si="1"/>
        <v>45</v>
      </c>
    </row>
    <row r="122" spans="2:4" x14ac:dyDescent="0.3">
      <c r="B122" t="s">
        <v>1901</v>
      </c>
      <c r="C122" s="52">
        <f>SUMIF(BTS_매출관리!C:C,B122,BTS_매출관리!I:I)</f>
        <v>0</v>
      </c>
      <c r="D122">
        <f t="shared" si="1"/>
        <v>45</v>
      </c>
    </row>
    <row r="123" spans="2:4" x14ac:dyDescent="0.3">
      <c r="B123" t="s">
        <v>1317</v>
      </c>
      <c r="C123" s="52">
        <f>SUMIF(BTS_매출관리!C:C,B123,BTS_매출관리!I:I)</f>
        <v>0</v>
      </c>
      <c r="D123">
        <f t="shared" si="1"/>
        <v>45</v>
      </c>
    </row>
    <row r="124" spans="2:4" x14ac:dyDescent="0.3">
      <c r="B124" t="s">
        <v>1284</v>
      </c>
      <c r="C124" s="52">
        <f>SUMIF(BTS_매출관리!C:C,B124,BTS_매출관리!I:I)</f>
        <v>0</v>
      </c>
      <c r="D124">
        <f t="shared" si="1"/>
        <v>45</v>
      </c>
    </row>
    <row r="125" spans="2:4" x14ac:dyDescent="0.3">
      <c r="B125" t="s">
        <v>2499</v>
      </c>
      <c r="C125" s="52">
        <f>SUMIF(BTS_매출관리!C:C,B125,BTS_매출관리!I:I)</f>
        <v>0</v>
      </c>
      <c r="D125">
        <f t="shared" si="1"/>
        <v>45</v>
      </c>
    </row>
    <row r="126" spans="2:4" x14ac:dyDescent="0.3">
      <c r="B126" t="s">
        <v>1849</v>
      </c>
      <c r="C126" s="52">
        <f>SUMIF(BTS_매출관리!C:C,B126,BTS_매출관리!I:I)</f>
        <v>0</v>
      </c>
      <c r="D126">
        <f t="shared" si="1"/>
        <v>45</v>
      </c>
    </row>
    <row r="127" spans="2:4" x14ac:dyDescent="0.3">
      <c r="B127" t="s">
        <v>1298</v>
      </c>
      <c r="C127" s="52">
        <f>SUMIF(BTS_매출관리!C:C,B127,BTS_매출관리!I:I)</f>
        <v>0</v>
      </c>
      <c r="D127">
        <f t="shared" si="1"/>
        <v>45</v>
      </c>
    </row>
    <row r="128" spans="2:4" x14ac:dyDescent="0.3">
      <c r="B128" t="s">
        <v>1289</v>
      </c>
      <c r="C128" s="52">
        <f>SUMIF(BTS_매출관리!C:C,B128,BTS_매출관리!I:I)</f>
        <v>0</v>
      </c>
      <c r="D128">
        <f t="shared" si="1"/>
        <v>45</v>
      </c>
    </row>
    <row r="129" spans="2:4" x14ac:dyDescent="0.3">
      <c r="B129" t="s">
        <v>1293</v>
      </c>
      <c r="C129" s="52">
        <f>SUMIF(BTS_매출관리!C:C,B129,BTS_매출관리!I:I)</f>
        <v>0</v>
      </c>
      <c r="D129">
        <f t="shared" si="1"/>
        <v>45</v>
      </c>
    </row>
    <row r="130" spans="2:4" x14ac:dyDescent="0.3">
      <c r="B130" t="s">
        <v>1300</v>
      </c>
      <c r="C130" s="52">
        <f>SUMIF(BTS_매출관리!C:C,B130,BTS_매출관리!I:I)</f>
        <v>0</v>
      </c>
      <c r="D130">
        <f t="shared" ref="D130:D193" si="2">RANK(C130,C:C,0)</f>
        <v>45</v>
      </c>
    </row>
    <row r="131" spans="2:4" x14ac:dyDescent="0.3">
      <c r="B131" t="s">
        <v>1082</v>
      </c>
      <c r="C131" s="52">
        <f>SUMIF(BTS_매출관리!C:C,B131,BTS_매출관리!I:I)</f>
        <v>0</v>
      </c>
      <c r="D131">
        <f t="shared" si="2"/>
        <v>45</v>
      </c>
    </row>
    <row r="132" spans="2:4" x14ac:dyDescent="0.3">
      <c r="B132" t="s">
        <v>1307</v>
      </c>
      <c r="C132" s="52">
        <f>SUMIF(BTS_매출관리!C:C,B132,BTS_매출관리!I:I)</f>
        <v>0</v>
      </c>
      <c r="D132">
        <f t="shared" si="2"/>
        <v>45</v>
      </c>
    </row>
    <row r="133" spans="2:4" x14ac:dyDescent="0.3">
      <c r="B133" t="s">
        <v>1311</v>
      </c>
      <c r="C133" s="52">
        <f>SUMIF(BTS_매출관리!C:C,B133,BTS_매출관리!I:I)</f>
        <v>0</v>
      </c>
      <c r="D133">
        <f t="shared" si="2"/>
        <v>45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45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45</v>
      </c>
    </row>
    <row r="136" spans="2:4" x14ac:dyDescent="0.3">
      <c r="B136" t="s">
        <v>1319</v>
      </c>
      <c r="C136" s="52">
        <f>SUMIF(BTS_매출관리!C:C,B136,BTS_매출관리!I:I)</f>
        <v>0</v>
      </c>
      <c r="D136">
        <f t="shared" si="2"/>
        <v>45</v>
      </c>
    </row>
    <row r="137" spans="2:4" x14ac:dyDescent="0.3">
      <c r="B137" t="s">
        <v>1094</v>
      </c>
      <c r="C137" s="52">
        <f>SUMIF(BTS_매출관리!C:C,B137,BTS_매출관리!I:I)</f>
        <v>0</v>
      </c>
      <c r="D137">
        <f t="shared" si="2"/>
        <v>45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45</v>
      </c>
    </row>
    <row r="139" spans="2:4" x14ac:dyDescent="0.3">
      <c r="B139" t="s">
        <v>1327</v>
      </c>
      <c r="C139" s="52">
        <f>SUMIF(BTS_매출관리!C:C,B139,BTS_매출관리!I:I)</f>
        <v>0</v>
      </c>
      <c r="D139">
        <f t="shared" si="2"/>
        <v>45</v>
      </c>
    </row>
    <row r="140" spans="2:4" x14ac:dyDescent="0.3">
      <c r="B140" t="s">
        <v>1330</v>
      </c>
      <c r="C140" s="52">
        <f>SUMIF(BTS_매출관리!C:C,B140,BTS_매출관리!I:I)</f>
        <v>0</v>
      </c>
      <c r="D140">
        <f t="shared" si="2"/>
        <v>45</v>
      </c>
    </row>
    <row r="141" spans="2:4" x14ac:dyDescent="0.3">
      <c r="B141" t="s">
        <v>1332</v>
      </c>
      <c r="C141" s="52">
        <f>SUMIF(BTS_매출관리!C:C,B141,BTS_매출관리!I:I)</f>
        <v>0</v>
      </c>
      <c r="D141">
        <f t="shared" si="2"/>
        <v>45</v>
      </c>
    </row>
    <row r="142" spans="2:4" x14ac:dyDescent="0.3">
      <c r="B142" t="s">
        <v>1334</v>
      </c>
      <c r="C142" s="52">
        <f>SUMIF(BTS_매출관리!C:C,B142,BTS_매출관리!I:I)</f>
        <v>0</v>
      </c>
      <c r="D142">
        <f t="shared" si="2"/>
        <v>45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45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45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45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45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45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45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45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45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45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45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45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45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45</v>
      </c>
    </row>
    <row r="156" spans="2:4" x14ac:dyDescent="0.3">
      <c r="B156" t="s">
        <v>2695</v>
      </c>
      <c r="C156" s="52">
        <f>SUMIF(BTS_매출관리!C:C,B156,BTS_매출관리!I:I)</f>
        <v>0</v>
      </c>
      <c r="D156">
        <f t="shared" si="2"/>
        <v>45</v>
      </c>
    </row>
    <row r="157" spans="2:4" x14ac:dyDescent="0.3">
      <c r="C157" s="52">
        <f>SUMIF(BTS_매출관리!C:C,B157,BTS_매출관리!I:I)</f>
        <v>0</v>
      </c>
      <c r="D157">
        <f t="shared" si="2"/>
        <v>45</v>
      </c>
    </row>
    <row r="158" spans="2:4" x14ac:dyDescent="0.3">
      <c r="C158" s="52">
        <f>SUMIF(BTS_매출관리!C:C,B158,BTS_매출관리!I:I)</f>
        <v>0</v>
      </c>
      <c r="D158">
        <f t="shared" si="2"/>
        <v>45</v>
      </c>
    </row>
    <row r="159" spans="2:4" x14ac:dyDescent="0.3">
      <c r="C159" s="52">
        <f>SUMIF(BTS_매출관리!C:C,B159,BTS_매출관리!I:I)</f>
        <v>0</v>
      </c>
      <c r="D159">
        <f t="shared" si="2"/>
        <v>45</v>
      </c>
    </row>
    <row r="160" spans="2:4" x14ac:dyDescent="0.3">
      <c r="C160" s="52">
        <f>SUMIF(BTS_매출관리!C:C,B160,BTS_매출관리!I:I)</f>
        <v>0</v>
      </c>
      <c r="D160">
        <f t="shared" si="2"/>
        <v>45</v>
      </c>
    </row>
    <row r="161" spans="3:4" x14ac:dyDescent="0.3">
      <c r="C161" s="52">
        <f>SUMIF(BTS_매출관리!C:C,B161,BTS_매출관리!I:I)</f>
        <v>0</v>
      </c>
      <c r="D161">
        <f t="shared" si="2"/>
        <v>45</v>
      </c>
    </row>
    <row r="162" spans="3:4" x14ac:dyDescent="0.3">
      <c r="C162" s="52">
        <f>SUMIF(BTS_매출관리!C:C,B162,BTS_매출관리!I:I)</f>
        <v>0</v>
      </c>
      <c r="D162">
        <f t="shared" si="2"/>
        <v>45</v>
      </c>
    </row>
    <row r="163" spans="3:4" x14ac:dyDescent="0.3">
      <c r="C163" s="52">
        <f>SUMIF(BTS_매출관리!C:C,B163,BTS_매출관리!I:I)</f>
        <v>0</v>
      </c>
      <c r="D163">
        <f t="shared" si="2"/>
        <v>45</v>
      </c>
    </row>
    <row r="164" spans="3:4" x14ac:dyDescent="0.3">
      <c r="C164" s="52">
        <f>SUMIF(BTS_매출관리!C:C,B164,BTS_매출관리!I:I)</f>
        <v>0</v>
      </c>
      <c r="D164">
        <f t="shared" si="2"/>
        <v>45</v>
      </c>
    </row>
    <row r="165" spans="3:4" x14ac:dyDescent="0.3">
      <c r="C165" s="52">
        <f>SUMIF(BTS_매출관리!C:C,B165,BTS_매출관리!I:I)</f>
        <v>0</v>
      </c>
      <c r="D165">
        <f t="shared" si="2"/>
        <v>45</v>
      </c>
    </row>
    <row r="166" spans="3:4" x14ac:dyDescent="0.3">
      <c r="C166" s="52">
        <f>SUMIF(BTS_매출관리!C:C,B166,BTS_매출관리!I:I)</f>
        <v>0</v>
      </c>
      <c r="D166">
        <f t="shared" si="2"/>
        <v>45</v>
      </c>
    </row>
    <row r="167" spans="3:4" x14ac:dyDescent="0.3">
      <c r="C167" s="52">
        <f>SUMIF(BTS_매출관리!C:C,B167,BTS_매출관리!I:I)</f>
        <v>0</v>
      </c>
      <c r="D167">
        <f t="shared" si="2"/>
        <v>45</v>
      </c>
    </row>
    <row r="168" spans="3:4" x14ac:dyDescent="0.3">
      <c r="C168" s="52">
        <f>SUMIF(BTS_매출관리!C:C,B168,BTS_매출관리!I:I)</f>
        <v>0</v>
      </c>
      <c r="D168">
        <f t="shared" si="2"/>
        <v>45</v>
      </c>
    </row>
    <row r="169" spans="3:4" x14ac:dyDescent="0.3">
      <c r="C169" s="52">
        <f>SUMIF(BTS_매출관리!C:C,B169,BTS_매출관리!I:I)</f>
        <v>0</v>
      </c>
      <c r="D169">
        <f t="shared" si="2"/>
        <v>45</v>
      </c>
    </row>
    <row r="170" spans="3:4" x14ac:dyDescent="0.3">
      <c r="C170" s="52">
        <f>SUMIF(BTS_매출관리!C:C,B170,BTS_매출관리!I:I)</f>
        <v>0</v>
      </c>
      <c r="D170">
        <f t="shared" si="2"/>
        <v>45</v>
      </c>
    </row>
    <row r="171" spans="3:4" x14ac:dyDescent="0.3">
      <c r="C171" s="52">
        <f>SUMIF(BTS_매출관리!C:C,B171,BTS_매출관리!I:I)</f>
        <v>0</v>
      </c>
      <c r="D171">
        <f t="shared" si="2"/>
        <v>45</v>
      </c>
    </row>
    <row r="172" spans="3:4" x14ac:dyDescent="0.3">
      <c r="C172" s="52">
        <f>SUMIF(BTS_매출관리!C:C,B172,BTS_매출관리!I:I)</f>
        <v>0</v>
      </c>
      <c r="D172">
        <f t="shared" si="2"/>
        <v>45</v>
      </c>
    </row>
    <row r="173" spans="3:4" x14ac:dyDescent="0.3">
      <c r="C173" s="52">
        <f>SUMIF(BTS_매출관리!C:C,B173,BTS_매출관리!I:I)</f>
        <v>0</v>
      </c>
      <c r="D173">
        <f t="shared" si="2"/>
        <v>45</v>
      </c>
    </row>
    <row r="174" spans="3:4" x14ac:dyDescent="0.3">
      <c r="C174" s="52">
        <f>SUMIF(BTS_매출관리!C:C,B174,BTS_매출관리!I:I)</f>
        <v>0</v>
      </c>
      <c r="D174">
        <f t="shared" si="2"/>
        <v>45</v>
      </c>
    </row>
    <row r="175" spans="3:4" x14ac:dyDescent="0.3">
      <c r="C175" s="52">
        <f>SUMIF(BTS_매출관리!C:C,B175,BTS_매출관리!I:I)</f>
        <v>0</v>
      </c>
      <c r="D175">
        <f t="shared" si="2"/>
        <v>45</v>
      </c>
    </row>
    <row r="176" spans="3:4" x14ac:dyDescent="0.3">
      <c r="C176" s="52">
        <f>SUMIF(BTS_매출관리!C:C,B176,BTS_매출관리!I:I)</f>
        <v>0</v>
      </c>
      <c r="D176">
        <f t="shared" si="2"/>
        <v>45</v>
      </c>
    </row>
    <row r="177" spans="3:4" x14ac:dyDescent="0.3">
      <c r="C177" s="52">
        <f>SUMIF(BTS_매출관리!C:C,B177,BTS_매출관리!I:I)</f>
        <v>0</v>
      </c>
      <c r="D177">
        <f t="shared" si="2"/>
        <v>45</v>
      </c>
    </row>
    <row r="178" spans="3:4" x14ac:dyDescent="0.3">
      <c r="C178" s="52">
        <f>SUMIF(BTS_매출관리!C:C,B178,BTS_매출관리!I:I)</f>
        <v>0</v>
      </c>
      <c r="D178">
        <f t="shared" si="2"/>
        <v>45</v>
      </c>
    </row>
    <row r="179" spans="3:4" x14ac:dyDescent="0.3">
      <c r="C179" s="52">
        <f>SUMIF(BTS_매출관리!C:C,B179,BTS_매출관리!I:I)</f>
        <v>0</v>
      </c>
      <c r="D179">
        <f t="shared" si="2"/>
        <v>45</v>
      </c>
    </row>
    <row r="180" spans="3:4" x14ac:dyDescent="0.3">
      <c r="C180" s="52">
        <f>SUMIF(BTS_매출관리!C:C,B180,BTS_매출관리!I:I)</f>
        <v>0</v>
      </c>
      <c r="D180">
        <f t="shared" si="2"/>
        <v>45</v>
      </c>
    </row>
    <row r="181" spans="3:4" x14ac:dyDescent="0.3">
      <c r="C181" s="52">
        <f>SUMIF(BTS_매출관리!C:C,B181,BTS_매출관리!I:I)</f>
        <v>0</v>
      </c>
      <c r="D181">
        <f t="shared" si="2"/>
        <v>45</v>
      </c>
    </row>
    <row r="182" spans="3:4" x14ac:dyDescent="0.3">
      <c r="C182" s="52">
        <f>SUMIF(BTS_매출관리!C:C,B182,BTS_매출관리!I:I)</f>
        <v>0</v>
      </c>
      <c r="D182">
        <f t="shared" si="2"/>
        <v>45</v>
      </c>
    </row>
    <row r="183" spans="3:4" x14ac:dyDescent="0.3">
      <c r="C183" s="52">
        <f>SUMIF(BTS_매출관리!C:C,B183,BTS_매출관리!I:I)</f>
        <v>0</v>
      </c>
      <c r="D183">
        <f t="shared" si="2"/>
        <v>45</v>
      </c>
    </row>
    <row r="184" spans="3:4" x14ac:dyDescent="0.3">
      <c r="C184" s="52">
        <f>SUMIF(BTS_매출관리!C:C,B184,BTS_매출관리!I:I)</f>
        <v>0</v>
      </c>
      <c r="D184">
        <f t="shared" si="2"/>
        <v>45</v>
      </c>
    </row>
    <row r="185" spans="3:4" x14ac:dyDescent="0.3">
      <c r="C185" s="52">
        <f>SUMIF(BTS_매출관리!C:C,B185,BTS_매출관리!I:I)</f>
        <v>0</v>
      </c>
      <c r="D185">
        <f t="shared" si="2"/>
        <v>45</v>
      </c>
    </row>
    <row r="186" spans="3:4" x14ac:dyDescent="0.3">
      <c r="C186" s="52">
        <f>SUMIF(BTS_매출관리!C:C,B186,BTS_매출관리!I:I)</f>
        <v>0</v>
      </c>
      <c r="D186">
        <f t="shared" si="2"/>
        <v>45</v>
      </c>
    </row>
    <row r="187" spans="3:4" x14ac:dyDescent="0.3">
      <c r="C187" s="52">
        <f>SUMIF(BTS_매출관리!C:C,B187,BTS_매출관리!I:I)</f>
        <v>0</v>
      </c>
      <c r="D187">
        <f t="shared" si="2"/>
        <v>45</v>
      </c>
    </row>
    <row r="188" spans="3:4" x14ac:dyDescent="0.3">
      <c r="C188" s="52">
        <f>SUMIF(BTS_매출관리!C:C,B188,BTS_매출관리!I:I)</f>
        <v>0</v>
      </c>
      <c r="D188">
        <f t="shared" si="2"/>
        <v>45</v>
      </c>
    </row>
    <row r="189" spans="3:4" x14ac:dyDescent="0.3">
      <c r="C189" s="52">
        <f>SUMIF(BTS_매출관리!C:C,B189,BTS_매출관리!I:I)</f>
        <v>0</v>
      </c>
      <c r="D189">
        <f t="shared" si="2"/>
        <v>45</v>
      </c>
    </row>
    <row r="190" spans="3:4" x14ac:dyDescent="0.3">
      <c r="C190" s="52">
        <f>SUMIF(BTS_매출관리!C:C,B190,BTS_매출관리!I:I)</f>
        <v>0</v>
      </c>
      <c r="D190">
        <f t="shared" si="2"/>
        <v>45</v>
      </c>
    </row>
    <row r="191" spans="3:4" x14ac:dyDescent="0.3">
      <c r="C191" s="52">
        <f>SUMIF(BTS_매출관리!C:C,B191,BTS_매출관리!I:I)</f>
        <v>0</v>
      </c>
      <c r="D191">
        <f t="shared" si="2"/>
        <v>45</v>
      </c>
    </row>
    <row r="192" spans="3:4" x14ac:dyDescent="0.3">
      <c r="C192" s="52">
        <f>SUMIF(BTS_매출관리!C:C,B192,BTS_매출관리!I:I)</f>
        <v>0</v>
      </c>
      <c r="D192">
        <f t="shared" si="2"/>
        <v>45</v>
      </c>
    </row>
    <row r="193" spans="3:4" x14ac:dyDescent="0.3">
      <c r="C193" s="52">
        <f>SUMIF(BTS_매출관리!C:C,B193,BTS_매출관리!I:I)</f>
        <v>0</v>
      </c>
      <c r="D193">
        <f t="shared" si="2"/>
        <v>45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45</v>
      </c>
    </row>
    <row r="195" spans="3:4" x14ac:dyDescent="0.3">
      <c r="C195" s="52">
        <f>SUMIF(BTS_매출관리!C:C,B195,BTS_매출관리!I:I)</f>
        <v>0</v>
      </c>
      <c r="D195">
        <f t="shared" si="3"/>
        <v>45</v>
      </c>
    </row>
    <row r="196" spans="3:4" x14ac:dyDescent="0.3">
      <c r="C196" s="52">
        <f>SUMIF(BTS_매출관리!C:C,B196,BTS_매출관리!I:I)</f>
        <v>0</v>
      </c>
      <c r="D196">
        <f t="shared" si="3"/>
        <v>45</v>
      </c>
    </row>
    <row r="197" spans="3:4" x14ac:dyDescent="0.3">
      <c r="C197" s="52">
        <f>SUMIF(BTS_매출관리!C:C,B197,BTS_매출관리!I:I)</f>
        <v>0</v>
      </c>
      <c r="D197">
        <f t="shared" si="3"/>
        <v>45</v>
      </c>
    </row>
    <row r="198" spans="3:4" x14ac:dyDescent="0.3">
      <c r="C198" s="52">
        <f>SUMIF(BTS_매출관리!C:C,B198,BTS_매출관리!I:I)</f>
        <v>0</v>
      </c>
      <c r="D198">
        <f t="shared" si="3"/>
        <v>45</v>
      </c>
    </row>
    <row r="199" spans="3:4" x14ac:dyDescent="0.3">
      <c r="C199" s="52">
        <f>SUMIF(BTS_매출관리!C:C,B199,BTS_매출관리!I:I)</f>
        <v>0</v>
      </c>
      <c r="D199">
        <f t="shared" si="3"/>
        <v>45</v>
      </c>
    </row>
    <row r="200" spans="3:4" x14ac:dyDescent="0.3">
      <c r="C200" s="52">
        <f>SUMIF(BTS_매출관리!C:C,B200,BTS_매출관리!I:I)</f>
        <v>0</v>
      </c>
      <c r="D200">
        <f t="shared" si="3"/>
        <v>45</v>
      </c>
    </row>
    <row r="201" spans="3:4" x14ac:dyDescent="0.3">
      <c r="C201" s="52">
        <f>SUMIF(BTS_매출관리!C:C,B201,BTS_매출관리!I:I)</f>
        <v>0</v>
      </c>
      <c r="D201">
        <f t="shared" si="3"/>
        <v>45</v>
      </c>
    </row>
    <row r="202" spans="3:4" x14ac:dyDescent="0.3">
      <c r="C202" s="52">
        <f>SUMIF(BTS_매출관리!C:C,B202,BTS_매출관리!I:I)</f>
        <v>0</v>
      </c>
      <c r="D202">
        <f t="shared" si="3"/>
        <v>45</v>
      </c>
    </row>
    <row r="203" spans="3:4" x14ac:dyDescent="0.3">
      <c r="C203" s="52">
        <f>SUMIF(BTS_매출관리!C:C,B203,BTS_매출관리!I:I)</f>
        <v>0</v>
      </c>
      <c r="D203">
        <f t="shared" si="3"/>
        <v>45</v>
      </c>
    </row>
    <row r="204" spans="3:4" x14ac:dyDescent="0.3">
      <c r="C204" s="52">
        <f>SUMIF(BTS_매출관리!C:C,B204,BTS_매출관리!I:I)</f>
        <v>0</v>
      </c>
      <c r="D204">
        <f t="shared" si="3"/>
        <v>45</v>
      </c>
    </row>
    <row r="205" spans="3:4" x14ac:dyDescent="0.3">
      <c r="C205" s="52">
        <f>SUMIF(BTS_매출관리!C:C,B205,BTS_매출관리!I:I)</f>
        <v>0</v>
      </c>
      <c r="D205">
        <f t="shared" si="3"/>
        <v>45</v>
      </c>
    </row>
    <row r="206" spans="3:4" x14ac:dyDescent="0.3">
      <c r="C206" s="52">
        <f>SUMIF(BTS_매출관리!C:C,B206,BTS_매출관리!I:I)</f>
        <v>0</v>
      </c>
      <c r="D206">
        <f t="shared" si="3"/>
        <v>45</v>
      </c>
    </row>
    <row r="207" spans="3:4" x14ac:dyDescent="0.3">
      <c r="C207" s="52">
        <f>SUMIF(BTS_매출관리!C:C,B207,BTS_매출관리!I:I)</f>
        <v>0</v>
      </c>
      <c r="D207">
        <f t="shared" si="3"/>
        <v>45</v>
      </c>
    </row>
    <row r="208" spans="3:4" x14ac:dyDescent="0.3">
      <c r="C208" s="52">
        <f>SUMIF(BTS_매출관리!C:C,B208,BTS_매출관리!I:I)</f>
        <v>0</v>
      </c>
      <c r="D208">
        <f t="shared" si="3"/>
        <v>45</v>
      </c>
    </row>
    <row r="209" spans="3:4" x14ac:dyDescent="0.3">
      <c r="C209" s="52">
        <f>SUMIF(BTS_매출관리!C:C,B209,BTS_매출관리!I:I)</f>
        <v>0</v>
      </c>
      <c r="D209">
        <f t="shared" si="3"/>
        <v>45</v>
      </c>
    </row>
    <row r="210" spans="3:4" x14ac:dyDescent="0.3">
      <c r="C210" s="52">
        <f>SUMIF(BTS_매출관리!C:C,B210,BTS_매출관리!I:I)</f>
        <v>0</v>
      </c>
      <c r="D210">
        <f t="shared" si="3"/>
        <v>45</v>
      </c>
    </row>
    <row r="211" spans="3:4" x14ac:dyDescent="0.3">
      <c r="C211" s="52">
        <f>SUMIF(BTS_매출관리!C:C,B211,BTS_매출관리!I:I)</f>
        <v>0</v>
      </c>
      <c r="D211">
        <f t="shared" si="3"/>
        <v>45</v>
      </c>
    </row>
    <row r="212" spans="3:4" x14ac:dyDescent="0.3">
      <c r="C212" s="52">
        <f>SUMIF(BTS_매출관리!C:C,B212,BTS_매출관리!I:I)</f>
        <v>0</v>
      </c>
      <c r="D212">
        <f t="shared" si="3"/>
        <v>45</v>
      </c>
    </row>
    <row r="213" spans="3:4" x14ac:dyDescent="0.3">
      <c r="C213" s="52">
        <f>SUMIF(BTS_매출관리!C:C,B213,BTS_매출관리!I:I)</f>
        <v>0</v>
      </c>
      <c r="D213">
        <f t="shared" si="3"/>
        <v>45</v>
      </c>
    </row>
    <row r="214" spans="3:4" x14ac:dyDescent="0.3">
      <c r="C214" s="52">
        <f>SUMIF(BTS_매출관리!C:C,B214,BTS_매출관리!I:I)</f>
        <v>0</v>
      </c>
      <c r="D214">
        <f t="shared" si="3"/>
        <v>45</v>
      </c>
    </row>
    <row r="215" spans="3:4" x14ac:dyDescent="0.3">
      <c r="C215" s="52">
        <f>SUMIF(BTS_매출관리!C:C,B215,BTS_매출관리!I:I)</f>
        <v>0</v>
      </c>
      <c r="D215">
        <f t="shared" si="3"/>
        <v>45</v>
      </c>
    </row>
    <row r="216" spans="3:4" x14ac:dyDescent="0.3">
      <c r="C216" s="52">
        <f>SUMIF(BTS_매출관리!C:C,B216,BTS_매출관리!I:I)</f>
        <v>0</v>
      </c>
      <c r="D216">
        <f t="shared" si="3"/>
        <v>45</v>
      </c>
    </row>
    <row r="217" spans="3:4" x14ac:dyDescent="0.3">
      <c r="C217" s="52">
        <f>SUMIF(BTS_매출관리!C:C,B217,BTS_매출관리!I:I)</f>
        <v>0</v>
      </c>
      <c r="D217">
        <f t="shared" si="3"/>
        <v>45</v>
      </c>
    </row>
    <row r="218" spans="3:4" x14ac:dyDescent="0.3">
      <c r="C218" s="52">
        <f>SUMIF(BTS_매출관리!C:C,B218,BTS_매출관리!I:I)</f>
        <v>0</v>
      </c>
      <c r="D218">
        <f t="shared" si="3"/>
        <v>45</v>
      </c>
    </row>
    <row r="219" spans="3:4" x14ac:dyDescent="0.3">
      <c r="C219" s="52">
        <f>SUMIF(BTS_매출관리!C:C,B219,BTS_매출관리!I:I)</f>
        <v>0</v>
      </c>
      <c r="D219">
        <f t="shared" si="3"/>
        <v>45</v>
      </c>
    </row>
    <row r="220" spans="3:4" x14ac:dyDescent="0.3">
      <c r="C220" s="52">
        <f>SUMIF(BTS_매출관리!C:C,B220,BTS_매출관리!I:I)</f>
        <v>0</v>
      </c>
      <c r="D220">
        <f t="shared" si="3"/>
        <v>45</v>
      </c>
    </row>
    <row r="221" spans="3:4" x14ac:dyDescent="0.3">
      <c r="C221" s="52">
        <f>SUMIF(BTS_매출관리!C:C,B221,BTS_매출관리!I:I)</f>
        <v>0</v>
      </c>
      <c r="D221">
        <f t="shared" si="3"/>
        <v>45</v>
      </c>
    </row>
    <row r="222" spans="3:4" x14ac:dyDescent="0.3">
      <c r="C222" s="52">
        <f>SUMIF(BTS_매출관리!C:C,B222,BTS_매출관리!I:I)</f>
        <v>0</v>
      </c>
      <c r="D222">
        <f t="shared" si="3"/>
        <v>45</v>
      </c>
    </row>
    <row r="223" spans="3:4" x14ac:dyDescent="0.3">
      <c r="C223" s="52">
        <f>SUMIF(BTS_매출관리!C:C,B223,BTS_매출관리!I:I)</f>
        <v>0</v>
      </c>
      <c r="D223">
        <f t="shared" si="3"/>
        <v>45</v>
      </c>
    </row>
    <row r="224" spans="3:4" x14ac:dyDescent="0.3">
      <c r="C224" s="52">
        <f>SUMIF(BTS_매출관리!C:C,B224,BTS_매출관리!I:I)</f>
        <v>0</v>
      </c>
      <c r="D224">
        <f t="shared" si="3"/>
        <v>45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2334</v>
      </c>
      <c r="C1" s="445" t="s">
        <v>2538</v>
      </c>
      <c r="D1" s="442" t="s">
        <v>2567</v>
      </c>
      <c r="E1" s="442" t="s">
        <v>36</v>
      </c>
      <c r="F1" s="442" t="s">
        <v>2726</v>
      </c>
      <c r="G1" s="442"/>
      <c r="H1" s="442" t="s">
        <v>2727</v>
      </c>
      <c r="I1" s="442"/>
      <c r="J1" s="442" t="s">
        <v>2728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2539</v>
      </c>
      <c r="G2" s="281" t="s">
        <v>2540</v>
      </c>
      <c r="H2" s="281" t="s">
        <v>2541</v>
      </c>
      <c r="I2" s="281" t="s">
        <v>2542</v>
      </c>
      <c r="J2" s="281" t="s">
        <v>2541</v>
      </c>
      <c r="K2" s="281" t="s">
        <v>2542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2543</v>
      </c>
      <c r="D3" s="277" t="s">
        <v>2544</v>
      </c>
      <c r="E3" s="277" t="s">
        <v>2545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2546</v>
      </c>
      <c r="D4" s="252" t="s">
        <v>2547</v>
      </c>
      <c r="E4" s="252" t="s">
        <v>2545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2543</v>
      </c>
      <c r="D5" s="252" t="s">
        <v>2544</v>
      </c>
      <c r="E5" s="252" t="s">
        <v>2545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2543</v>
      </c>
      <c r="D6" s="252" t="s">
        <v>2544</v>
      </c>
      <c r="E6" s="252" t="s">
        <v>2545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2543</v>
      </c>
      <c r="D7" s="252" t="s">
        <v>2544</v>
      </c>
      <c r="E7" s="252" t="s">
        <v>2548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2549</v>
      </c>
      <c r="D8" s="252" t="s">
        <v>2550</v>
      </c>
      <c r="E8" s="252" t="s">
        <v>2545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2551</v>
      </c>
      <c r="D9" s="252" t="s">
        <v>2552</v>
      </c>
      <c r="E9" s="252" t="s">
        <v>2545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2553</v>
      </c>
      <c r="D10" s="252" t="s">
        <v>2544</v>
      </c>
      <c r="E10" s="252" t="s">
        <v>2548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2554</v>
      </c>
      <c r="D11" s="252" t="s">
        <v>2544</v>
      </c>
      <c r="E11" s="252" t="s">
        <v>2548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2543</v>
      </c>
      <c r="D12" s="252" t="s">
        <v>2544</v>
      </c>
      <c r="E12" s="252" t="s">
        <v>2545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2543</v>
      </c>
      <c r="D13" s="252" t="s">
        <v>2544</v>
      </c>
      <c r="E13" s="252" t="s">
        <v>2545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2546</v>
      </c>
      <c r="D14" s="252" t="s">
        <v>2547</v>
      </c>
      <c r="E14" s="252" t="s">
        <v>2548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2543</v>
      </c>
      <c r="D15" s="252" t="s">
        <v>2544</v>
      </c>
      <c r="E15" s="252" t="s">
        <v>2548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2555</v>
      </c>
      <c r="D16" s="252" t="s">
        <v>2556</v>
      </c>
      <c r="E16" s="252" t="s">
        <v>2548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2543</v>
      </c>
      <c r="D17" s="252" t="s">
        <v>2544</v>
      </c>
      <c r="E17" s="252" t="s">
        <v>2548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2554</v>
      </c>
      <c r="D18" s="252" t="s">
        <v>2544</v>
      </c>
      <c r="E18" s="252" t="s">
        <v>2545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2557</v>
      </c>
      <c r="D19" s="252" t="s">
        <v>2558</v>
      </c>
      <c r="E19" s="252" t="s">
        <v>2548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2553</v>
      </c>
      <c r="D20" s="252" t="s">
        <v>2544</v>
      </c>
      <c r="E20" s="252" t="s">
        <v>2548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2559</v>
      </c>
      <c r="D21" s="252" t="s">
        <v>2556</v>
      </c>
      <c r="E21" s="252" t="s">
        <v>2548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2560</v>
      </c>
      <c r="D22" s="252" t="s">
        <v>2561</v>
      </c>
      <c r="E22" s="252" t="s">
        <v>2548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2562</v>
      </c>
      <c r="D23" s="252" t="s">
        <v>2563</v>
      </c>
      <c r="E23" s="252" t="s">
        <v>2548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2546</v>
      </c>
      <c r="D24" s="252" t="s">
        <v>2547</v>
      </c>
      <c r="E24" s="252" t="s">
        <v>2548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2543</v>
      </c>
      <c r="D25" s="252" t="s">
        <v>2544</v>
      </c>
      <c r="E25" s="252" t="s">
        <v>2548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2543</v>
      </c>
      <c r="D26" s="252" t="s">
        <v>2564</v>
      </c>
      <c r="E26" s="252" t="s">
        <v>2548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2565</v>
      </c>
      <c r="D27" s="252" t="s">
        <v>2544</v>
      </c>
      <c r="E27" s="252" t="s">
        <v>2548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2543</v>
      </c>
      <c r="D28" s="252" t="s">
        <v>2544</v>
      </c>
      <c r="E28" s="252" t="s">
        <v>2548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2543</v>
      </c>
      <c r="D29" s="252" t="s">
        <v>2544</v>
      </c>
      <c r="E29" s="252" t="s">
        <v>2548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2553</v>
      </c>
      <c r="D30" s="252" t="s">
        <v>2544</v>
      </c>
      <c r="E30" s="252" t="s">
        <v>2548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2557</v>
      </c>
      <c r="D31" s="252" t="s">
        <v>2558</v>
      </c>
      <c r="E31" s="252" t="s">
        <v>2548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2555</v>
      </c>
      <c r="D32" s="252" t="s">
        <v>2556</v>
      </c>
      <c r="E32" s="252" t="s">
        <v>2548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2554</v>
      </c>
      <c r="D33" s="252" t="s">
        <v>2544</v>
      </c>
      <c r="E33" s="252" t="s">
        <v>2548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2559</v>
      </c>
      <c r="D34" s="252" t="s">
        <v>2556</v>
      </c>
      <c r="E34" s="252" t="s">
        <v>2548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2546</v>
      </c>
      <c r="D35" s="252" t="s">
        <v>2547</v>
      </c>
      <c r="E35" s="252" t="s">
        <v>2548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2543</v>
      </c>
      <c r="D36" s="252" t="s">
        <v>2544</v>
      </c>
      <c r="E36" s="252" t="s">
        <v>2548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2546</v>
      </c>
      <c r="D37" s="252" t="s">
        <v>2547</v>
      </c>
      <c r="E37" s="252" t="s">
        <v>2548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2562</v>
      </c>
      <c r="D38" s="252" t="s">
        <v>2563</v>
      </c>
      <c r="E38" s="252" t="s">
        <v>2548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2543</v>
      </c>
      <c r="D39" s="252" t="s">
        <v>2544</v>
      </c>
      <c r="E39" s="252" t="s">
        <v>2548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2546</v>
      </c>
      <c r="D40" s="252" t="s">
        <v>2547</v>
      </c>
      <c r="E40" s="252" t="s">
        <v>2548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2560</v>
      </c>
      <c r="D41" s="252" t="s">
        <v>2561</v>
      </c>
      <c r="E41" s="252" t="s">
        <v>2548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2562</v>
      </c>
      <c r="D42" s="252" t="s">
        <v>2563</v>
      </c>
      <c r="E42" s="252" t="s">
        <v>2548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2543</v>
      </c>
      <c r="D43" s="252" t="s">
        <v>2544</v>
      </c>
      <c r="E43" s="252" t="s">
        <v>2548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2553</v>
      </c>
      <c r="D44" s="252" t="s">
        <v>2544</v>
      </c>
      <c r="E44" s="252" t="s">
        <v>2548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2559</v>
      </c>
      <c r="D45" s="252" t="s">
        <v>2556</v>
      </c>
      <c r="E45" s="252" t="s">
        <v>2548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2554</v>
      </c>
      <c r="D46" s="252" t="s">
        <v>2544</v>
      </c>
      <c r="E46" s="252" t="s">
        <v>2548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2555</v>
      </c>
      <c r="D47" s="252" t="s">
        <v>2556</v>
      </c>
      <c r="E47" s="252" t="s">
        <v>2548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2991</v>
      </c>
      <c r="D48" s="252" t="s">
        <v>2992</v>
      </c>
      <c r="E48" s="252" t="s">
        <v>2548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3071</v>
      </c>
      <c r="D49" s="252" t="s">
        <v>3072</v>
      </c>
      <c r="E49" s="252" t="s">
        <v>2548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2543</v>
      </c>
      <c r="D50" s="252" t="s">
        <v>2992</v>
      </c>
      <c r="E50" s="252" t="s">
        <v>2548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2562</v>
      </c>
      <c r="D51" s="252" t="s">
        <v>3075</v>
      </c>
      <c r="E51" s="252" t="s">
        <v>2548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3073</v>
      </c>
      <c r="D52" s="252" t="s">
        <v>3074</v>
      </c>
      <c r="E52" s="252" t="s">
        <v>2548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2562</v>
      </c>
      <c r="D53" s="252" t="s">
        <v>3075</v>
      </c>
      <c r="E53" s="252" t="s">
        <v>2548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3076</v>
      </c>
      <c r="D54" s="252" t="s">
        <v>3077</v>
      </c>
      <c r="E54" s="252" t="s">
        <v>2548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2553</v>
      </c>
      <c r="D55" s="252" t="s">
        <v>2544</v>
      </c>
      <c r="E55" s="252" t="s">
        <v>2548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2559</v>
      </c>
      <c r="D56" s="252" t="s">
        <v>2556</v>
      </c>
      <c r="E56" s="252" t="s">
        <v>2548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2555</v>
      </c>
      <c r="D57" s="252" t="s">
        <v>2556</v>
      </c>
      <c r="E57" s="252" t="s">
        <v>2548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2554</v>
      </c>
      <c r="D58" s="252" t="s">
        <v>2544</v>
      </c>
      <c r="E58" s="252" t="s">
        <v>2548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2549</v>
      </c>
      <c r="D59" s="252" t="s">
        <v>2550</v>
      </c>
      <c r="E59" s="252" t="s">
        <v>2548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2543</v>
      </c>
      <c r="D60" s="252" t="s">
        <v>2544</v>
      </c>
      <c r="E60" s="252" t="s">
        <v>2548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2548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2548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2548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2548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2548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2548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2548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2548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2548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2548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2548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2548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2548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2548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2548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2548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2548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2548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2548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2548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2548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2548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2548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2548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2548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2548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2548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2548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2545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2548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2548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2548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2548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2548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2548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2548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2548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2548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2548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2548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2548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2548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2548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2548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2548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2548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2548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2548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2548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2548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2548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2548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2548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2548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2548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2548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2548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2548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2548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2548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2548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2548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2548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2548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2548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2548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2548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2548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2548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2548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2548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2548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2548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2548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2566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2567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2568</v>
      </c>
      <c r="K8" s="77" t="s">
        <v>1633</v>
      </c>
      <c r="L8" s="77" t="s">
        <v>2568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1204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2235</v>
      </c>
      <c r="D2" s="307"/>
      <c r="E2" s="307"/>
      <c r="F2" s="307"/>
      <c r="G2" s="308"/>
      <c r="H2" s="306" t="s">
        <v>76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45804</v>
      </c>
      <c r="U2" s="312"/>
    </row>
    <row r="3" spans="1:21" ht="24" customHeight="1" x14ac:dyDescent="0.3">
      <c r="A3" s="322" t="s">
        <v>1172</v>
      </c>
      <c r="B3" s="37" t="s">
        <v>59</v>
      </c>
      <c r="C3" s="480" t="s">
        <v>1549</v>
      </c>
      <c r="D3" s="481"/>
      <c r="E3" s="481"/>
      <c r="F3" s="481"/>
      <c r="G3" s="481"/>
      <c r="H3" s="481"/>
      <c r="I3" s="481"/>
      <c r="J3" s="482"/>
      <c r="K3" s="328" t="s">
        <v>1173</v>
      </c>
      <c r="L3" s="37" t="s">
        <v>59</v>
      </c>
      <c r="M3" s="477" t="s">
        <v>964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483" t="s">
        <v>73</v>
      </c>
      <c r="U4" s="484"/>
    </row>
    <row r="5" spans="1:21" ht="15.75" customHeight="1" x14ac:dyDescent="0.3">
      <c r="A5" s="323"/>
      <c r="B5" s="38" t="s">
        <v>60</v>
      </c>
      <c r="C5" s="313" t="s">
        <v>1098</v>
      </c>
      <c r="D5" s="314"/>
      <c r="E5" s="314"/>
      <c r="F5" s="314"/>
      <c r="G5" s="314"/>
      <c r="H5" s="314"/>
      <c r="I5" s="314"/>
      <c r="J5" s="315"/>
      <c r="K5" s="329"/>
      <c r="L5" s="38" t="s">
        <v>60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 x14ac:dyDescent="0.3">
      <c r="A6" s="324"/>
      <c r="B6" s="38" t="s">
        <v>75</v>
      </c>
      <c r="C6" s="313" t="s">
        <v>1097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974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78</v>
      </c>
      <c r="G7" s="318"/>
      <c r="H7" s="318"/>
      <c r="I7" s="319"/>
      <c r="J7" s="320" t="s">
        <v>67</v>
      </c>
      <c r="K7" s="319"/>
      <c r="L7" s="320" t="s">
        <v>42</v>
      </c>
      <c r="M7" s="318"/>
      <c r="N7" s="318"/>
      <c r="O7" s="318"/>
      <c r="P7" s="319"/>
      <c r="Q7" s="320" t="s">
        <v>68</v>
      </c>
      <c r="R7" s="318"/>
      <c r="S7" s="319"/>
      <c r="T7" s="320" t="s">
        <v>69</v>
      </c>
      <c r="U7" s="321"/>
    </row>
    <row r="8" spans="1:21" ht="15" customHeight="1" x14ac:dyDescent="0.3">
      <c r="A8" s="485" t="s">
        <v>1136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 x14ac:dyDescent="0.3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 x14ac:dyDescent="0.3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 x14ac:dyDescent="0.3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 x14ac:dyDescent="0.3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 x14ac:dyDescent="0.3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 x14ac:dyDescent="0.3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 x14ac:dyDescent="0.3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 x14ac:dyDescent="0.3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 x14ac:dyDescent="0.3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 x14ac:dyDescent="0.3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 x14ac:dyDescent="0.3">
      <c r="A20" s="317" t="s">
        <v>80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959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 x14ac:dyDescent="0.35">
      <c r="A21" s="418" t="s">
        <v>90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5">
      <c r="A24" s="508" t="s">
        <v>71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77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45804</v>
      </c>
      <c r="U25" s="312"/>
    </row>
    <row r="26" spans="1:21" ht="27" customHeight="1" x14ac:dyDescent="0.3">
      <c r="A26" s="322" t="s">
        <v>1172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1173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23"/>
      <c r="B27" s="37" t="s">
        <v>61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61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62</v>
      </c>
      <c r="T27" s="483" t="str">
        <f>T4</f>
        <v>장효주</v>
      </c>
      <c r="U27" s="484"/>
    </row>
    <row r="28" spans="1:21" ht="15.75" customHeight="1" x14ac:dyDescent="0.3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 x14ac:dyDescent="0.3">
      <c r="A29" s="324"/>
      <c r="B29" s="38" t="s">
        <v>75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22</v>
      </c>
      <c r="T29" s="313"/>
      <c r="U29" s="316"/>
    </row>
    <row r="30" spans="1:21" ht="15.75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67</v>
      </c>
      <c r="K30" s="319"/>
      <c r="L30" s="320" t="s">
        <v>42</v>
      </c>
      <c r="M30" s="318"/>
      <c r="N30" s="318"/>
      <c r="O30" s="318"/>
      <c r="P30" s="319"/>
      <c r="Q30" s="320" t="s">
        <v>68</v>
      </c>
      <c r="R30" s="318"/>
      <c r="S30" s="319"/>
      <c r="T30" s="320" t="s">
        <v>69</v>
      </c>
      <c r="U30" s="321"/>
    </row>
    <row r="31" spans="1:21" ht="15" customHeight="1" x14ac:dyDescent="0.3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 x14ac:dyDescent="0.3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 x14ac:dyDescent="0.3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 x14ac:dyDescent="0.3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 x14ac:dyDescent="0.3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 x14ac:dyDescent="0.3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 x14ac:dyDescent="0.3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 x14ac:dyDescent="0.3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 x14ac:dyDescent="0.3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 x14ac:dyDescent="0.3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 x14ac:dyDescent="0.3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 x14ac:dyDescent="0.3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 x14ac:dyDescent="0.3">
      <c r="A43" s="317" t="s">
        <v>80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959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 x14ac:dyDescent="0.35">
      <c r="A44" s="418" t="s">
        <v>90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965</v>
      </c>
      <c r="K44" s="419"/>
      <c r="L44" s="388" t="str">
        <f>L21</f>
        <v>장효주</v>
      </c>
      <c r="M44" s="388"/>
      <c r="N44" s="388"/>
      <c r="O44" s="422" t="s">
        <v>64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77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902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2464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2465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2466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2468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2469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2471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2473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2474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2476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2487</v>
      </c>
    </row>
    <row r="374" spans="1:4" x14ac:dyDescent="0.3">
      <c r="A374">
        <v>398</v>
      </c>
      <c r="B374" s="13">
        <v>45819</v>
      </c>
      <c r="C374" t="s">
        <v>2488</v>
      </c>
      <c r="D374" t="s">
        <v>2489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2491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2492</v>
      </c>
    </row>
    <row r="377" spans="1:4" x14ac:dyDescent="0.3">
      <c r="A377">
        <v>401</v>
      </c>
      <c r="B377" s="13">
        <v>45819</v>
      </c>
      <c r="C377" t="s">
        <v>2479</v>
      </c>
      <c r="D377" t="s">
        <v>2493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2494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2495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2496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2497</v>
      </c>
    </row>
    <row r="382" spans="1:4" x14ac:dyDescent="0.3">
      <c r="A382">
        <v>406</v>
      </c>
      <c r="B382" s="13">
        <v>45821</v>
      </c>
      <c r="C382" t="s">
        <v>2498</v>
      </c>
      <c r="D382" t="s">
        <v>2504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2505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2506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2507</v>
      </c>
    </row>
    <row r="386" spans="1:4" x14ac:dyDescent="0.3">
      <c r="A386">
        <v>410</v>
      </c>
      <c r="B386" s="13">
        <v>45821</v>
      </c>
      <c r="C386" t="s">
        <v>2508</v>
      </c>
      <c r="D386" t="s">
        <v>2509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2513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2520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2521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2522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2523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2528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2529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2530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2570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2573</v>
      </c>
    </row>
    <row r="397" spans="1:4" x14ac:dyDescent="0.3">
      <c r="A397">
        <v>421</v>
      </c>
      <c r="B397" s="13">
        <v>45825</v>
      </c>
      <c r="C397" t="s">
        <v>2572</v>
      </c>
      <c r="D397" t="s">
        <v>2574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2580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2583</v>
      </c>
    </row>
    <row r="400" spans="1:4" x14ac:dyDescent="0.3">
      <c r="A400">
        <v>424</v>
      </c>
      <c r="B400" s="13">
        <v>45826</v>
      </c>
      <c r="C400" t="s">
        <v>2488</v>
      </c>
      <c r="D400" t="s">
        <v>2584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2585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2586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2587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2588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2590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2591</v>
      </c>
    </row>
    <row r="407" spans="1:4" x14ac:dyDescent="0.3">
      <c r="A407">
        <v>431</v>
      </c>
      <c r="B407" s="13">
        <v>45827</v>
      </c>
      <c r="C407" t="s">
        <v>2572</v>
      </c>
      <c r="D407" t="s">
        <v>2596</v>
      </c>
    </row>
    <row r="408" spans="1:4" x14ac:dyDescent="0.3">
      <c r="A408">
        <v>432</v>
      </c>
      <c r="B408" s="13">
        <v>45827</v>
      </c>
      <c r="C408" t="s">
        <v>1407</v>
      </c>
      <c r="D408" t="s">
        <v>2599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2600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2601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2602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2604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2606</v>
      </c>
    </row>
    <row r="414" spans="1:4" x14ac:dyDescent="0.3">
      <c r="A414">
        <v>438</v>
      </c>
      <c r="B414" s="13">
        <v>45828</v>
      </c>
      <c r="C414" t="s">
        <v>2613</v>
      </c>
      <c r="D414" t="s">
        <v>2614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2615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2616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2617</v>
      </c>
    </row>
    <row r="418" spans="1:4" x14ac:dyDescent="0.3">
      <c r="A418">
        <v>442</v>
      </c>
      <c r="B418" s="13">
        <v>45828</v>
      </c>
      <c r="C418" t="s">
        <v>2618</v>
      </c>
      <c r="D418" t="s">
        <v>2619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2620</v>
      </c>
    </row>
    <row r="420" spans="1:4" x14ac:dyDescent="0.3">
      <c r="A420">
        <v>444</v>
      </c>
      <c r="B420" s="13">
        <v>45828</v>
      </c>
      <c r="C420" t="s">
        <v>2626</v>
      </c>
      <c r="D420" t="s">
        <v>2627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2629</v>
      </c>
    </row>
    <row r="422" spans="1:4" x14ac:dyDescent="0.3">
      <c r="A422">
        <v>446</v>
      </c>
      <c r="B422" s="13">
        <v>45829</v>
      </c>
      <c r="C422" t="s">
        <v>2514</v>
      </c>
      <c r="D422" t="s">
        <v>2630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2633</v>
      </c>
    </row>
    <row r="424" spans="1:4" x14ac:dyDescent="0.3">
      <c r="A424">
        <v>448</v>
      </c>
      <c r="B424" s="13">
        <v>45831</v>
      </c>
      <c r="C424" t="s">
        <v>2634</v>
      </c>
      <c r="D424" t="s">
        <v>2635</v>
      </c>
    </row>
    <row r="425" spans="1:4" x14ac:dyDescent="0.3">
      <c r="A425">
        <v>449</v>
      </c>
      <c r="B425" s="13">
        <v>45831</v>
      </c>
      <c r="C425" t="s">
        <v>2641</v>
      </c>
      <c r="D425" t="s">
        <v>2642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2648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2649</v>
      </c>
    </row>
    <row r="428" spans="1:4" x14ac:dyDescent="0.3">
      <c r="A428">
        <v>452</v>
      </c>
      <c r="B428" s="13">
        <v>45832</v>
      </c>
      <c r="C428" t="s">
        <v>2488</v>
      </c>
      <c r="D428" t="s">
        <v>2656</v>
      </c>
    </row>
    <row r="429" spans="1:4" x14ac:dyDescent="0.3">
      <c r="A429">
        <v>453</v>
      </c>
      <c r="B429" s="13">
        <v>45832</v>
      </c>
      <c r="C429" t="s">
        <v>2650</v>
      </c>
      <c r="D429" t="s">
        <v>2657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2658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2659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2666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2667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2668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2670</v>
      </c>
    </row>
    <row r="436" spans="1:4" x14ac:dyDescent="0.3">
      <c r="A436">
        <v>460</v>
      </c>
      <c r="B436" s="13">
        <v>45833</v>
      </c>
      <c r="C436" t="s">
        <v>2661</v>
      </c>
      <c r="D436" t="s">
        <v>2671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2673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2674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2679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2680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2683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2684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2686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2696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2699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2710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2711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2713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2714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2716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2717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2721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2729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2732</v>
      </c>
    </row>
    <row r="455" spans="1:4" x14ac:dyDescent="0.3">
      <c r="A455">
        <v>479</v>
      </c>
      <c r="B455" s="13">
        <v>45838</v>
      </c>
      <c r="C455" t="s">
        <v>2722</v>
      </c>
      <c r="D455" t="s">
        <v>2733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2734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2735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2736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2739</v>
      </c>
    </row>
    <row r="460" spans="1:4" x14ac:dyDescent="0.3">
      <c r="A460">
        <v>484</v>
      </c>
      <c r="B460" s="13">
        <v>45839</v>
      </c>
      <c r="C460" t="s">
        <v>2743</v>
      </c>
      <c r="D460" t="s">
        <v>2744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2745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2747</v>
      </c>
    </row>
    <row r="463" spans="1:4" x14ac:dyDescent="0.3">
      <c r="A463">
        <v>487</v>
      </c>
      <c r="B463" s="13">
        <v>45839</v>
      </c>
      <c r="C463" t="s">
        <v>2750</v>
      </c>
      <c r="D463" t="s">
        <v>2753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2754</v>
      </c>
    </row>
    <row r="465" spans="1:4" x14ac:dyDescent="0.3">
      <c r="A465">
        <v>489</v>
      </c>
      <c r="B465" s="13">
        <v>45840</v>
      </c>
      <c r="C465" t="s">
        <v>2758</v>
      </c>
      <c r="D465" t="s">
        <v>2759</v>
      </c>
    </row>
    <row r="466" spans="1:4" x14ac:dyDescent="0.3">
      <c r="A466">
        <v>490</v>
      </c>
      <c r="B466" s="13">
        <v>45840</v>
      </c>
      <c r="C466" t="s">
        <v>2760</v>
      </c>
      <c r="D466" t="s">
        <v>2764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2771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2772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2773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2774</v>
      </c>
    </row>
    <row r="471" spans="1:4" x14ac:dyDescent="0.3">
      <c r="A471">
        <v>495</v>
      </c>
      <c r="B471" s="13">
        <v>45841</v>
      </c>
      <c r="C471" t="s">
        <v>2780</v>
      </c>
      <c r="D471" t="s">
        <v>2783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2784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2785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2786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2791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2792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2794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2795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2797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2798</v>
      </c>
    </row>
    <row r="481" spans="1:4" x14ac:dyDescent="0.3">
      <c r="A481">
        <v>505</v>
      </c>
      <c r="B481" s="13">
        <v>45845</v>
      </c>
      <c r="C481" t="s">
        <v>1452</v>
      </c>
      <c r="D481" t="s">
        <v>2799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2800</v>
      </c>
    </row>
    <row r="483" spans="1:4" x14ac:dyDescent="0.3">
      <c r="A483">
        <v>507</v>
      </c>
      <c r="B483" s="13">
        <v>45845</v>
      </c>
      <c r="C483" t="s">
        <v>2807</v>
      </c>
      <c r="D483" t="s">
        <v>2811</v>
      </c>
    </row>
    <row r="484" spans="1:4" x14ac:dyDescent="0.3">
      <c r="A484">
        <v>508</v>
      </c>
      <c r="B484" s="13">
        <v>45845</v>
      </c>
      <c r="C484" t="s">
        <v>2613</v>
      </c>
      <c r="D484" t="s">
        <v>2812</v>
      </c>
    </row>
    <row r="485" spans="1:4" x14ac:dyDescent="0.3">
      <c r="A485">
        <v>509</v>
      </c>
      <c r="B485" s="13">
        <v>45845</v>
      </c>
      <c r="C485" t="s">
        <v>2801</v>
      </c>
      <c r="D485" t="s">
        <v>2813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2814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2815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2816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2818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2821</v>
      </c>
    </row>
    <row r="491" spans="1:4" x14ac:dyDescent="0.3">
      <c r="A491">
        <v>515</v>
      </c>
      <c r="B491" s="13">
        <v>45846</v>
      </c>
      <c r="C491" t="s">
        <v>2807</v>
      </c>
      <c r="D491" t="s">
        <v>2824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2825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2826</v>
      </c>
    </row>
    <row r="494" spans="1:4" x14ac:dyDescent="0.3">
      <c r="A494">
        <v>518</v>
      </c>
      <c r="B494" s="13">
        <v>45846</v>
      </c>
      <c r="C494" t="s">
        <v>2827</v>
      </c>
      <c r="D494" t="s">
        <v>2831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2833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2834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2835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2836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2837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2839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2843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2844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2845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2846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2847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2848</v>
      </c>
    </row>
    <row r="507" spans="1:4" x14ac:dyDescent="0.3">
      <c r="A507">
        <v>531</v>
      </c>
      <c r="B507" s="13">
        <v>45848</v>
      </c>
      <c r="C507" t="s">
        <v>2743</v>
      </c>
      <c r="D507" t="s">
        <v>2853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2855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2856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2857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2859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2869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2870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2871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2872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2873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2874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2875</v>
      </c>
    </row>
    <row r="519" spans="1:4" x14ac:dyDescent="0.3">
      <c r="A519">
        <v>543</v>
      </c>
      <c r="B519" s="13">
        <v>45849</v>
      </c>
      <c r="C519" t="s">
        <v>2876</v>
      </c>
      <c r="D519" t="s">
        <v>2877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2880</v>
      </c>
    </row>
    <row r="521" spans="1:4" x14ac:dyDescent="0.3">
      <c r="A521">
        <v>545</v>
      </c>
      <c r="B521" s="13">
        <v>45850</v>
      </c>
      <c r="C521" t="s">
        <v>2743</v>
      </c>
      <c r="D521" t="s">
        <v>2882</v>
      </c>
    </row>
    <row r="522" spans="1:4" x14ac:dyDescent="0.3">
      <c r="A522">
        <v>546</v>
      </c>
      <c r="B522" s="13">
        <v>45852</v>
      </c>
      <c r="C522" t="s">
        <v>2887</v>
      </c>
      <c r="D522" t="s">
        <v>2890</v>
      </c>
    </row>
    <row r="523" spans="1:4" x14ac:dyDescent="0.3">
      <c r="A523">
        <v>547</v>
      </c>
      <c r="B523" s="13">
        <v>45852</v>
      </c>
      <c r="C523" t="s">
        <v>2891</v>
      </c>
      <c r="D523" t="s">
        <v>2895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2896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2897</v>
      </c>
    </row>
    <row r="526" spans="1:4" x14ac:dyDescent="0.3">
      <c r="A526">
        <v>550</v>
      </c>
      <c r="B526" s="13">
        <v>45852</v>
      </c>
      <c r="C526" t="s">
        <v>2331</v>
      </c>
      <c r="D526" t="s">
        <v>2899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2900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2901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2912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2913</v>
      </c>
    </row>
    <row r="531" spans="1:4" x14ac:dyDescent="0.3">
      <c r="A531">
        <v>555</v>
      </c>
      <c r="B531" s="13">
        <v>45853</v>
      </c>
      <c r="C531" t="s">
        <v>2914</v>
      </c>
      <c r="D531" t="s">
        <v>2917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2918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2919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2920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2921</v>
      </c>
    </row>
    <row r="536" spans="1:4" x14ac:dyDescent="0.3">
      <c r="A536">
        <v>560</v>
      </c>
      <c r="B536" s="13">
        <v>45853</v>
      </c>
      <c r="C536" t="s">
        <v>2908</v>
      </c>
      <c r="D536" t="s">
        <v>2923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2924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2930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2932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2933</v>
      </c>
    </row>
    <row r="541" spans="1:4" x14ac:dyDescent="0.3">
      <c r="A541">
        <v>565</v>
      </c>
      <c r="B541" s="13">
        <v>45854</v>
      </c>
      <c r="C541" t="s">
        <v>2934</v>
      </c>
      <c r="D541" t="s">
        <v>2936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2943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2945</v>
      </c>
    </row>
    <row r="544" spans="1:4" x14ac:dyDescent="0.3">
      <c r="A544">
        <v>568</v>
      </c>
      <c r="B544" s="13">
        <v>45855</v>
      </c>
      <c r="C544" t="s">
        <v>2641</v>
      </c>
      <c r="D544" t="s">
        <v>2946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2947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2952</v>
      </c>
    </row>
    <row r="547" spans="1:4" x14ac:dyDescent="0.3">
      <c r="A547">
        <v>571</v>
      </c>
      <c r="B547" s="13">
        <v>45856</v>
      </c>
      <c r="C547" t="s">
        <v>2953</v>
      </c>
      <c r="D547" t="s">
        <v>2957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2959</v>
      </c>
    </row>
    <row r="549" spans="1:4" x14ac:dyDescent="0.3">
      <c r="A549">
        <v>573</v>
      </c>
      <c r="B549" s="13">
        <v>45856</v>
      </c>
      <c r="C549" t="s">
        <v>2960</v>
      </c>
      <c r="D549" t="s">
        <v>2962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2963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2964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2969</v>
      </c>
    </row>
    <row r="553" spans="1:4" x14ac:dyDescent="0.3">
      <c r="A553">
        <v>577</v>
      </c>
      <c r="B553" s="13">
        <v>45859</v>
      </c>
      <c r="C553" t="s">
        <v>2626</v>
      </c>
      <c r="D553" t="s">
        <v>2971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2974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2975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2977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2978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2979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2980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2981</v>
      </c>
    </row>
    <row r="561" spans="1:4" x14ac:dyDescent="0.3">
      <c r="A561">
        <v>585</v>
      </c>
      <c r="B561" s="13">
        <v>45860</v>
      </c>
      <c r="C561" t="s">
        <v>2982</v>
      </c>
      <c r="D561" t="s">
        <v>2986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2987</v>
      </c>
    </row>
    <row r="563" spans="1:4" x14ac:dyDescent="0.3">
      <c r="A563">
        <v>587</v>
      </c>
      <c r="B563" s="13">
        <v>45860</v>
      </c>
      <c r="C563" t="s">
        <v>2908</v>
      </c>
      <c r="D563" t="s">
        <v>2988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2994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2995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2996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2997</v>
      </c>
    </row>
    <row r="568" spans="1:4" x14ac:dyDescent="0.3">
      <c r="A568">
        <v>592</v>
      </c>
      <c r="B568" s="13">
        <v>45861</v>
      </c>
      <c r="C568" t="s">
        <v>1475</v>
      </c>
      <c r="D568" t="s">
        <v>2998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2999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3000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3007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3008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3009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3010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3011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3014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3015</v>
      </c>
    </row>
    <row r="578" spans="1:4" x14ac:dyDescent="0.3">
      <c r="A578">
        <v>602</v>
      </c>
      <c r="B578" s="13">
        <v>45862</v>
      </c>
      <c r="C578" t="s">
        <v>3016</v>
      </c>
      <c r="D578" t="s">
        <v>3017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3020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3024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3025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3026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3027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3029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3030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3031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3032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3033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3034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3035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3036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3037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3038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3039</v>
      </c>
    </row>
    <row r="595" spans="1:4" x14ac:dyDescent="0.3">
      <c r="A595">
        <v>619</v>
      </c>
      <c r="B595" s="13">
        <v>45866</v>
      </c>
      <c r="C595" t="s">
        <v>3040</v>
      </c>
      <c r="D595" t="s">
        <v>3043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3044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3045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3046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3047</v>
      </c>
    </row>
    <row r="600" spans="1:4" x14ac:dyDescent="0.3">
      <c r="A600">
        <v>624</v>
      </c>
      <c r="B600" s="13">
        <v>45866</v>
      </c>
      <c r="C600" t="s">
        <v>3048</v>
      </c>
      <c r="D600" t="s">
        <v>3053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3080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3081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3082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3083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3084</v>
      </c>
    </row>
    <row r="606" spans="1:4" x14ac:dyDescent="0.3">
      <c r="A606">
        <v>630</v>
      </c>
      <c r="B606" s="13">
        <v>45867</v>
      </c>
      <c r="C606" t="s">
        <v>2934</v>
      </c>
      <c r="D606" t="s">
        <v>3085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3086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3087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3090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3091</v>
      </c>
    </row>
    <row r="611" spans="1:4" x14ac:dyDescent="0.3">
      <c r="A611">
        <v>635</v>
      </c>
      <c r="B611" s="13">
        <v>45868</v>
      </c>
      <c r="C611" t="s">
        <v>2807</v>
      </c>
      <c r="D611" t="s">
        <v>3092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3094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3095</v>
      </c>
    </row>
    <row r="614" spans="1:4" x14ac:dyDescent="0.3">
      <c r="A614">
        <v>638</v>
      </c>
      <c r="B614" s="13">
        <v>45868</v>
      </c>
      <c r="C614" t="s">
        <v>3096</v>
      </c>
      <c r="D614" t="s">
        <v>3100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3101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3104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3105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3106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3107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3108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3111</v>
      </c>
    </row>
    <row r="622" spans="1:4" x14ac:dyDescent="0.3">
      <c r="A622">
        <v>646</v>
      </c>
      <c r="B622" s="13">
        <v>45870</v>
      </c>
      <c r="C622" t="s">
        <v>3112</v>
      </c>
      <c r="D622" t="s">
        <v>3113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3114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3115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3119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3120</v>
      </c>
    </row>
    <row r="627" spans="1:4" x14ac:dyDescent="0.3">
      <c r="A627">
        <v>651</v>
      </c>
      <c r="B627" s="13">
        <v>45873</v>
      </c>
      <c r="C627" t="s">
        <v>2891</v>
      </c>
      <c r="D627" t="s">
        <v>3121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3122</v>
      </c>
    </row>
    <row r="629" spans="1:4" x14ac:dyDescent="0.3">
      <c r="A629">
        <v>653</v>
      </c>
      <c r="B629" s="13">
        <v>45873</v>
      </c>
      <c r="C629" t="s">
        <v>2891</v>
      </c>
      <c r="D629" t="s">
        <v>3123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3124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3125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3126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3127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3128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3130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3131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3132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3133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3146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3147</v>
      </c>
    </row>
    <row r="641" spans="1:4" x14ac:dyDescent="0.3">
      <c r="A641">
        <v>665</v>
      </c>
      <c r="B641" s="13">
        <v>45875</v>
      </c>
      <c r="C641" t="s">
        <v>3140</v>
      </c>
      <c r="D641" t="s">
        <v>3152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3154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3155</v>
      </c>
    </row>
    <row r="644" spans="1:4" x14ac:dyDescent="0.3">
      <c r="A644">
        <v>668</v>
      </c>
      <c r="B644" s="13">
        <v>45875</v>
      </c>
      <c r="C644" t="s">
        <v>3156</v>
      </c>
      <c r="D644" t="s">
        <v>3157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3158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3160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3161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3165</v>
      </c>
    </row>
    <row r="649" spans="1:4" x14ac:dyDescent="0.3">
      <c r="A649">
        <v>673</v>
      </c>
      <c r="B649" s="13">
        <v>45876</v>
      </c>
      <c r="C649" t="s">
        <v>2801</v>
      </c>
      <c r="D649" t="s">
        <v>3166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3167</v>
      </c>
    </row>
    <row r="651" spans="1:4" x14ac:dyDescent="0.3">
      <c r="A651">
        <v>675</v>
      </c>
      <c r="B651" s="13">
        <v>45877</v>
      </c>
      <c r="C651" t="s">
        <v>3169</v>
      </c>
      <c r="D651" t="s">
        <v>3170</v>
      </c>
    </row>
    <row r="652" spans="1:4" x14ac:dyDescent="0.3">
      <c r="A652">
        <v>676</v>
      </c>
      <c r="B652" s="13">
        <v>45877</v>
      </c>
      <c r="C652" t="s">
        <v>3171</v>
      </c>
      <c r="D652" t="s">
        <v>3175</v>
      </c>
    </row>
    <row r="653" spans="1:4" x14ac:dyDescent="0.3">
      <c r="A653">
        <v>677</v>
      </c>
      <c r="B653" s="13">
        <v>45877</v>
      </c>
      <c r="C653" t="s">
        <v>3169</v>
      </c>
      <c r="D653" t="s">
        <v>3176</v>
      </c>
    </row>
    <row r="654" spans="1:4" x14ac:dyDescent="0.3">
      <c r="A654">
        <v>678</v>
      </c>
      <c r="B654" s="13">
        <v>45877</v>
      </c>
      <c r="C654" t="s">
        <v>3171</v>
      </c>
      <c r="D654" t="s">
        <v>3177</v>
      </c>
    </row>
    <row r="655" spans="1:4" x14ac:dyDescent="0.3">
      <c r="A655">
        <v>679</v>
      </c>
      <c r="B655" s="13">
        <v>45877</v>
      </c>
      <c r="C655" t="s">
        <v>3169</v>
      </c>
      <c r="D655" t="s">
        <v>3178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3180</v>
      </c>
    </row>
    <row r="657" spans="1:4" x14ac:dyDescent="0.3">
      <c r="A657">
        <v>681</v>
      </c>
      <c r="B657" s="13">
        <v>45878</v>
      </c>
      <c r="C657" t="s">
        <v>3181</v>
      </c>
      <c r="D657" t="s">
        <v>3182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3183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3184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3185</v>
      </c>
    </row>
    <row r="661" spans="1:4" x14ac:dyDescent="0.3">
      <c r="A661">
        <v>685</v>
      </c>
      <c r="B661" t="s">
        <v>3187</v>
      </c>
      <c r="C661" t="s">
        <v>1502</v>
      </c>
      <c r="D661" t="s">
        <v>3188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3189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3190</v>
      </c>
    </row>
    <row r="664" spans="1:4" x14ac:dyDescent="0.3">
      <c r="A664">
        <v>688</v>
      </c>
      <c r="B664" s="13">
        <v>45880</v>
      </c>
      <c r="C664" t="s">
        <v>2934</v>
      </c>
      <c r="D664" t="s">
        <v>3191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3192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3193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3194</v>
      </c>
    </row>
    <row r="668" spans="1:4" x14ac:dyDescent="0.3">
      <c r="A668">
        <v>692</v>
      </c>
      <c r="B668" s="13">
        <v>45881</v>
      </c>
      <c r="C668" t="s">
        <v>3016</v>
      </c>
      <c r="D668" t="s">
        <v>3196</v>
      </c>
    </row>
    <row r="669" spans="1:4" x14ac:dyDescent="0.3">
      <c r="A669">
        <v>693</v>
      </c>
      <c r="B669" s="13">
        <v>45882</v>
      </c>
      <c r="C669" t="s">
        <v>1814</v>
      </c>
      <c r="D669" t="s">
        <v>3198</v>
      </c>
    </row>
    <row r="670" spans="1:4" x14ac:dyDescent="0.3">
      <c r="A670">
        <v>694</v>
      </c>
      <c r="B670" s="13">
        <v>45882</v>
      </c>
      <c r="C670" t="s">
        <v>1588</v>
      </c>
      <c r="D670" t="s">
        <v>3199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3200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3201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3202</v>
      </c>
    </row>
    <row r="674" spans="1:4" x14ac:dyDescent="0.3">
      <c r="A674">
        <v>698</v>
      </c>
      <c r="B674" s="13">
        <v>45882</v>
      </c>
      <c r="C674" t="s">
        <v>3206</v>
      </c>
      <c r="D674" t="s">
        <v>3210</v>
      </c>
    </row>
    <row r="675" spans="1:4" x14ac:dyDescent="0.3">
      <c r="A675">
        <v>699</v>
      </c>
      <c r="B675" s="13">
        <v>45882</v>
      </c>
      <c r="C675" t="s">
        <v>3203</v>
      </c>
      <c r="D675" t="s">
        <v>3212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3213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3215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3217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3218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3220</v>
      </c>
    </row>
    <row r="681" spans="1:4" x14ac:dyDescent="0.3">
      <c r="A681">
        <v>705</v>
      </c>
      <c r="B681" s="13">
        <v>45883</v>
      </c>
      <c r="C681" t="s">
        <v>3221</v>
      </c>
      <c r="D681" t="s">
        <v>3223</v>
      </c>
    </row>
    <row r="682" spans="1:4" x14ac:dyDescent="0.3">
      <c r="A682">
        <v>706</v>
      </c>
      <c r="B682" s="13">
        <v>45883</v>
      </c>
      <c r="C682" t="s">
        <v>2613</v>
      </c>
      <c r="D682" t="s">
        <v>3224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3225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3228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3229</v>
      </c>
    </row>
    <row r="686" spans="1:4" x14ac:dyDescent="0.3">
      <c r="A686">
        <v>710</v>
      </c>
      <c r="B686" s="13">
        <v>45884</v>
      </c>
      <c r="C686" t="s">
        <v>3230</v>
      </c>
      <c r="D686" t="s">
        <v>3233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3234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3235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3241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3242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3243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3246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3247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3248</v>
      </c>
    </row>
    <row r="695" spans="1:4" x14ac:dyDescent="0.3">
      <c r="A695">
        <v>719</v>
      </c>
      <c r="B695" s="13">
        <v>45887</v>
      </c>
      <c r="C695" t="s">
        <v>2626</v>
      </c>
      <c r="D695" t="s">
        <v>3250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3252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3254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3256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3257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3258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3259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3261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3263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3264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3265</v>
      </c>
    </row>
    <row r="706" spans="1:4" x14ac:dyDescent="0.3">
      <c r="A706">
        <v>730</v>
      </c>
      <c r="B706" s="13">
        <v>45889</v>
      </c>
      <c r="C706" t="s">
        <v>2572</v>
      </c>
      <c r="D706" t="s">
        <v>3267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3268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3270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3271</v>
      </c>
    </row>
    <row r="710" spans="1:4" x14ac:dyDescent="0.3">
      <c r="A710">
        <v>734</v>
      </c>
      <c r="B710" s="13">
        <v>45890</v>
      </c>
      <c r="C710" t="s">
        <v>2934</v>
      </c>
      <c r="D710" t="s">
        <v>3272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3273</v>
      </c>
    </row>
    <row r="712" spans="1:4" x14ac:dyDescent="0.3">
      <c r="A712">
        <v>736</v>
      </c>
      <c r="B712" s="13">
        <v>45890</v>
      </c>
      <c r="C712" t="s">
        <v>2572</v>
      </c>
      <c r="D712" t="s">
        <v>3274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3276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3279</v>
      </c>
    </row>
    <row r="715" spans="1:4" x14ac:dyDescent="0.3">
      <c r="A715">
        <v>739</v>
      </c>
      <c r="B715" s="13">
        <v>45890</v>
      </c>
      <c r="C715" t="s">
        <v>3140</v>
      </c>
      <c r="D715" t="s">
        <v>3280</v>
      </c>
    </row>
    <row r="716" spans="1:4" x14ac:dyDescent="0.3">
      <c r="A716">
        <v>740</v>
      </c>
      <c r="B716" s="13">
        <v>45891</v>
      </c>
      <c r="C716" t="s">
        <v>2876</v>
      </c>
      <c r="D716" t="s">
        <v>3283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3285</v>
      </c>
    </row>
    <row r="718" spans="1:4" x14ac:dyDescent="0.3">
      <c r="A718">
        <v>742</v>
      </c>
      <c r="B718" s="13">
        <v>45891</v>
      </c>
      <c r="C718" t="s">
        <v>3286</v>
      </c>
      <c r="D718" t="s">
        <v>3290</v>
      </c>
    </row>
    <row r="719" spans="1:4" x14ac:dyDescent="0.3">
      <c r="A719">
        <v>743</v>
      </c>
      <c r="B719" s="13">
        <v>45891</v>
      </c>
      <c r="C719" t="s">
        <v>2626</v>
      </c>
      <c r="D719" t="s">
        <v>3291</v>
      </c>
    </row>
    <row r="720" spans="1:4" x14ac:dyDescent="0.3">
      <c r="A720">
        <v>744</v>
      </c>
      <c r="B720" s="13">
        <v>45891</v>
      </c>
      <c r="C720" t="s">
        <v>3292</v>
      </c>
      <c r="D720" t="s">
        <v>3298</v>
      </c>
    </row>
    <row r="721" spans="1:4" x14ac:dyDescent="0.3">
      <c r="A721">
        <v>745</v>
      </c>
      <c r="B721" s="13">
        <v>45892</v>
      </c>
      <c r="C721" t="s">
        <v>1008</v>
      </c>
      <c r="D721" t="s">
        <v>3300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3305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3306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3307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3308</v>
      </c>
    </row>
    <row r="726" spans="1:4" x14ac:dyDescent="0.3">
      <c r="A726">
        <v>750</v>
      </c>
      <c r="B726" s="13">
        <v>45894</v>
      </c>
      <c r="C726" t="s">
        <v>3140</v>
      </c>
      <c r="D726" t="s">
        <v>3312</v>
      </c>
    </row>
    <row r="727" spans="1:4" x14ac:dyDescent="0.3">
      <c r="A727">
        <v>751</v>
      </c>
      <c r="B727" s="13">
        <v>45894</v>
      </c>
      <c r="C727" t="s">
        <v>2934</v>
      </c>
      <c r="D727" t="s">
        <v>3313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3314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3315</v>
      </c>
    </row>
    <row r="730" spans="1:4" x14ac:dyDescent="0.3">
      <c r="A730">
        <v>754</v>
      </c>
      <c r="B730" s="13">
        <v>45894</v>
      </c>
      <c r="C730" t="s">
        <v>2572</v>
      </c>
      <c r="D730" t="s">
        <v>3316</v>
      </c>
    </row>
    <row r="731" spans="1:4" x14ac:dyDescent="0.3">
      <c r="A731">
        <v>755</v>
      </c>
      <c r="B731" s="13">
        <v>45894</v>
      </c>
      <c r="C731" t="s">
        <v>3317</v>
      </c>
      <c r="D731" t="s">
        <v>3321</v>
      </c>
    </row>
    <row r="732" spans="1:4" x14ac:dyDescent="0.3">
      <c r="A732">
        <v>756</v>
      </c>
      <c r="B732" s="13">
        <v>45894</v>
      </c>
      <c r="C732" t="s">
        <v>3317</v>
      </c>
      <c r="D732" t="s">
        <v>3322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3323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3325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3326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3327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3328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3329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3333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3334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3335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3337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3338</v>
      </c>
    </row>
    <row r="744" spans="1:4" x14ac:dyDescent="0.3">
      <c r="A744">
        <v>768</v>
      </c>
      <c r="B744" s="13">
        <v>45895</v>
      </c>
      <c r="C744" t="s">
        <v>2876</v>
      </c>
      <c r="D744" t="s">
        <v>3341</v>
      </c>
    </row>
    <row r="745" spans="1:4" x14ac:dyDescent="0.3">
      <c r="A745">
        <v>769</v>
      </c>
      <c r="B745" s="13">
        <v>45895</v>
      </c>
      <c r="C745" t="s">
        <v>2876</v>
      </c>
      <c r="D745" t="s">
        <v>3342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3346</v>
      </c>
    </row>
    <row r="747" spans="1:4" x14ac:dyDescent="0.3">
      <c r="A747">
        <v>771</v>
      </c>
      <c r="B747" s="13">
        <v>45896</v>
      </c>
      <c r="C747" t="s">
        <v>3134</v>
      </c>
      <c r="D747" t="s">
        <v>3348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3349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3350</v>
      </c>
    </row>
    <row r="750" spans="1:4" x14ac:dyDescent="0.3">
      <c r="A750">
        <v>774</v>
      </c>
      <c r="B750" s="13">
        <v>45896</v>
      </c>
      <c r="C750" t="s">
        <v>2479</v>
      </c>
      <c r="D750" t="s">
        <v>3351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3359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3360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3361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3362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3363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3364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3365</v>
      </c>
    </row>
    <row r="758" spans="1:4" x14ac:dyDescent="0.3">
      <c r="A758">
        <v>782</v>
      </c>
      <c r="B758" s="13">
        <v>45898</v>
      </c>
      <c r="C758" t="s">
        <v>3016</v>
      </c>
      <c r="D758" t="s">
        <v>3370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3371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3372</v>
      </c>
    </row>
    <row r="761" spans="1:4" x14ac:dyDescent="0.3">
      <c r="A761">
        <v>785</v>
      </c>
      <c r="B761" s="13">
        <v>45898</v>
      </c>
      <c r="C761" t="s">
        <v>3221</v>
      </c>
      <c r="D761" t="s">
        <v>3373</v>
      </c>
    </row>
    <row r="762" spans="1:4" x14ac:dyDescent="0.3">
      <c r="A762">
        <v>786</v>
      </c>
      <c r="B762" s="13">
        <v>45899</v>
      </c>
      <c r="C762" t="s">
        <v>2887</v>
      </c>
      <c r="D762" t="s">
        <v>3374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3375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3382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3383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3384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3385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3386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3387</v>
      </c>
    </row>
    <row r="770" spans="1:4" x14ac:dyDescent="0.3">
      <c r="A770">
        <v>794</v>
      </c>
      <c r="B770" s="13">
        <v>45901</v>
      </c>
      <c r="C770" t="s">
        <v>2780</v>
      </c>
      <c r="D770" t="s">
        <v>3388</v>
      </c>
    </row>
    <row r="771" spans="1:4" x14ac:dyDescent="0.3">
      <c r="A771">
        <v>795</v>
      </c>
      <c r="B771" s="13">
        <v>45901</v>
      </c>
      <c r="C771" t="s">
        <v>3376</v>
      </c>
      <c r="D771" t="s">
        <v>3389</v>
      </c>
    </row>
    <row r="772" spans="1:4" x14ac:dyDescent="0.3">
      <c r="A772">
        <v>796</v>
      </c>
      <c r="B772" s="13">
        <v>45901</v>
      </c>
      <c r="C772" t="s">
        <v>1452</v>
      </c>
      <c r="D772" t="s">
        <v>3390</v>
      </c>
    </row>
    <row r="773" spans="1:4" x14ac:dyDescent="0.3">
      <c r="A773">
        <v>797</v>
      </c>
      <c r="B773" s="13">
        <v>45902</v>
      </c>
      <c r="C773" t="s">
        <v>1179</v>
      </c>
      <c r="D773" t="s">
        <v>3394</v>
      </c>
    </row>
    <row r="774" spans="1:4" x14ac:dyDescent="0.3">
      <c r="A774">
        <v>798</v>
      </c>
      <c r="B774" s="13">
        <v>45902</v>
      </c>
      <c r="C774" t="s">
        <v>1989</v>
      </c>
      <c r="D774" t="s">
        <v>3395</v>
      </c>
    </row>
    <row r="775" spans="1:4" x14ac:dyDescent="0.3">
      <c r="A775">
        <v>799</v>
      </c>
      <c r="B775" s="13">
        <v>45902</v>
      </c>
      <c r="C775" t="s">
        <v>3016</v>
      </c>
      <c r="D775" t="s">
        <v>3396</v>
      </c>
    </row>
    <row r="776" spans="1:4" x14ac:dyDescent="0.3">
      <c r="A776">
        <v>800</v>
      </c>
      <c r="B776" s="13">
        <v>45902</v>
      </c>
      <c r="C776" t="s">
        <v>1152</v>
      </c>
      <c r="D776" t="s">
        <v>3397</v>
      </c>
    </row>
    <row r="777" spans="1:4" x14ac:dyDescent="0.3">
      <c r="A777">
        <v>801</v>
      </c>
      <c r="B777" s="13">
        <v>45902</v>
      </c>
      <c r="C777" t="s">
        <v>1585</v>
      </c>
      <c r="D777" t="s">
        <v>3398</v>
      </c>
    </row>
    <row r="778" spans="1:4" x14ac:dyDescent="0.3">
      <c r="A778">
        <v>802</v>
      </c>
      <c r="B778" s="13">
        <v>45902</v>
      </c>
      <c r="C778" t="s">
        <v>1502</v>
      </c>
      <c r="D778" t="s">
        <v>3400</v>
      </c>
    </row>
    <row r="779" spans="1:4" x14ac:dyDescent="0.3">
      <c r="A779">
        <v>803</v>
      </c>
      <c r="B779" s="13">
        <v>45902</v>
      </c>
      <c r="C779" t="s">
        <v>1008</v>
      </c>
      <c r="D779" t="s">
        <v>3401</v>
      </c>
    </row>
    <row r="780" spans="1:4" x14ac:dyDescent="0.3">
      <c r="A780">
        <v>804</v>
      </c>
      <c r="B780" s="13">
        <v>45903</v>
      </c>
      <c r="C780" t="s">
        <v>1799</v>
      </c>
      <c r="D780" t="s">
        <v>3402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3403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3404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3406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3408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3411</v>
      </c>
    </row>
    <row r="786" spans="1:4" x14ac:dyDescent="0.3">
      <c r="A786">
        <v>810</v>
      </c>
      <c r="B786" s="13">
        <v>45903</v>
      </c>
      <c r="C786" t="s">
        <v>3317</v>
      </c>
      <c r="D786" t="s">
        <v>3412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3416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3417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3421</v>
      </c>
    </row>
    <row r="790" spans="1:4" x14ac:dyDescent="0.3">
      <c r="A790">
        <v>814</v>
      </c>
      <c r="B790" s="13">
        <v>45903</v>
      </c>
      <c r="C790" t="s">
        <v>3418</v>
      </c>
      <c r="D790" t="s">
        <v>3422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3423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3424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3426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3428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3429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3439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3440</v>
      </c>
    </row>
    <row r="798" spans="1:4" x14ac:dyDescent="0.3">
      <c r="A798">
        <v>822</v>
      </c>
      <c r="B798" s="13">
        <v>45904</v>
      </c>
      <c r="C798" t="s">
        <v>2934</v>
      </c>
      <c r="D798" t="s">
        <v>3441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3442</v>
      </c>
    </row>
    <row r="800" spans="1:4" x14ac:dyDescent="0.3">
      <c r="A800">
        <v>824</v>
      </c>
      <c r="B800" s="13">
        <v>45904</v>
      </c>
      <c r="C800" t="s">
        <v>3435</v>
      </c>
      <c r="D800" t="s">
        <v>3443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3446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3447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3448</v>
      </c>
    </row>
    <row r="804" spans="1:4" x14ac:dyDescent="0.3">
      <c r="A804">
        <v>828</v>
      </c>
      <c r="B804" s="13">
        <v>45904</v>
      </c>
      <c r="C804" t="s">
        <v>3427</v>
      </c>
      <c r="D804" t="s">
        <v>3449</v>
      </c>
    </row>
    <row r="805" spans="1:4" x14ac:dyDescent="0.3">
      <c r="A805">
        <v>829</v>
      </c>
      <c r="B805" s="13">
        <v>45904</v>
      </c>
      <c r="C805" t="s">
        <v>3427</v>
      </c>
      <c r="D805" t="s">
        <v>3450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3451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3452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3453</v>
      </c>
    </row>
    <row r="809" spans="1:4" x14ac:dyDescent="0.3">
      <c r="A809">
        <v>833</v>
      </c>
      <c r="B809" s="13">
        <v>45904</v>
      </c>
      <c r="C809" t="s">
        <v>3435</v>
      </c>
      <c r="D809" t="s">
        <v>3454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3455</v>
      </c>
    </row>
    <row r="811" spans="1:4" x14ac:dyDescent="0.3">
      <c r="A811">
        <v>835</v>
      </c>
      <c r="B811" s="13">
        <v>45904</v>
      </c>
      <c r="C811" t="s">
        <v>2934</v>
      </c>
      <c r="D811" t="s">
        <v>3456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3457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3458</v>
      </c>
    </row>
    <row r="814" spans="1:4" x14ac:dyDescent="0.3">
      <c r="A814">
        <v>838</v>
      </c>
      <c r="B814" s="13">
        <v>45905</v>
      </c>
      <c r="C814" t="s">
        <v>1475</v>
      </c>
      <c r="D814" t="s">
        <v>3465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3466</v>
      </c>
    </row>
    <row r="816" spans="1:4" x14ac:dyDescent="0.3">
      <c r="A816">
        <v>840</v>
      </c>
      <c r="B816" s="13">
        <v>45905</v>
      </c>
      <c r="C816" t="s">
        <v>1452</v>
      </c>
      <c r="D816" t="s">
        <v>3468</v>
      </c>
    </row>
    <row r="817" spans="1:4" x14ac:dyDescent="0.3">
      <c r="A817">
        <v>841</v>
      </c>
      <c r="B817" s="13">
        <v>45905</v>
      </c>
      <c r="C817" t="s">
        <v>1313</v>
      </c>
      <c r="D817" t="s">
        <v>3469</v>
      </c>
    </row>
    <row r="818" spans="1:4" x14ac:dyDescent="0.3">
      <c r="A818">
        <v>842</v>
      </c>
      <c r="B818" s="13">
        <v>45905</v>
      </c>
      <c r="C818" t="s">
        <v>1730</v>
      </c>
      <c r="D818" t="s">
        <v>3471</v>
      </c>
    </row>
    <row r="819" spans="1:4" x14ac:dyDescent="0.3">
      <c r="A819">
        <v>843</v>
      </c>
      <c r="B819" s="13">
        <v>45905</v>
      </c>
      <c r="C819" t="s">
        <v>3169</v>
      </c>
      <c r="D819" t="s">
        <v>3472</v>
      </c>
    </row>
    <row r="820" spans="1:4" x14ac:dyDescent="0.3">
      <c r="A820">
        <v>844</v>
      </c>
      <c r="B820" s="13">
        <v>45905</v>
      </c>
      <c r="C820" t="s">
        <v>3473</v>
      </c>
      <c r="D820" t="s">
        <v>3474</v>
      </c>
    </row>
    <row r="821" spans="1:4" x14ac:dyDescent="0.3">
      <c r="A821">
        <v>845</v>
      </c>
      <c r="B821" s="13">
        <v>45905</v>
      </c>
      <c r="C821" t="s">
        <v>1407</v>
      </c>
      <c r="D821" t="s">
        <v>3475</v>
      </c>
    </row>
    <row r="822" spans="1:4" x14ac:dyDescent="0.3">
      <c r="A822">
        <v>846</v>
      </c>
      <c r="B822" s="13">
        <v>45905</v>
      </c>
      <c r="C822" t="s">
        <v>1481</v>
      </c>
      <c r="D822" t="s">
        <v>3487</v>
      </c>
    </row>
    <row r="823" spans="1:4" x14ac:dyDescent="0.3">
      <c r="A823">
        <v>847</v>
      </c>
      <c r="B823" s="13">
        <v>45906</v>
      </c>
      <c r="C823" t="s">
        <v>3488</v>
      </c>
      <c r="D823" t="s">
        <v>3497</v>
      </c>
    </row>
    <row r="824" spans="1:4" x14ac:dyDescent="0.3">
      <c r="A824">
        <v>848</v>
      </c>
      <c r="B824" s="13">
        <v>45906</v>
      </c>
      <c r="C824" t="s">
        <v>3016</v>
      </c>
      <c r="D824" t="s">
        <v>3499</v>
      </c>
    </row>
    <row r="825" spans="1:4" x14ac:dyDescent="0.3">
      <c r="A825">
        <v>849</v>
      </c>
      <c r="B825" s="13">
        <v>45906</v>
      </c>
      <c r="C825" t="s">
        <v>3491</v>
      </c>
      <c r="D825" t="s">
        <v>3501</v>
      </c>
    </row>
    <row r="826" spans="1:4" x14ac:dyDescent="0.3">
      <c r="A826">
        <v>850</v>
      </c>
      <c r="B826" s="13">
        <v>45908</v>
      </c>
      <c r="C826" t="s">
        <v>1502</v>
      </c>
      <c r="D826" t="s">
        <v>3503</v>
      </c>
    </row>
    <row r="827" spans="1:4" x14ac:dyDescent="0.3">
      <c r="A827">
        <v>851</v>
      </c>
      <c r="B827" s="13">
        <v>45908</v>
      </c>
      <c r="C827" t="s">
        <v>1594</v>
      </c>
      <c r="D827" t="s">
        <v>3504</v>
      </c>
    </row>
    <row r="828" spans="1:4" x14ac:dyDescent="0.3">
      <c r="A828">
        <v>852</v>
      </c>
      <c r="B828" s="13">
        <v>45908</v>
      </c>
      <c r="C828" t="s">
        <v>1313</v>
      </c>
      <c r="D828" t="s">
        <v>3505</v>
      </c>
    </row>
    <row r="829" spans="1:4" x14ac:dyDescent="0.3">
      <c r="A829">
        <v>853</v>
      </c>
      <c r="B829" s="13">
        <v>45908</v>
      </c>
      <c r="C829" t="s">
        <v>1588</v>
      </c>
      <c r="D829" t="s">
        <v>3506</v>
      </c>
    </row>
    <row r="830" spans="1:4" x14ac:dyDescent="0.3">
      <c r="A830">
        <v>854</v>
      </c>
      <c r="B830" s="13">
        <v>45908</v>
      </c>
      <c r="C830" t="s">
        <v>1679</v>
      </c>
      <c r="D830" t="s">
        <v>3509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3510</v>
      </c>
    </row>
    <row r="832" spans="1:4" x14ac:dyDescent="0.3">
      <c r="A832">
        <v>856</v>
      </c>
      <c r="B832" s="13">
        <v>45908</v>
      </c>
      <c r="C832" t="s">
        <v>1487</v>
      </c>
      <c r="D832" t="s">
        <v>3511</v>
      </c>
    </row>
    <row r="833" spans="1:4" x14ac:dyDescent="0.3">
      <c r="A833">
        <v>857</v>
      </c>
      <c r="B833" s="13">
        <v>45908</v>
      </c>
      <c r="C833" t="s">
        <v>1407</v>
      </c>
      <c r="D833" t="s">
        <v>3512</v>
      </c>
    </row>
    <row r="834" spans="1:4" x14ac:dyDescent="0.3">
      <c r="A834">
        <v>858</v>
      </c>
      <c r="B834" s="13">
        <v>45909</v>
      </c>
      <c r="C834" t="s">
        <v>2641</v>
      </c>
      <c r="D834" t="s">
        <v>3526</v>
      </c>
    </row>
    <row r="835" spans="1:4" x14ac:dyDescent="0.3">
      <c r="A835">
        <v>859</v>
      </c>
      <c r="B835" s="13">
        <v>45909</v>
      </c>
      <c r="C835" t="s">
        <v>2422</v>
      </c>
      <c r="D835" t="s">
        <v>3527</v>
      </c>
    </row>
    <row r="836" spans="1:4" x14ac:dyDescent="0.3">
      <c r="A836">
        <v>860</v>
      </c>
      <c r="B836" s="13">
        <v>45909</v>
      </c>
      <c r="C836" t="s">
        <v>988</v>
      </c>
      <c r="D836" t="s">
        <v>3528</v>
      </c>
    </row>
    <row r="837" spans="1:4" x14ac:dyDescent="0.3">
      <c r="A837">
        <v>861</v>
      </c>
      <c r="B837" s="13">
        <v>45909</v>
      </c>
      <c r="C837" t="s">
        <v>2479</v>
      </c>
      <c r="D837" t="s">
        <v>3529</v>
      </c>
    </row>
    <row r="838" spans="1:4" x14ac:dyDescent="0.3">
      <c r="A838">
        <v>862</v>
      </c>
      <c r="B838" s="13">
        <v>45909</v>
      </c>
      <c r="C838" t="s">
        <v>1878</v>
      </c>
      <c r="D838" t="s">
        <v>3530</v>
      </c>
    </row>
    <row r="839" spans="1:4" x14ac:dyDescent="0.3">
      <c r="A839">
        <v>863</v>
      </c>
      <c r="B839" s="13">
        <v>45910</v>
      </c>
      <c r="C839" t="s">
        <v>1457</v>
      </c>
      <c r="D839" t="s">
        <v>3531</v>
      </c>
    </row>
    <row r="840" spans="1:4" x14ac:dyDescent="0.3">
      <c r="A840">
        <v>864</v>
      </c>
      <c r="B840" s="13">
        <v>45910</v>
      </c>
      <c r="C840" t="s">
        <v>1679</v>
      </c>
      <c r="D840" t="s">
        <v>3532</v>
      </c>
    </row>
    <row r="841" spans="1:4" x14ac:dyDescent="0.3">
      <c r="A841">
        <v>865</v>
      </c>
      <c r="B841" s="13">
        <v>45910</v>
      </c>
      <c r="C841" t="s">
        <v>1881</v>
      </c>
      <c r="D841" t="s">
        <v>3534</v>
      </c>
    </row>
    <row r="842" spans="1:4" x14ac:dyDescent="0.3">
      <c r="A842">
        <v>866</v>
      </c>
      <c r="B842" s="13">
        <v>45910</v>
      </c>
      <c r="C842" t="s">
        <v>1549</v>
      </c>
      <c r="D842" t="s">
        <v>3537</v>
      </c>
    </row>
    <row r="843" spans="1:4" x14ac:dyDescent="0.3">
      <c r="A843">
        <v>867</v>
      </c>
      <c r="B843" s="13">
        <v>45910</v>
      </c>
      <c r="C843" t="s">
        <v>3535</v>
      </c>
      <c r="D843" t="s">
        <v>3541</v>
      </c>
    </row>
    <row r="844" spans="1:4" x14ac:dyDescent="0.3">
      <c r="A844">
        <v>868</v>
      </c>
      <c r="B844" s="13">
        <v>45910</v>
      </c>
      <c r="C844" t="s">
        <v>1452</v>
      </c>
      <c r="D844" t="s">
        <v>3542</v>
      </c>
    </row>
    <row r="845" spans="1:4" x14ac:dyDescent="0.3">
      <c r="A845">
        <v>869</v>
      </c>
      <c r="B845" s="13">
        <v>45910</v>
      </c>
      <c r="C845" t="s">
        <v>3418</v>
      </c>
      <c r="D845" t="s">
        <v>3543</v>
      </c>
    </row>
    <row r="846" spans="1:4" x14ac:dyDescent="0.3">
      <c r="A846">
        <v>870</v>
      </c>
      <c r="B846" s="13">
        <v>45910</v>
      </c>
      <c r="C846" t="s">
        <v>1452</v>
      </c>
      <c r="D846" t="s">
        <v>3544</v>
      </c>
    </row>
    <row r="847" spans="1:4" x14ac:dyDescent="0.3">
      <c r="A847">
        <v>871</v>
      </c>
      <c r="B847" s="13">
        <v>45910</v>
      </c>
      <c r="C847" t="s">
        <v>1313</v>
      </c>
      <c r="D847" t="s">
        <v>3545</v>
      </c>
    </row>
    <row r="848" spans="1:4" x14ac:dyDescent="0.3">
      <c r="A848">
        <v>872</v>
      </c>
      <c r="B848" s="13">
        <v>45910</v>
      </c>
      <c r="C848" t="s">
        <v>2801</v>
      </c>
      <c r="D848" t="s">
        <v>3546</v>
      </c>
    </row>
    <row r="849" spans="1:4" x14ac:dyDescent="0.3">
      <c r="A849">
        <v>873</v>
      </c>
      <c r="B849" s="13">
        <v>45910</v>
      </c>
      <c r="C849" t="s">
        <v>2801</v>
      </c>
      <c r="D849" t="s">
        <v>3547</v>
      </c>
    </row>
    <row r="850" spans="1:4" x14ac:dyDescent="0.3">
      <c r="A850">
        <v>874</v>
      </c>
      <c r="B850" s="13">
        <v>45910</v>
      </c>
      <c r="C850" t="s">
        <v>1457</v>
      </c>
      <c r="D850" t="s">
        <v>3548</v>
      </c>
    </row>
    <row r="851" spans="1:4" x14ac:dyDescent="0.3">
      <c r="A851">
        <v>875</v>
      </c>
      <c r="B851" s="13">
        <v>45910</v>
      </c>
      <c r="C851" t="s">
        <v>1457</v>
      </c>
      <c r="D851" t="s">
        <v>3549</v>
      </c>
    </row>
    <row r="852" spans="1:4" x14ac:dyDescent="0.3">
      <c r="A852">
        <v>876</v>
      </c>
      <c r="B852" s="13">
        <v>45910</v>
      </c>
      <c r="C852" t="s">
        <v>1799</v>
      </c>
      <c r="D852" t="s">
        <v>3550</v>
      </c>
    </row>
    <row r="853" spans="1:4" x14ac:dyDescent="0.3">
      <c r="A853">
        <v>877</v>
      </c>
      <c r="B853" s="13">
        <v>45911</v>
      </c>
      <c r="C853" t="s">
        <v>1475</v>
      </c>
      <c r="D853" t="s">
        <v>3557</v>
      </c>
    </row>
    <row r="854" spans="1:4" x14ac:dyDescent="0.3">
      <c r="A854">
        <v>878</v>
      </c>
      <c r="B854" s="13">
        <v>45911</v>
      </c>
      <c r="C854" t="s">
        <v>1087</v>
      </c>
      <c r="D854" t="s">
        <v>3558</v>
      </c>
    </row>
    <row r="855" spans="1:4" x14ac:dyDescent="0.3">
      <c r="A855">
        <v>879</v>
      </c>
      <c r="B855" s="13">
        <v>45911</v>
      </c>
      <c r="C855" t="s">
        <v>1087</v>
      </c>
      <c r="D855" t="s">
        <v>3559</v>
      </c>
    </row>
    <row r="856" spans="1:4" x14ac:dyDescent="0.3">
      <c r="A856">
        <v>880</v>
      </c>
      <c r="B856" s="13">
        <v>45911</v>
      </c>
      <c r="C856" t="s">
        <v>1821</v>
      </c>
      <c r="D856" t="s">
        <v>3560</v>
      </c>
    </row>
    <row r="857" spans="1:4" x14ac:dyDescent="0.3">
      <c r="A857">
        <v>881</v>
      </c>
      <c r="B857" s="13">
        <v>45911</v>
      </c>
      <c r="C857" t="s">
        <v>988</v>
      </c>
      <c r="D857" t="s">
        <v>3561</v>
      </c>
    </row>
    <row r="858" spans="1:4" x14ac:dyDescent="0.3">
      <c r="A858">
        <v>882</v>
      </c>
      <c r="B858" s="13">
        <v>45911</v>
      </c>
      <c r="C858" t="s">
        <v>1457</v>
      </c>
      <c r="D858" t="s">
        <v>3564</v>
      </c>
    </row>
    <row r="859" spans="1:4" x14ac:dyDescent="0.3">
      <c r="A859">
        <v>883</v>
      </c>
      <c r="B859" s="13">
        <v>45911</v>
      </c>
      <c r="C859" t="s">
        <v>1407</v>
      </c>
      <c r="D859" t="s">
        <v>3565</v>
      </c>
    </row>
    <row r="860" spans="1:4" x14ac:dyDescent="0.3">
      <c r="A860">
        <v>884</v>
      </c>
      <c r="B860" s="13">
        <v>45911</v>
      </c>
      <c r="C860" t="s">
        <v>1407</v>
      </c>
      <c r="D860" t="s">
        <v>3566</v>
      </c>
    </row>
    <row r="861" spans="1:4" x14ac:dyDescent="0.3">
      <c r="A861">
        <v>885</v>
      </c>
      <c r="B861" s="13">
        <v>45911</v>
      </c>
      <c r="C861" t="s">
        <v>1799</v>
      </c>
      <c r="D861" t="s">
        <v>3567</v>
      </c>
    </row>
    <row r="862" spans="1:4" x14ac:dyDescent="0.3">
      <c r="A862">
        <v>886</v>
      </c>
      <c r="B862" s="13">
        <v>45911</v>
      </c>
      <c r="C862" t="s">
        <v>3134</v>
      </c>
      <c r="D862" t="s">
        <v>3568</v>
      </c>
    </row>
    <row r="863" spans="1:4" x14ac:dyDescent="0.3">
      <c r="A863">
        <v>887</v>
      </c>
      <c r="B863" s="13">
        <v>45912</v>
      </c>
      <c r="C863" t="s">
        <v>1481</v>
      </c>
      <c r="D863" t="s">
        <v>3570</v>
      </c>
    </row>
    <row r="864" spans="1:4" x14ac:dyDescent="0.3">
      <c r="A864">
        <v>888</v>
      </c>
      <c r="B864" s="13">
        <v>45912</v>
      </c>
      <c r="C864" t="s">
        <v>1679</v>
      </c>
      <c r="D864" t="s">
        <v>3571</v>
      </c>
    </row>
    <row r="865" spans="1:4" x14ac:dyDescent="0.3">
      <c r="A865">
        <v>889</v>
      </c>
      <c r="B865" s="13">
        <v>45912</v>
      </c>
      <c r="C865" t="s">
        <v>1730</v>
      </c>
      <c r="D865" t="s">
        <v>3572</v>
      </c>
    </row>
    <row r="866" spans="1:4" x14ac:dyDescent="0.3">
      <c r="A866">
        <v>890</v>
      </c>
      <c r="B866" s="13">
        <v>45912</v>
      </c>
      <c r="C866" t="s">
        <v>2934</v>
      </c>
      <c r="D866" t="s">
        <v>3573</v>
      </c>
    </row>
    <row r="867" spans="1:4" x14ac:dyDescent="0.3">
      <c r="A867">
        <v>891</v>
      </c>
      <c r="B867" s="13">
        <v>45912</v>
      </c>
      <c r="C867" t="s">
        <v>1730</v>
      </c>
      <c r="D867" t="s">
        <v>3575</v>
      </c>
    </row>
    <row r="868" spans="1:4" x14ac:dyDescent="0.3">
      <c r="A868">
        <v>892</v>
      </c>
      <c r="B868" s="13">
        <v>45912</v>
      </c>
      <c r="C868" t="s">
        <v>1477</v>
      </c>
      <c r="D868" t="s">
        <v>3576</v>
      </c>
    </row>
    <row r="869" spans="1:4" x14ac:dyDescent="0.3">
      <c r="A869">
        <v>893</v>
      </c>
      <c r="B869" s="13">
        <v>45912</v>
      </c>
      <c r="C869" t="s">
        <v>3577</v>
      </c>
      <c r="D869" t="s">
        <v>3580</v>
      </c>
    </row>
    <row r="870" spans="1:4" x14ac:dyDescent="0.3">
      <c r="A870">
        <v>894</v>
      </c>
      <c r="B870" s="13">
        <v>45913</v>
      </c>
      <c r="C870" t="s">
        <v>1730</v>
      </c>
      <c r="D870" t="s">
        <v>3583</v>
      </c>
    </row>
    <row r="871" spans="1:4" x14ac:dyDescent="0.3">
      <c r="A871">
        <v>895</v>
      </c>
      <c r="B871" s="13">
        <v>45915</v>
      </c>
      <c r="C871" t="s">
        <v>1457</v>
      </c>
      <c r="D871" t="s">
        <v>3587</v>
      </c>
    </row>
    <row r="872" spans="1:4" x14ac:dyDescent="0.3">
      <c r="A872">
        <v>896</v>
      </c>
      <c r="B872" s="13">
        <v>45915</v>
      </c>
      <c r="C872" t="s">
        <v>1992</v>
      </c>
      <c r="D872" t="s">
        <v>3588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3589</v>
      </c>
    </row>
    <row r="874" spans="1:4" x14ac:dyDescent="0.3">
      <c r="A874">
        <v>898</v>
      </c>
      <c r="B874" s="13">
        <v>45915</v>
      </c>
      <c r="C874" t="s">
        <v>1872</v>
      </c>
      <c r="D874" t="s">
        <v>3590</v>
      </c>
    </row>
    <row r="875" spans="1:4" x14ac:dyDescent="0.3">
      <c r="A875">
        <v>899</v>
      </c>
      <c r="B875" s="13">
        <v>45915</v>
      </c>
      <c r="C875" t="s">
        <v>1407</v>
      </c>
      <c r="D875" t="s">
        <v>3591</v>
      </c>
    </row>
    <row r="876" spans="1:4" x14ac:dyDescent="0.3">
      <c r="A876">
        <v>900</v>
      </c>
      <c r="B876" s="13">
        <v>45915</v>
      </c>
      <c r="C876" t="s">
        <v>1152</v>
      </c>
      <c r="D876" t="s">
        <v>3592</v>
      </c>
    </row>
    <row r="877" spans="1:4" x14ac:dyDescent="0.3">
      <c r="A877">
        <v>901</v>
      </c>
      <c r="B877" s="13">
        <v>45915</v>
      </c>
      <c r="C877" t="s">
        <v>1452</v>
      </c>
      <c r="D877" t="s">
        <v>3597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185</v>
      </c>
      <c r="J1" s="283"/>
      <c r="K1" s="282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/>
    </row>
    <row r="3" spans="1:11" x14ac:dyDescent="0.3">
      <c r="A3" s="47">
        <v>2</v>
      </c>
      <c r="B3" t="s">
        <v>2608</v>
      </c>
      <c r="C3" t="s">
        <v>2609</v>
      </c>
      <c r="E3" t="s">
        <v>2610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900000</v>
      </c>
    </row>
    <row r="6" spans="1:11" x14ac:dyDescent="0.3">
      <c r="A6" s="47">
        <v>5</v>
      </c>
      <c r="B6" t="s">
        <v>1283</v>
      </c>
      <c r="C6" t="s">
        <v>2611</v>
      </c>
      <c r="E6" t="s">
        <v>2612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3875000</v>
      </c>
    </row>
    <row r="11" spans="1:1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3021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1290</v>
      </c>
      <c r="C13" t="s">
        <v>1218</v>
      </c>
      <c r="E13" t="s">
        <v>3353</v>
      </c>
      <c r="F13" t="s">
        <v>32</v>
      </c>
      <c r="G13" t="s">
        <v>3343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1291</v>
      </c>
      <c r="C14" t="s">
        <v>2515</v>
      </c>
      <c r="E14" t="s">
        <v>2516</v>
      </c>
      <c r="F14" t="s">
        <v>963</v>
      </c>
      <c r="G14" t="s">
        <v>2517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14670000.199999999</v>
      </c>
    </row>
    <row r="18" spans="1:13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3102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6515000</v>
      </c>
      <c r="M19" s="282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2694999.6999999993</v>
      </c>
    </row>
    <row r="21" spans="1:13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3226</v>
      </c>
    </row>
    <row r="22" spans="1:13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1301</v>
      </c>
      <c r="C24" t="s">
        <v>3419</v>
      </c>
      <c r="E24" t="s">
        <v>3420</v>
      </c>
      <c r="F24" t="s">
        <v>1187</v>
      </c>
      <c r="H24" s="194">
        <f>SUMIF(주문_리스트!C:C,거래처!B24,주문_리스트!K:K)+SUMIF(주문_리스트!C:C,거래처!B24,주문_리스트!L:L)</f>
        <v>0</v>
      </c>
      <c r="I24" s="52" t="s">
        <v>3555</v>
      </c>
    </row>
    <row r="25" spans="1:13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G27" t="s">
        <v>3486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3299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1210000</v>
      </c>
    </row>
    <row r="33" spans="1:9" x14ac:dyDescent="0.3">
      <c r="A33" s="47">
        <v>32</v>
      </c>
      <c r="B33" t="s">
        <v>1306</v>
      </c>
      <c r="C33" t="s">
        <v>3354</v>
      </c>
      <c r="E33" t="s">
        <v>3355</v>
      </c>
      <c r="F33" t="s">
        <v>3356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3110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5093000</v>
      </c>
    </row>
    <row r="38" spans="1:9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-9.999999962747097E-2</v>
      </c>
      <c r="I38" s="52" t="s">
        <v>3513</v>
      </c>
    </row>
    <row r="39" spans="1:9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0</v>
      </c>
      <c r="I43" s="52" t="s">
        <v>3555</v>
      </c>
    </row>
    <row r="44" spans="1:9" x14ac:dyDescent="0.3">
      <c r="A44" s="47">
        <v>43</v>
      </c>
      <c r="B44" t="s">
        <v>1315</v>
      </c>
      <c r="C44" t="s">
        <v>2662</v>
      </c>
      <c r="E44" t="s">
        <v>2663</v>
      </c>
      <c r="F44" t="s">
        <v>963</v>
      </c>
      <c r="G44" t="s">
        <v>2664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1317</v>
      </c>
      <c r="C46" t="s">
        <v>2454</v>
      </c>
      <c r="E46" t="s">
        <v>2456</v>
      </c>
      <c r="F46" t="s">
        <v>1187</v>
      </c>
      <c r="G46" t="s">
        <v>2455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1000000</v>
      </c>
    </row>
    <row r="52" spans="1:9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2644</v>
      </c>
      <c r="F54" t="s">
        <v>32</v>
      </c>
      <c r="G54" t="s">
        <v>2645</v>
      </c>
      <c r="H54" s="194">
        <f>SUMIF(주문_리스트!C:C,거래처!B54,주문_리스트!K:K)+SUMIF(주문_리스트!C:C,거래처!B54,주문_리스트!L:L)-4015000</f>
        <v>320000</v>
      </c>
    </row>
    <row r="55" spans="1:9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3299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1328</v>
      </c>
      <c r="C62" t="s">
        <v>2621</v>
      </c>
      <c r="E62" t="s">
        <v>2622</v>
      </c>
      <c r="F62" t="s">
        <v>2623</v>
      </c>
      <c r="G62" t="s">
        <v>2624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1331</v>
      </c>
      <c r="C65" t="s">
        <v>2636</v>
      </c>
      <c r="E65" t="s">
        <v>2637</v>
      </c>
      <c r="F65" t="s">
        <v>2638</v>
      </c>
      <c r="G65" t="s">
        <v>2639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400000</v>
      </c>
    </row>
    <row r="69" spans="1:10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2457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1336</v>
      </c>
      <c r="C71" t="s">
        <v>2518</v>
      </c>
      <c r="E71" t="s">
        <v>2519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300000</v>
      </c>
    </row>
    <row r="73" spans="1:10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3368</v>
      </c>
      <c r="J73" t="s">
        <v>3393</v>
      </c>
    </row>
    <row r="74" spans="1:10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</row>
    <row r="77" spans="1:10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1320000</v>
      </c>
    </row>
    <row r="78" spans="1:10" x14ac:dyDescent="0.3">
      <c r="A78" s="47">
        <v>77</v>
      </c>
      <c r="B78" t="s">
        <v>1342</v>
      </c>
      <c r="C78" t="s">
        <v>3436</v>
      </c>
      <c r="E78" t="s">
        <v>3437</v>
      </c>
      <c r="F78" t="s">
        <v>963</v>
      </c>
      <c r="G78" t="s">
        <v>3438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4150000</v>
      </c>
    </row>
    <row r="80" spans="1:10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1346</v>
      </c>
      <c r="C82" t="s">
        <v>3409</v>
      </c>
      <c r="E82" t="s">
        <v>3410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3109</v>
      </c>
      <c r="K82" t="s">
        <v>3430</v>
      </c>
    </row>
    <row r="83" spans="1:1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1500000</v>
      </c>
    </row>
    <row r="85" spans="1:1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3139</v>
      </c>
    </row>
    <row r="86" spans="1:1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1330000</v>
      </c>
    </row>
    <row r="90" spans="1:1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2965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0</v>
      </c>
      <c r="K94">
        <v>-154</v>
      </c>
    </row>
    <row r="95" spans="1:1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1210000</v>
      </c>
    </row>
    <row r="96" spans="1:1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1782000</v>
      </c>
    </row>
    <row r="98" spans="1:9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3525</v>
      </c>
      <c r="H99" s="194">
        <f>SUMIF(주문_리스트!C:C,거래처!B99,주문_리스트!K:K)+SUMIF(주문_리스트!C:C,거래처!B99,주문_리스트!L:L)</f>
        <v>0</v>
      </c>
      <c r="I99" s="52" t="s">
        <v>3555</v>
      </c>
    </row>
    <row r="100" spans="1:9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3555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3555</v>
      </c>
    </row>
    <row r="102" spans="1:9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3148</v>
      </c>
      <c r="C107" t="s">
        <v>3149</v>
      </c>
      <c r="E107" t="s">
        <v>3150</v>
      </c>
      <c r="F107" t="s">
        <v>963</v>
      </c>
      <c r="G107" t="s">
        <v>3151</v>
      </c>
      <c r="H107" s="194">
        <f>SUMIF(주문_리스트!C:C,거래처!B107,주문_리스트!K:K)+SUMIF(주문_리스트!C:C,거래처!B107,주문_리스트!L:L)-450000</f>
        <v>0</v>
      </c>
      <c r="I107" s="52" t="s">
        <v>3299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</row>
    <row r="111" spans="1:9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1550000</v>
      </c>
    </row>
    <row r="113" spans="1:9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1550000</v>
      </c>
    </row>
    <row r="114" spans="1:9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0</v>
      </c>
      <c r="I114" s="52" t="s">
        <v>3281</v>
      </c>
    </row>
    <row r="115" spans="1:9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0</v>
      </c>
      <c r="I116" s="52" t="s">
        <v>3513</v>
      </c>
    </row>
    <row r="117" spans="1:9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SUMIF(주문_리스트!C:C,거래처!B117,주문_리스트!K:K)+SUMIF(주문_리스트!C:C,거래처!B117,주문_리스트!L:L)</f>
        <v>0</v>
      </c>
      <c r="I117" s="52" t="s">
        <v>2881</v>
      </c>
    </row>
    <row r="118" spans="1:9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2503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8470000</v>
      </c>
    </row>
    <row r="126" spans="1:9" x14ac:dyDescent="0.3">
      <c r="A126" s="47">
        <v>125</v>
      </c>
      <c r="B126" t="s">
        <v>1849</v>
      </c>
      <c r="C126" t="s">
        <v>3116</v>
      </c>
      <c r="E126" t="s">
        <v>3117</v>
      </c>
      <c r="F126" t="s">
        <v>963</v>
      </c>
      <c r="G126" t="s">
        <v>3118</v>
      </c>
      <c r="H126" s="194">
        <v>0</v>
      </c>
    </row>
    <row r="127" spans="1:9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2802</v>
      </c>
      <c r="C132" t="s">
        <v>2803</v>
      </c>
      <c r="E132" t="s">
        <v>2804</v>
      </c>
      <c r="F132" t="s">
        <v>2805</v>
      </c>
      <c r="G132" t="s">
        <v>2806</v>
      </c>
      <c r="H132" s="194">
        <f>SUMIF(주문_리스트!C:C,거래처!B132,주문_리스트!K:K)+SUMIF(주문_리스트!C:C,거래처!B132,주문_리스트!L:L)</f>
        <v>0</v>
      </c>
      <c r="I132" s="52" t="s">
        <v>3555</v>
      </c>
    </row>
    <row r="133" spans="1:9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3332</v>
      </c>
    </row>
    <row r="135" spans="1:9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3139</v>
      </c>
    </row>
    <row r="137" spans="1:9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2775</v>
      </c>
      <c r="C138" t="s">
        <v>2776</v>
      </c>
      <c r="E138" t="s">
        <v>2777</v>
      </c>
      <c r="F138" t="s">
        <v>2778</v>
      </c>
      <c r="G138" t="s">
        <v>2779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2480</v>
      </c>
      <c r="C144" t="s">
        <v>2481</v>
      </c>
      <c r="E144" t="s">
        <v>2483</v>
      </c>
      <c r="F144" t="s">
        <v>2482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2484</v>
      </c>
      <c r="C145" t="s">
        <v>2966</v>
      </c>
      <c r="E145" t="s">
        <v>2967</v>
      </c>
      <c r="F145" t="s">
        <v>963</v>
      </c>
      <c r="G145" t="s">
        <v>2968</v>
      </c>
      <c r="H145" s="194">
        <f>SUMIF(주문_리스트!C:C,거래처!B145,주문_리스트!K:K)+SUMIF(주문_리스트!C:C,거래처!B145,주문_리스트!L:L)</f>
        <v>-200000</v>
      </c>
      <c r="K145" t="s">
        <v>3431</v>
      </c>
    </row>
    <row r="146" spans="1:11" x14ac:dyDescent="0.3">
      <c r="A146" s="47">
        <v>145</v>
      </c>
      <c r="B146" t="s">
        <v>2499</v>
      </c>
      <c r="C146" t="s">
        <v>2500</v>
      </c>
      <c r="E146" t="s">
        <v>2501</v>
      </c>
      <c r="F146" t="s">
        <v>963</v>
      </c>
      <c r="G146" t="s">
        <v>2502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2695</v>
      </c>
      <c r="C147" t="s">
        <v>2693</v>
      </c>
      <c r="E147" t="s">
        <v>2694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2575</v>
      </c>
      <c r="C148" t="s">
        <v>2576</v>
      </c>
      <c r="E148" t="s">
        <v>2577</v>
      </c>
      <c r="F148" t="s">
        <v>977</v>
      </c>
      <c r="G148" t="s">
        <v>2578</v>
      </c>
      <c r="H148" s="194">
        <f>SUMIF(주문_리스트!C:C,거래처!B148,주문_리스트!K:K)+SUMIF(주문_리스트!C:C,거래처!B148,주문_리스트!L:L)</f>
        <v>0</v>
      </c>
    </row>
    <row r="149" spans="1:11" x14ac:dyDescent="0.3">
      <c r="A149" s="47">
        <v>148</v>
      </c>
      <c r="B149" t="s">
        <v>2651</v>
      </c>
      <c r="C149" t="s">
        <v>2652</v>
      </c>
      <c r="D149" t="s">
        <v>2653</v>
      </c>
      <c r="E149" t="s">
        <v>2654</v>
      </c>
      <c r="F149" t="s">
        <v>32</v>
      </c>
      <c r="G149" t="s">
        <v>2655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2722</v>
      </c>
      <c r="C150" t="s">
        <v>2723</v>
      </c>
      <c r="E150" t="s">
        <v>2724</v>
      </c>
      <c r="F150" t="s">
        <v>963</v>
      </c>
      <c r="G150" t="s">
        <v>2725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2750</v>
      </c>
      <c r="C151" t="s">
        <v>2751</v>
      </c>
      <c r="E151" t="s">
        <v>2752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2760</v>
      </c>
      <c r="C152" t="s">
        <v>2761</v>
      </c>
      <c r="E152" t="s">
        <v>2762</v>
      </c>
      <c r="F152" t="s">
        <v>963</v>
      </c>
      <c r="G152" t="s">
        <v>2763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2780</v>
      </c>
      <c r="C153" t="s">
        <v>2781</v>
      </c>
      <c r="E153" t="s">
        <v>2782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2787</v>
      </c>
      <c r="C154" t="s">
        <v>2788</v>
      </c>
      <c r="E154" t="s">
        <v>2789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2807</v>
      </c>
      <c r="C155" t="s">
        <v>2808</v>
      </c>
      <c r="E155" t="s">
        <v>2809</v>
      </c>
      <c r="F155" t="s">
        <v>1187</v>
      </c>
      <c r="G155" t="s">
        <v>2810</v>
      </c>
      <c r="H155" s="194">
        <f>SUMIF(주문_리스트!C:C,거래처!B155,주문_리스트!K:K)+SUMIF(주문_리스트!C:C,거래처!B155,주문_리스트!L:L)</f>
        <v>0</v>
      </c>
      <c r="I155" s="52" t="s">
        <v>3102</v>
      </c>
    </row>
    <row r="156" spans="1:11" x14ac:dyDescent="0.3">
      <c r="A156" s="47">
        <v>155</v>
      </c>
      <c r="B156" t="s">
        <v>2827</v>
      </c>
      <c r="C156" t="s">
        <v>2828</v>
      </c>
      <c r="E156" t="s">
        <v>2829</v>
      </c>
      <c r="F156" t="s">
        <v>977</v>
      </c>
      <c r="G156" t="s">
        <v>2830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2878</v>
      </c>
      <c r="C157" t="s">
        <v>2884</v>
      </c>
      <c r="E157" t="s">
        <v>2885</v>
      </c>
      <c r="F157" t="s">
        <v>977</v>
      </c>
      <c r="G157" t="s">
        <v>3282</v>
      </c>
      <c r="H157" s="194">
        <f>SUMIF(주문_리스트!C:C,거래처!B157,주문_리스트!K:K)+SUMIF(주문_리스트!C:C,거래처!B157,주문_리스트!L:L)</f>
        <v>0</v>
      </c>
    </row>
    <row r="158" spans="1:11" x14ac:dyDescent="0.3">
      <c r="A158" s="47">
        <v>157</v>
      </c>
      <c r="B158" t="s">
        <v>2887</v>
      </c>
      <c r="C158" t="s">
        <v>2888</v>
      </c>
      <c r="E158" t="s">
        <v>2889</v>
      </c>
      <c r="F158" t="s">
        <v>1187</v>
      </c>
      <c r="G158" t="s">
        <v>2898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2891</v>
      </c>
      <c r="C159" t="s">
        <v>2892</v>
      </c>
      <c r="E159" t="s">
        <v>2893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2908</v>
      </c>
      <c r="C160" t="s">
        <v>2909</v>
      </c>
      <c r="E160" t="s">
        <v>2910</v>
      </c>
      <c r="F160" t="s">
        <v>963</v>
      </c>
      <c r="G160" t="s">
        <v>2911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2914</v>
      </c>
      <c r="C161" t="s">
        <v>2915</v>
      </c>
      <c r="E161" t="s">
        <v>2916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2934</v>
      </c>
      <c r="C162" t="s">
        <v>2935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900000</v>
      </c>
    </row>
    <row r="163" spans="1:9" x14ac:dyDescent="0.3">
      <c r="A163" s="47">
        <v>162</v>
      </c>
      <c r="B163" t="s">
        <v>2948</v>
      </c>
      <c r="C163" t="s">
        <v>2949</v>
      </c>
      <c r="E163" t="s">
        <v>2950</v>
      </c>
      <c r="F163" t="s">
        <v>977</v>
      </c>
      <c r="G163" t="s">
        <v>2951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2953</v>
      </c>
      <c r="C164" t="s">
        <v>2954</v>
      </c>
      <c r="E164" t="s">
        <v>2955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2965</v>
      </c>
    </row>
    <row r="165" spans="1:9" x14ac:dyDescent="0.3">
      <c r="A165" s="47">
        <v>164</v>
      </c>
      <c r="B165" t="s">
        <v>2960</v>
      </c>
      <c r="C165" t="s">
        <v>2949</v>
      </c>
      <c r="E165" t="s">
        <v>2950</v>
      </c>
      <c r="F165" t="s">
        <v>977</v>
      </c>
      <c r="G165" t="s">
        <v>2951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2982</v>
      </c>
      <c r="C166" t="s">
        <v>2983</v>
      </c>
      <c r="E166" t="s">
        <v>2984</v>
      </c>
      <c r="F166" t="s">
        <v>963</v>
      </c>
      <c r="G166" t="s">
        <v>2985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3040</v>
      </c>
      <c r="C167" t="s">
        <v>3041</v>
      </c>
      <c r="E167" t="s">
        <v>3042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3048</v>
      </c>
      <c r="C168" t="s">
        <v>3049</v>
      </c>
      <c r="D168" t="s">
        <v>3050</v>
      </c>
      <c r="E168" t="s">
        <v>3051</v>
      </c>
      <c r="F168" t="s">
        <v>977</v>
      </c>
      <c r="G168" t="s">
        <v>3052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3096</v>
      </c>
      <c r="C169" t="s">
        <v>3097</v>
      </c>
      <c r="E169" t="s">
        <v>3098</v>
      </c>
      <c r="F169" t="s">
        <v>977</v>
      </c>
      <c r="G169" t="s">
        <v>3099</v>
      </c>
      <c r="H169" s="194">
        <f>SUMIF(주문_리스트!C:C,거래처!B169,주문_리스트!K:K)+SUMIF(주문_리스트!C:C,거래처!B169,주문_리스트!L:L)</f>
        <v>0</v>
      </c>
      <c r="I169" s="52" t="s">
        <v>3102</v>
      </c>
    </row>
    <row r="170" spans="1:9" x14ac:dyDescent="0.3">
      <c r="A170" s="47">
        <v>169</v>
      </c>
      <c r="B170" t="s">
        <v>3140</v>
      </c>
      <c r="C170" t="s">
        <v>3141</v>
      </c>
      <c r="E170" t="s">
        <v>3142</v>
      </c>
      <c r="F170" t="s">
        <v>963</v>
      </c>
      <c r="G170" t="s">
        <v>3143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3171</v>
      </c>
      <c r="C171" t="s">
        <v>3172</v>
      </c>
      <c r="E171" t="s">
        <v>3173</v>
      </c>
      <c r="F171" t="s">
        <v>977</v>
      </c>
      <c r="G171" t="s">
        <v>3174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3203</v>
      </c>
      <c r="C172" t="s">
        <v>3204</v>
      </c>
      <c r="E172" t="s">
        <v>3205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3207</v>
      </c>
      <c r="C173" t="s">
        <v>3208</v>
      </c>
      <c r="E173" t="s">
        <v>3209</v>
      </c>
      <c r="F173" t="s">
        <v>32</v>
      </c>
      <c r="G173" t="s">
        <v>3214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3230</v>
      </c>
      <c r="C174" t="s">
        <v>3231</v>
      </c>
      <c r="E174" t="s">
        <v>3232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3286</v>
      </c>
      <c r="C175" t="s">
        <v>3287</v>
      </c>
      <c r="E175" t="s">
        <v>3288</v>
      </c>
      <c r="F175" t="s">
        <v>1187</v>
      </c>
      <c r="G175" t="s">
        <v>2810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3292</v>
      </c>
      <c r="C176" t="s">
        <v>3293</v>
      </c>
      <c r="E176" t="s">
        <v>3294</v>
      </c>
      <c r="F176" t="s">
        <v>1187</v>
      </c>
      <c r="G176" t="s">
        <v>3295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3317</v>
      </c>
      <c r="C177" t="s">
        <v>3318</v>
      </c>
      <c r="E177" t="s">
        <v>3319</v>
      </c>
      <c r="F177" t="s">
        <v>977</v>
      </c>
      <c r="G177" t="s">
        <v>3320</v>
      </c>
      <c r="H177" s="194">
        <f>SUMIF(주문_리스트!C:C,거래처!B177,주문_리스트!K:K)+SUMIF(주문_리스트!C:C,거래처!B177,주문_리스트!L:L)</f>
        <v>0</v>
      </c>
      <c r="K177" t="s">
        <v>3430</v>
      </c>
    </row>
    <row r="178" spans="1:11" x14ac:dyDescent="0.3">
      <c r="A178" s="47">
        <v>177</v>
      </c>
      <c r="B178" t="s">
        <v>3377</v>
      </c>
      <c r="C178" t="s">
        <v>3378</v>
      </c>
      <c r="E178" t="s">
        <v>3379</v>
      </c>
      <c r="F178" t="s">
        <v>3380</v>
      </c>
      <c r="G178" t="s">
        <v>3381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3432</v>
      </c>
      <c r="C179" t="s">
        <v>3433</v>
      </c>
      <c r="E179" t="s">
        <v>3434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3481</v>
      </c>
      <c r="C180" t="s">
        <v>3482</v>
      </c>
      <c r="E180" t="s">
        <v>3483</v>
      </c>
      <c r="F180" t="s">
        <v>3484</v>
      </c>
      <c r="G180" t="s">
        <v>3485</v>
      </c>
      <c r="H180" s="194">
        <f>SUMIF(주문_리스트!C:C,거래처!B180,주문_리스트!K:K)+SUMIF(주문_리스트!C:C,거래처!B180,주문_리스트!L:L)</f>
        <v>0</v>
      </c>
      <c r="I180" s="52" t="s">
        <v>2881</v>
      </c>
    </row>
    <row r="181" spans="1:11" x14ac:dyDescent="0.3">
      <c r="A181" s="47">
        <v>180</v>
      </c>
      <c r="B181" t="s">
        <v>3488</v>
      </c>
      <c r="C181" t="s">
        <v>3489</v>
      </c>
      <c r="E181" t="s">
        <v>3490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3492</v>
      </c>
      <c r="C182" t="s">
        <v>3493</v>
      </c>
      <c r="E182" t="s">
        <v>3494</v>
      </c>
      <c r="F182" t="s">
        <v>1187</v>
      </c>
      <c r="G182" t="s">
        <v>2810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3535</v>
      </c>
      <c r="C183" t="s">
        <v>3536</v>
      </c>
      <c r="E183" t="s">
        <v>3540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3555</v>
      </c>
    </row>
    <row r="184" spans="1:11" x14ac:dyDescent="0.3">
      <c r="A184" s="47">
        <v>184</v>
      </c>
      <c r="B184" t="s">
        <v>3577</v>
      </c>
      <c r="C184" t="s">
        <v>3578</v>
      </c>
      <c r="E184" t="s">
        <v>3579</v>
      </c>
      <c r="F184" t="s">
        <v>1187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H185" s="194">
        <f>SUMIF(주문_리스트!C:C,거래처!B185,주문_리스트!K:K)+SUMIF(주문_리스트!C:C,거래처!B185,주문_리스트!L:L)</f>
        <v>0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0"/>
  <sheetViews>
    <sheetView zoomScale="115" zoomScaleNormal="115" workbookViewId="0">
      <pane xSplit="2" ySplit="1" topLeftCell="C17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E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4.37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231</v>
      </c>
    </row>
    <row r="2" spans="1:11" x14ac:dyDescent="0.3">
      <c r="A2">
        <v>1</v>
      </c>
      <c r="B2">
        <v>2</v>
      </c>
      <c r="C2" s="288">
        <v>28120504</v>
      </c>
      <c r="D2" s="288" t="s">
        <v>2533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2207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1963</v>
      </c>
      <c r="D5" s="288" t="s">
        <v>1962</v>
      </c>
      <c r="E5" s="288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1752</v>
      </c>
      <c r="F8" s="52">
        <v>650000</v>
      </c>
      <c r="H8">
        <f>SUMIF(재고!D:D,제품!D8,재고!G:G)-SUMIF(주문_리스트!E:E,제품!D8,주문_리스트!H:H)</f>
        <v>-36</v>
      </c>
      <c r="I8"/>
    </row>
    <row r="9" spans="1:11" x14ac:dyDescent="0.3">
      <c r="A9">
        <v>8</v>
      </c>
      <c r="B9">
        <v>2</v>
      </c>
      <c r="D9" s="288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2536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1662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2700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2704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-17</v>
      </c>
    </row>
    <row r="18" spans="1:9" x14ac:dyDescent="0.3">
      <c r="A18">
        <v>17</v>
      </c>
      <c r="D18" s="288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1205</v>
      </c>
      <c r="D23" s="288" t="s">
        <v>2209</v>
      </c>
      <c r="E23" s="288" t="s">
        <v>1205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1206</v>
      </c>
      <c r="D24" s="288" t="s">
        <v>2209</v>
      </c>
      <c r="E24" s="288" t="s">
        <v>1206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1207</v>
      </c>
      <c r="D25" s="288" t="s">
        <v>2198</v>
      </c>
      <c r="E25" s="288" t="s">
        <v>1207</v>
      </c>
      <c r="F25" s="52">
        <v>1400000</v>
      </c>
      <c r="H25">
        <f>SUMIF(재고!D:D,제품!D25,재고!G:G)-SUMIF(주문_리스트!E:E,제품!D25,주문_리스트!H:H)</f>
        <v>-16</v>
      </c>
    </row>
    <row r="26" spans="1:9" x14ac:dyDescent="0.3">
      <c r="A26">
        <v>25</v>
      </c>
      <c r="B26">
        <v>3</v>
      </c>
      <c r="C26" s="288" t="s">
        <v>1208</v>
      </c>
      <c r="D26" s="288" t="s">
        <v>2192</v>
      </c>
      <c r="E26" s="288" t="s">
        <v>1208</v>
      </c>
      <c r="F26" s="52">
        <v>1500000</v>
      </c>
      <c r="H26">
        <f>SUMIF(재고!D:D,제품!D26,재고!G:G)-SUMIF(주문_리스트!E:E,제품!D26,주문_리스트!H:H)</f>
        <v>-77</v>
      </c>
    </row>
    <row r="27" spans="1:9" x14ac:dyDescent="0.3">
      <c r="A27">
        <v>26</v>
      </c>
      <c r="B27">
        <v>3</v>
      </c>
      <c r="C27" s="288" t="s">
        <v>2006</v>
      </c>
      <c r="D27" s="288" t="s">
        <v>1653</v>
      </c>
      <c r="E27" s="288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1228</v>
      </c>
      <c r="D28" s="288" t="s">
        <v>1226</v>
      </c>
      <c r="E28" s="288" t="s">
        <v>1228</v>
      </c>
      <c r="F28" s="52">
        <v>1400000</v>
      </c>
      <c r="H28">
        <f>SUMIF(재고!D:D,제품!D28,재고!G:G)-SUMIF(주문_리스트!E:E,제품!D28,주문_리스트!H:H)</f>
        <v>-88</v>
      </c>
      <c r="I28" s="52">
        <v>5000</v>
      </c>
    </row>
    <row r="29" spans="1:9" x14ac:dyDescent="0.3">
      <c r="A29">
        <v>28</v>
      </c>
      <c r="B29">
        <v>1</v>
      </c>
      <c r="C29" s="288" t="s">
        <v>1211</v>
      </c>
      <c r="D29" s="288" t="s">
        <v>1212</v>
      </c>
      <c r="E29" s="288" t="s">
        <v>1211</v>
      </c>
      <c r="F29" s="52">
        <v>1200000</v>
      </c>
      <c r="H29">
        <f>SUMIF(재고!D:D,제품!D29,재고!G:G)-SUMIF(주문_리스트!E:E,제품!D29,주문_리스트!H:H)</f>
        <v>-24</v>
      </c>
    </row>
    <row r="30" spans="1:9" x14ac:dyDescent="0.3">
      <c r="A30">
        <v>29</v>
      </c>
      <c r="B30">
        <v>1</v>
      </c>
      <c r="C30" s="288" t="s">
        <v>1213</v>
      </c>
      <c r="D30" s="288" t="s">
        <v>1212</v>
      </c>
      <c r="E30" s="288" t="s">
        <v>1213</v>
      </c>
      <c r="F30" s="52">
        <v>1200000</v>
      </c>
      <c r="H30">
        <f>SUMIF(재고!D:D,제품!D30,재고!G:G)-SUMIF(주문_리스트!E:E,제품!D30,주문_리스트!H:H)</f>
        <v>-24</v>
      </c>
    </row>
    <row r="31" spans="1:9" x14ac:dyDescent="0.3">
      <c r="A31">
        <v>30</v>
      </c>
      <c r="B31">
        <v>3</v>
      </c>
      <c r="C31" s="288" t="s">
        <v>1769</v>
      </c>
      <c r="D31" s="288" t="s">
        <v>3496</v>
      </c>
      <c r="E31" s="288" t="s">
        <v>1769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1217</v>
      </c>
      <c r="D32" s="288" t="s">
        <v>1216</v>
      </c>
      <c r="E32" s="288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1219</v>
      </c>
      <c r="D33" s="288" t="s">
        <v>2478</v>
      </c>
      <c r="E33" s="288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2592</v>
      </c>
      <c r="D34" s="288" t="s">
        <v>2593</v>
      </c>
      <c r="E34" s="288" t="s">
        <v>2592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1222</v>
      </c>
      <c r="D35" s="288" t="s">
        <v>2191</v>
      </c>
      <c r="E35" s="288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1223</v>
      </c>
      <c r="D36" s="288" t="s">
        <v>1654</v>
      </c>
      <c r="E36" s="288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88" t="s">
        <v>1230</v>
      </c>
      <c r="D37" s="288" t="s">
        <v>1373</v>
      </c>
      <c r="E37" s="288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88" t="s">
        <v>1264</v>
      </c>
      <c r="D38" s="288" t="s">
        <v>1265</v>
      </c>
      <c r="E38" s="288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1686</v>
      </c>
      <c r="D39" s="288" t="s">
        <v>2200</v>
      </c>
      <c r="E39" s="288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-22</v>
      </c>
    </row>
    <row r="40" spans="1:8" x14ac:dyDescent="0.3">
      <c r="A40">
        <v>39</v>
      </c>
      <c r="B40">
        <v>2</v>
      </c>
      <c r="C40" s="288" t="s">
        <v>1735</v>
      </c>
      <c r="D40" s="288" t="s">
        <v>1736</v>
      </c>
      <c r="E40" s="288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2201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2738</v>
      </c>
      <c r="D47" s="288" t="s">
        <v>2350</v>
      </c>
      <c r="E47" s="288" t="s">
        <v>2738</v>
      </c>
      <c r="F47" s="52">
        <v>350000</v>
      </c>
      <c r="H47">
        <f>SUMIF(재고!D:D,제품!D47,재고!G:G)-SUMIF(주문_리스트!E:E,제품!D47,주문_리스트!H:H)</f>
        <v>-38</v>
      </c>
    </row>
    <row r="48" spans="1:8" x14ac:dyDescent="0.3">
      <c r="A48">
        <v>47</v>
      </c>
      <c r="D48" s="288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1527</v>
      </c>
      <c r="F50" s="52">
        <v>20000</v>
      </c>
      <c r="H50">
        <f>SUMIF(재고!D:D,제품!D50,재고!G:G)-SUMIF(주문_리스트!E:E,제품!D50,주문_리스트!H:H)</f>
        <v>-22</v>
      </c>
    </row>
    <row r="51" spans="1:9" x14ac:dyDescent="0.3">
      <c r="A51">
        <v>50</v>
      </c>
      <c r="D51" s="288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1543</v>
      </c>
      <c r="F54" s="52">
        <v>450000</v>
      </c>
      <c r="H54">
        <f>SUMIF(재고!D:D,제품!D54,재고!G:G)-SUMIF(주문_리스트!E:E,제품!D54,주문_리스트!H:H)</f>
        <v>-11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1828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-12</v>
      </c>
      <c r="I55" s="52" t="s">
        <v>1829</v>
      </c>
    </row>
    <row r="56" spans="1:9" x14ac:dyDescent="0.3">
      <c r="A56">
        <v>55</v>
      </c>
      <c r="B56">
        <v>10</v>
      </c>
      <c r="D56" s="288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1655</v>
      </c>
      <c r="D57" s="288" t="s">
        <v>1981</v>
      </c>
      <c r="E57" s="288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1217</v>
      </c>
      <c r="D58" s="288" t="s">
        <v>1434</v>
      </c>
      <c r="E58" s="288" t="s">
        <v>1217</v>
      </c>
      <c r="F58" s="52">
        <v>1000000</v>
      </c>
      <c r="H58">
        <f>SUMIF(재고!D:D,제품!D58,재고!G:G)-SUMIF(주문_리스트!E:E,제품!D58,주문_리스트!H:H)</f>
        <v>-24</v>
      </c>
    </row>
    <row r="59" spans="1:9" x14ac:dyDescent="0.3">
      <c r="A59">
        <v>58</v>
      </c>
      <c r="B59">
        <v>3</v>
      </c>
      <c r="C59" s="288" t="s">
        <v>2766</v>
      </c>
      <c r="D59" s="288" t="s">
        <v>2218</v>
      </c>
      <c r="E59" s="288" t="s">
        <v>2766</v>
      </c>
      <c r="F59" s="52">
        <v>1100000</v>
      </c>
      <c r="H59">
        <f>SUMIF(재고!D:D,제품!D59,재고!G:G)-SUMIF(주문_리스트!E:E,제품!D59,주문_리스트!H:H)</f>
        <v>-9</v>
      </c>
    </row>
    <row r="60" spans="1:9" x14ac:dyDescent="0.3">
      <c r="A60">
        <v>59</v>
      </c>
      <c r="B60">
        <v>1</v>
      </c>
      <c r="C60" s="288" t="s">
        <v>1657</v>
      </c>
      <c r="D60" s="288" t="s">
        <v>1656</v>
      </c>
      <c r="E60" s="288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88" t="s">
        <v>1658</v>
      </c>
      <c r="D61" s="288" t="s">
        <v>1659</v>
      </c>
      <c r="E61" s="288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2702</v>
      </c>
      <c r="E62" s="288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88">
        <v>415090409</v>
      </c>
      <c r="D63" s="288" t="s">
        <v>2536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2537</v>
      </c>
    </row>
    <row r="64" spans="1:9" x14ac:dyDescent="0.3">
      <c r="A64">
        <v>63</v>
      </c>
      <c r="C64" s="288" t="s">
        <v>1634</v>
      </c>
      <c r="D64" s="288" t="s">
        <v>1635</v>
      </c>
      <c r="E64" s="288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2202</v>
      </c>
      <c r="E67" s="288">
        <v>50228</v>
      </c>
      <c r="F67" s="52">
        <v>110000</v>
      </c>
      <c r="H67">
        <f>SUMIF(재고!D:D,제품!D67,재고!G:G)-SUMIF(주문_리스트!E:E,제품!D67,주문_리스트!H:H)</f>
        <v>-32</v>
      </c>
    </row>
    <row r="68" spans="1:9" x14ac:dyDescent="0.3">
      <c r="A68">
        <v>67</v>
      </c>
      <c r="B68">
        <v>4</v>
      </c>
      <c r="C68" s="288">
        <v>50229</v>
      </c>
      <c r="D68" s="288" t="s">
        <v>2202</v>
      </c>
      <c r="E68" s="288">
        <v>50229</v>
      </c>
      <c r="F68" s="52">
        <v>75000</v>
      </c>
      <c r="H68">
        <f>SUMIF(재고!D:D,제품!D68,재고!G:G)-SUMIF(주문_리스트!E:E,제품!D68,주문_리스트!H:H)</f>
        <v>-32</v>
      </c>
    </row>
    <row r="69" spans="1:9" x14ac:dyDescent="0.3">
      <c r="A69">
        <v>68</v>
      </c>
      <c r="D69" s="288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2594</v>
      </c>
      <c r="D73" s="288" t="s">
        <v>2595</v>
      </c>
      <c r="E73" s="288" t="s">
        <v>2594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1687</v>
      </c>
      <c r="D74" s="288" t="s">
        <v>2210</v>
      </c>
      <c r="E74" s="288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1778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288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288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1701</v>
      </c>
      <c r="D78" s="288" t="s">
        <v>1716</v>
      </c>
      <c r="E78" s="288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288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1695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1705</v>
      </c>
    </row>
    <row r="81" spans="1:9" x14ac:dyDescent="0.3">
      <c r="A81">
        <v>80</v>
      </c>
      <c r="D81" s="288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288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1709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1714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88" t="s">
        <v>2768</v>
      </c>
      <c r="D86" s="288" t="s">
        <v>2755</v>
      </c>
      <c r="E86" s="288" t="s">
        <v>2768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1712</v>
      </c>
      <c r="D87" s="288" t="s">
        <v>1713</v>
      </c>
      <c r="E87" s="288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1723</v>
      </c>
      <c r="D88" s="288" t="s">
        <v>1724</v>
      </c>
      <c r="E88" s="288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88">
        <v>2800802</v>
      </c>
      <c r="D89" s="288" t="s">
        <v>1731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-37</v>
      </c>
    </row>
    <row r="90" spans="1:9" x14ac:dyDescent="0.3">
      <c r="A90">
        <v>89</v>
      </c>
      <c r="B90">
        <v>2</v>
      </c>
      <c r="C90" s="288">
        <v>2800801</v>
      </c>
      <c r="D90" s="288" t="s">
        <v>1732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1726</v>
      </c>
      <c r="D91" s="288" t="s">
        <v>2236</v>
      </c>
      <c r="E91" s="288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2237</v>
      </c>
    </row>
    <row r="92" spans="1:9" x14ac:dyDescent="0.3">
      <c r="A92">
        <v>91</v>
      </c>
      <c r="B92">
        <v>3</v>
      </c>
      <c r="C92" s="288" t="s">
        <v>1728</v>
      </c>
      <c r="D92" s="288" t="s">
        <v>2195</v>
      </c>
      <c r="E92" s="288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288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1740</v>
      </c>
      <c r="D94" s="288" t="s">
        <v>2203</v>
      </c>
      <c r="E94" s="288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-27</v>
      </c>
    </row>
    <row r="95" spans="1:9" x14ac:dyDescent="0.3">
      <c r="A95">
        <v>94</v>
      </c>
      <c r="B95">
        <v>3</v>
      </c>
      <c r="C95" s="288" t="s">
        <v>1741</v>
      </c>
      <c r="D95" s="288" t="s">
        <v>2204</v>
      </c>
      <c r="E95" s="288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-32</v>
      </c>
      <c r="I95" s="52" t="s">
        <v>1790</v>
      </c>
    </row>
    <row r="96" spans="1:9" x14ac:dyDescent="0.3">
      <c r="A96">
        <v>95</v>
      </c>
      <c r="B96">
        <v>3</v>
      </c>
      <c r="C96" s="288" t="s">
        <v>1791</v>
      </c>
      <c r="D96" s="288" t="s">
        <v>2205</v>
      </c>
      <c r="E96" s="288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1742</v>
      </c>
      <c r="D97" s="288" t="s">
        <v>1743</v>
      </c>
      <c r="E97" s="288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1744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2852</v>
      </c>
      <c r="D99" s="288" t="s">
        <v>2510</v>
      </c>
      <c r="E99" s="288" t="s">
        <v>2852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1746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1746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1749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1749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88" t="s">
        <v>1764</v>
      </c>
      <c r="D104" s="288" t="s">
        <v>2193</v>
      </c>
      <c r="E104" s="288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-58</v>
      </c>
      <c r="I104" s="52" t="s">
        <v>1765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1838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1761</v>
      </c>
      <c r="D106" s="288" t="s">
        <v>1210</v>
      </c>
      <c r="E106" s="288" t="s">
        <v>1761</v>
      </c>
      <c r="F106" s="52">
        <v>1200000</v>
      </c>
      <c r="H106">
        <f>SUMIF(재고!D:D,제품!D106,재고!G:G)-SUMIF(주문_리스트!E:E,제품!D106,주문_리스트!H:H)</f>
        <v>-88</v>
      </c>
      <c r="I106" s="52" t="s">
        <v>1762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1767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2100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1772</v>
      </c>
      <c r="D109" s="288" t="s">
        <v>1773</v>
      </c>
      <c r="E109" s="288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88" t="s">
        <v>1775</v>
      </c>
      <c r="D110" s="288" t="s">
        <v>1773</v>
      </c>
      <c r="E110" s="288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88" t="s">
        <v>1777</v>
      </c>
      <c r="D111" s="288" t="s">
        <v>1569</v>
      </c>
      <c r="E111" s="288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1826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2250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1826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1557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-12</v>
      </c>
      <c r="I115" s="52" t="s">
        <v>1830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1840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1862</v>
      </c>
      <c r="D117" s="288" t="s">
        <v>1863</v>
      </c>
      <c r="E117" s="288" t="s">
        <v>1862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1865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2536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2842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1884</v>
      </c>
      <c r="D120" s="288" t="s">
        <v>1885</v>
      </c>
      <c r="E120" s="288" t="s">
        <v>1884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1886</v>
      </c>
    </row>
    <row r="121" spans="1:9" x14ac:dyDescent="0.3">
      <c r="A121">
        <v>120</v>
      </c>
      <c r="B121">
        <v>3</v>
      </c>
      <c r="D121" s="288" t="s">
        <v>1904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1924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1922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1924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1923</v>
      </c>
    </row>
    <row r="124" spans="1:9" x14ac:dyDescent="0.3">
      <c r="A124">
        <v>123</v>
      </c>
      <c r="B124">
        <v>4</v>
      </c>
      <c r="C124" s="288" t="s">
        <v>2066</v>
      </c>
      <c r="D124" s="288" t="s">
        <v>2067</v>
      </c>
      <c r="E124" s="288" t="s">
        <v>2066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1930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1934</v>
      </c>
      <c r="D126" s="288" t="s">
        <v>1589</v>
      </c>
      <c r="E126" s="288" t="s">
        <v>1934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1950</v>
      </c>
      <c r="D127" s="288" t="s">
        <v>1951</v>
      </c>
      <c r="E127" s="288" t="s">
        <v>1950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1952</v>
      </c>
    </row>
    <row r="128" spans="1:9" x14ac:dyDescent="0.3">
      <c r="A128">
        <v>127</v>
      </c>
      <c r="B128">
        <v>12</v>
      </c>
      <c r="C128" s="288" t="s">
        <v>1948</v>
      </c>
      <c r="D128" s="288" t="s">
        <v>1949</v>
      </c>
      <c r="E128" s="288" t="s">
        <v>1948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2536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1961</v>
      </c>
      <c r="D130" s="288" t="s">
        <v>1960</v>
      </c>
      <c r="E130" s="288" t="s">
        <v>1961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1964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1970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2206</v>
      </c>
      <c r="F133" s="52">
        <v>600000</v>
      </c>
      <c r="H133">
        <f>SUMIF(재고!D:D,제품!D133,재고!G:G)-SUMIF(주문_리스트!E:E,제품!D133,주문_리스트!H:H)</f>
        <v>-10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2004</v>
      </c>
      <c r="D136" s="288" t="s">
        <v>1212</v>
      </c>
      <c r="E136" s="288" t="s">
        <v>2004</v>
      </c>
      <c r="F136" s="52">
        <v>1700000</v>
      </c>
      <c r="H136">
        <f>SUMIF(재고!D:D,제품!D136,재고!G:G)-SUMIF(주문_리스트!E:E,제품!D136,주문_리스트!H:H)</f>
        <v>-24</v>
      </c>
    </row>
    <row r="137" spans="1:8" x14ac:dyDescent="0.3">
      <c r="A137">
        <v>136</v>
      </c>
      <c r="B137">
        <v>14</v>
      </c>
      <c r="D137" s="288" t="s">
        <v>2022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2034</v>
      </c>
      <c r="D138" s="288" t="s">
        <v>2035</v>
      </c>
      <c r="E138" s="288" t="s">
        <v>2034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2041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2703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>
        <v>2830301</v>
      </c>
      <c r="D142" s="288" t="s">
        <v>2701</v>
      </c>
      <c r="E142" s="288">
        <v>2830301</v>
      </c>
      <c r="F142" s="52">
        <v>1000000</v>
      </c>
      <c r="H142">
        <f>SUMIF(재고!D:D,제품!D142,재고!G:G)-SUMIF(주문_리스트!E:E,제품!D142,주문_리스트!H:H)</f>
        <v>-2</v>
      </c>
    </row>
    <row r="143" spans="1:8" x14ac:dyDescent="0.3">
      <c r="A143">
        <v>142</v>
      </c>
      <c r="D143" s="288" t="s">
        <v>2061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1922</v>
      </c>
      <c r="D144" s="288" t="s">
        <v>2152</v>
      </c>
      <c r="E144" s="288" t="s">
        <v>1922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2120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2598</v>
      </c>
      <c r="D149" s="288" t="s">
        <v>2353</v>
      </c>
      <c r="E149" s="288" t="s">
        <v>2598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2055</v>
      </c>
      <c r="E150" s="288">
        <v>6058008211</v>
      </c>
      <c r="H150">
        <f>SUMIF(재고!D:D,제품!D150,재고!G:G)-SUMIF(주문_리스트!E:E,제품!D150,주문_리스트!H:H)</f>
        <v>-2</v>
      </c>
    </row>
    <row r="151" spans="1:9" x14ac:dyDescent="0.3">
      <c r="A151">
        <v>150</v>
      </c>
      <c r="B151">
        <v>2</v>
      </c>
      <c r="D151" s="288" t="s">
        <v>2138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2705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-4</v>
      </c>
    </row>
    <row r="154" spans="1:9" x14ac:dyDescent="0.3">
      <c r="A154">
        <v>153</v>
      </c>
      <c r="B154">
        <v>14</v>
      </c>
      <c r="C154" s="288">
        <v>28120505</v>
      </c>
      <c r="D154" s="288" t="s">
        <v>2532</v>
      </c>
      <c r="E154" s="288">
        <v>28120505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2712</v>
      </c>
    </row>
    <row r="156" spans="1:9" x14ac:dyDescent="0.3">
      <c r="A156">
        <v>155</v>
      </c>
      <c r="B156">
        <v>3</v>
      </c>
      <c r="D156" s="288" t="s">
        <v>2170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2536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2597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2283</v>
      </c>
    </row>
    <row r="166" spans="1:9" x14ac:dyDescent="0.3">
      <c r="A166">
        <v>165</v>
      </c>
      <c r="B166">
        <v>3</v>
      </c>
      <c r="C166" s="288" t="s">
        <v>2285</v>
      </c>
      <c r="D166" s="288" t="s">
        <v>2286</v>
      </c>
      <c r="E166" s="288" t="s">
        <v>2285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-3</v>
      </c>
    </row>
    <row r="167" spans="1:9" x14ac:dyDescent="0.3">
      <c r="A167">
        <v>166</v>
      </c>
      <c r="C167" s="288" t="s">
        <v>2485</v>
      </c>
      <c r="D167" s="288" t="s">
        <v>2486</v>
      </c>
      <c r="E167" s="288" t="s">
        <v>2485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2536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2302</v>
      </c>
      <c r="F169" s="52">
        <v>1600000</v>
      </c>
      <c r="H169">
        <f>SUMIF(재고!D:D,제품!D169,재고!G:G)-SUMIF(주문_리스트!E:E,제품!D169,주문_리스트!H:H)</f>
        <v>-9</v>
      </c>
    </row>
    <row r="170" spans="1:9" x14ac:dyDescent="0.3">
      <c r="A170">
        <v>169</v>
      </c>
      <c r="D170" s="288" t="s">
        <v>2330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2311</v>
      </c>
      <c r="F171" s="52">
        <v>650000</v>
      </c>
      <c r="H171">
        <f>SUMIF(재고!D:D,제품!D171,재고!G:G)-SUMIF(주문_리스트!E:E,제품!D171,주문_리스트!H:H)</f>
        <v>-16</v>
      </c>
    </row>
    <row r="172" spans="1:9" x14ac:dyDescent="0.3">
      <c r="A172">
        <v>171</v>
      </c>
      <c r="C172" s="288">
        <v>415089709</v>
      </c>
      <c r="D172" s="288" t="s">
        <v>2536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2339</v>
      </c>
      <c r="D173" s="288" t="s">
        <v>3089</v>
      </c>
      <c r="E173" s="288" t="s">
        <v>2339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2685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2905</v>
      </c>
      <c r="D178" s="288" t="s">
        <v>2906</v>
      </c>
      <c r="E178" s="288" t="s">
        <v>2905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2907</v>
      </c>
    </row>
    <row r="179" spans="1:9" x14ac:dyDescent="0.3">
      <c r="A179">
        <v>178</v>
      </c>
      <c r="D179" s="288" t="s">
        <v>2409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2411</v>
      </c>
      <c r="D180" s="288" t="s">
        <v>2412</v>
      </c>
      <c r="E180" s="288" t="s">
        <v>2411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2429</v>
      </c>
      <c r="D182" s="288" t="s">
        <v>2396</v>
      </c>
      <c r="E182" s="288" t="s">
        <v>2429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2436</v>
      </c>
      <c r="D183" s="288" t="s">
        <v>2437</v>
      </c>
      <c r="E183" s="288" t="s">
        <v>2436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2438</v>
      </c>
      <c r="D184" s="288" t="s">
        <v>2439</v>
      </c>
      <c r="E184" s="288" t="s">
        <v>2438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2511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2527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2526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2581</v>
      </c>
      <c r="D189" s="288" t="s">
        <v>2582</v>
      </c>
      <c r="E189" s="288" t="s">
        <v>2581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2840</v>
      </c>
      <c r="D190" s="288" t="s">
        <v>2841</v>
      </c>
      <c r="E190" s="288" t="s">
        <v>2840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2631</v>
      </c>
      <c r="D191" s="288" t="s">
        <v>2632</v>
      </c>
      <c r="E191" s="288" t="s">
        <v>2631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2640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2669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2707</v>
      </c>
      <c r="D194" s="288" t="s">
        <v>2708</v>
      </c>
      <c r="E194" s="288" t="s">
        <v>2707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2730</v>
      </c>
      <c r="D195" s="288" t="s">
        <v>2731</v>
      </c>
      <c r="E195" s="288" t="s">
        <v>2730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2742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2767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2769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2770</v>
      </c>
    </row>
    <row r="199" spans="1:9" x14ac:dyDescent="0.3">
      <c r="A199">
        <v>198</v>
      </c>
      <c r="B199">
        <v>14</v>
      </c>
      <c r="C199" s="288" t="s">
        <v>2860</v>
      </c>
      <c r="D199" s="288" t="s">
        <v>2861</v>
      </c>
      <c r="E199" s="288" t="s">
        <v>2860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2862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1768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2866</v>
      </c>
      <c r="D201" s="288" t="s">
        <v>2868</v>
      </c>
      <c r="E201" s="288" t="s">
        <v>2866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2940</v>
      </c>
      <c r="D202" s="288" t="s">
        <v>2941</v>
      </c>
      <c r="E202" s="288" t="s">
        <v>2940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2902</v>
      </c>
      <c r="D203" s="288" t="s">
        <v>2903</v>
      </c>
      <c r="E203" s="288" t="s">
        <v>2902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2904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2922</v>
      </c>
      <c r="F205" s="52">
        <v>50000</v>
      </c>
      <c r="H205">
        <f>SUMIF(재고!D:D,제품!D205,재고!G:G)-SUMIF(주문_리스트!E:E,제품!D205,주문_리스트!H:H)</f>
        <v>-3</v>
      </c>
    </row>
    <row r="206" spans="1:9" x14ac:dyDescent="0.3">
      <c r="A206">
        <v>205</v>
      </c>
      <c r="D206" s="288" t="s">
        <v>2942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3145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3136</v>
      </c>
      <c r="D208" s="288" t="s">
        <v>3569</v>
      </c>
      <c r="E208" s="288" t="s">
        <v>3136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2972</v>
      </c>
      <c r="D209" s="288" t="s">
        <v>2973</v>
      </c>
      <c r="E209" s="288" t="s">
        <v>2972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2976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3005</v>
      </c>
      <c r="D211" s="288" t="s">
        <v>3006</v>
      </c>
      <c r="E211" s="288" t="s">
        <v>3005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3093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2937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3144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3144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3153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3186</v>
      </c>
      <c r="D217" s="288" t="s">
        <v>2396</v>
      </c>
      <c r="E217" s="288" t="s">
        <v>3186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3236</v>
      </c>
      <c r="D218" s="288" t="s">
        <v>3237</v>
      </c>
      <c r="E218" s="288" t="s">
        <v>3236</v>
      </c>
      <c r="H218">
        <f>SUMIF(재고!D:D,제품!D218,재고!G:G)-SUMIF(주문_리스트!E:E,제품!D218,주문_리스트!H:H)</f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3238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3303</v>
      </c>
      <c r="D220" s="288" t="s">
        <v>3239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3304</v>
      </c>
      <c r="D221" s="288" t="s">
        <v>3301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3302</v>
      </c>
    </row>
    <row r="222" spans="1:9" x14ac:dyDescent="0.3">
      <c r="A222">
        <v>221</v>
      </c>
      <c r="B222">
        <v>4</v>
      </c>
      <c r="C222" s="288" t="s">
        <v>3310</v>
      </c>
      <c r="D222" s="288" t="s">
        <v>3311</v>
      </c>
      <c r="E222" s="288" t="s">
        <v>3310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3339</v>
      </c>
      <c r="D223" s="288" t="s">
        <v>3340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3413</v>
      </c>
      <c r="D224" s="288" t="s">
        <v>3414</v>
      </c>
      <c r="E224" s="288" t="s">
        <v>3413</v>
      </c>
      <c r="H224">
        <f>SUMIF(재고!D:D,제품!D224,재고!G:G)-SUMIF(주문_리스트!E:E,제품!D224,주문_리스트!H:H)</f>
        <v>-1</v>
      </c>
      <c r="I224" s="52" t="s">
        <v>3415</v>
      </c>
    </row>
    <row r="225" spans="1:8" x14ac:dyDescent="0.3">
      <c r="A225">
        <v>224</v>
      </c>
      <c r="B225">
        <v>1</v>
      </c>
      <c r="C225" s="288" t="s">
        <v>3444</v>
      </c>
      <c r="D225" s="288" t="s">
        <v>3445</v>
      </c>
      <c r="E225" s="288" t="s">
        <v>3444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3470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3507</v>
      </c>
      <c r="D227" s="288" t="s">
        <v>3508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3556</v>
      </c>
      <c r="D228" s="288" t="s">
        <v>3244</v>
      </c>
      <c r="E228" s="288" t="s">
        <v>3556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3584</v>
      </c>
      <c r="D229" s="288" t="s">
        <v>3585</v>
      </c>
      <c r="E229" s="288" t="s">
        <v>3584</v>
      </c>
    </row>
    <row r="230" spans="1:8" x14ac:dyDescent="0.3">
      <c r="A230">
        <v>230</v>
      </c>
      <c r="B230">
        <v>3</v>
      </c>
      <c r="D230" s="288" t="s">
        <v>3593</v>
      </c>
      <c r="F230" s="52">
        <v>300000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2533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2939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2536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2700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2704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2478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2592</v>
      </c>
      <c r="D34" s="190" t="s">
        <v>2593</v>
      </c>
      <c r="E34" s="190" t="s">
        <v>2592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2738</v>
      </c>
      <c r="D47" s="190" t="s">
        <v>2350</v>
      </c>
      <c r="E47" s="190" t="s">
        <v>2738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2766</v>
      </c>
      <c r="D59" s="190" t="s">
        <v>2218</v>
      </c>
      <c r="E59" s="190" t="s">
        <v>2766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2702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2536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2594</v>
      </c>
      <c r="D73" s="190" t="s">
        <v>2595</v>
      </c>
      <c r="E73" s="190" t="s">
        <v>2594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2768</v>
      </c>
      <c r="D86" s="190" t="s">
        <v>2755</v>
      </c>
      <c r="E86" s="190" t="s">
        <v>2768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2852</v>
      </c>
      <c r="D99" s="190" t="s">
        <v>2510</v>
      </c>
      <c r="E99" s="190" t="s">
        <v>2852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2536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2842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2536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2703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2701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2598</v>
      </c>
      <c r="D150" s="190" t="s">
        <v>2353</v>
      </c>
      <c r="E150" s="190" t="s">
        <v>2598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2705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2532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2536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2597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2485</v>
      </c>
      <c r="D168" s="190" t="s">
        <v>2486</v>
      </c>
      <c r="E168" s="190" t="s">
        <v>2485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2536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2536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2685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2905</v>
      </c>
      <c r="D179" s="190" t="s">
        <v>2906</v>
      </c>
      <c r="E179" s="190" t="s">
        <v>2905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2467</v>
      </c>
      <c r="F186" s="52">
        <v>850000</v>
      </c>
    </row>
    <row r="187" spans="1:6" x14ac:dyDescent="0.3">
      <c r="A187">
        <v>186</v>
      </c>
      <c r="D187" s="190" t="s">
        <v>2511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2527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2526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2581</v>
      </c>
      <c r="D190" s="190" t="s">
        <v>2582</v>
      </c>
      <c r="E190" s="190" t="s">
        <v>2581</v>
      </c>
      <c r="F190" s="52">
        <v>1000000</v>
      </c>
    </row>
    <row r="191" spans="1:6" x14ac:dyDescent="0.3">
      <c r="A191">
        <v>190</v>
      </c>
      <c r="C191" s="191" t="s">
        <v>2840</v>
      </c>
      <c r="D191" s="190" t="s">
        <v>2841</v>
      </c>
      <c r="E191" s="190" t="s">
        <v>2840</v>
      </c>
      <c r="F191" s="52">
        <v>1600000</v>
      </c>
    </row>
    <row r="192" spans="1:6" x14ac:dyDescent="0.3">
      <c r="A192">
        <v>191</v>
      </c>
      <c r="C192" s="191" t="s">
        <v>2631</v>
      </c>
      <c r="D192" s="190" t="s">
        <v>2632</v>
      </c>
      <c r="E192" s="190" t="s">
        <v>2631</v>
      </c>
      <c r="F192" s="52">
        <v>1500000</v>
      </c>
    </row>
    <row r="193" spans="1:6" x14ac:dyDescent="0.3">
      <c r="A193">
        <v>192</v>
      </c>
      <c r="D193" s="190" t="s">
        <v>2640</v>
      </c>
      <c r="F193" s="52">
        <v>1100000</v>
      </c>
    </row>
    <row r="194" spans="1:6" x14ac:dyDescent="0.3">
      <c r="A194">
        <v>193</v>
      </c>
      <c r="D194" s="190" t="s">
        <v>2669</v>
      </c>
      <c r="F194" s="52">
        <v>1700000</v>
      </c>
    </row>
    <row r="195" spans="1:6" x14ac:dyDescent="0.3">
      <c r="A195">
        <v>194</v>
      </c>
      <c r="C195" s="191" t="s">
        <v>2707</v>
      </c>
      <c r="D195" s="190" t="s">
        <v>2708</v>
      </c>
      <c r="E195" s="190" t="s">
        <v>2707</v>
      </c>
      <c r="F195" s="52">
        <v>400000</v>
      </c>
    </row>
    <row r="196" spans="1:6" x14ac:dyDescent="0.3">
      <c r="A196">
        <v>195</v>
      </c>
      <c r="C196" s="191" t="s">
        <v>2730</v>
      </c>
      <c r="D196" s="190" t="s">
        <v>2731</v>
      </c>
      <c r="E196" s="190" t="s">
        <v>2730</v>
      </c>
      <c r="F196" s="52">
        <v>1500000</v>
      </c>
    </row>
    <row r="197" spans="1:6" x14ac:dyDescent="0.3">
      <c r="A197">
        <v>196</v>
      </c>
      <c r="D197" s="190" t="s">
        <v>2742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2767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2769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2860</v>
      </c>
      <c r="D200" s="190" t="s">
        <v>2861</v>
      </c>
      <c r="E200" s="190" t="s">
        <v>2860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2866</v>
      </c>
      <c r="D202" s="190" t="s">
        <v>2868</v>
      </c>
      <c r="E202" s="190" t="s">
        <v>2866</v>
      </c>
      <c r="F202" s="52">
        <v>75000</v>
      </c>
    </row>
    <row r="203" spans="1:6" x14ac:dyDescent="0.3">
      <c r="A203">
        <v>202</v>
      </c>
      <c r="C203" s="191" t="s">
        <v>2940</v>
      </c>
      <c r="D203" s="190" t="s">
        <v>2941</v>
      </c>
      <c r="E203" s="190" t="s">
        <v>2940</v>
      </c>
      <c r="F203" s="52">
        <v>13000</v>
      </c>
    </row>
    <row r="204" spans="1:6" x14ac:dyDescent="0.3">
      <c r="A204">
        <v>203</v>
      </c>
      <c r="C204" s="191" t="s">
        <v>2902</v>
      </c>
      <c r="D204" s="190" t="s">
        <v>2903</v>
      </c>
      <c r="E204" s="190" t="s">
        <v>2902</v>
      </c>
    </row>
    <row r="205" spans="1:6" x14ac:dyDescent="0.3">
      <c r="A205">
        <v>204</v>
      </c>
      <c r="C205" s="191">
        <v>709013001</v>
      </c>
      <c r="D205" s="190" t="s">
        <v>2904</v>
      </c>
      <c r="E205" s="190">
        <v>709013001</v>
      </c>
    </row>
    <row r="206" spans="1:6" x14ac:dyDescent="0.3">
      <c r="A206">
        <v>205</v>
      </c>
      <c r="D206" s="190" t="s">
        <v>2922</v>
      </c>
      <c r="F206" s="52">
        <v>50000</v>
      </c>
    </row>
    <row r="207" spans="1:6" x14ac:dyDescent="0.3">
      <c r="A207">
        <v>206</v>
      </c>
      <c r="D207" s="190" t="s">
        <v>2942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3145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2958</v>
      </c>
      <c r="F209" s="52">
        <v>1000000</v>
      </c>
    </row>
    <row r="210" spans="1:6" x14ac:dyDescent="0.3">
      <c r="C210" s="191" t="s">
        <v>2972</v>
      </c>
      <c r="D210" s="190" t="s">
        <v>2973</v>
      </c>
      <c r="E210" s="190" t="s">
        <v>2972</v>
      </c>
      <c r="F210" s="52">
        <v>500000</v>
      </c>
    </row>
    <row r="211" spans="1:6" x14ac:dyDescent="0.3">
      <c r="C211" s="191">
        <v>33108841535</v>
      </c>
      <c r="D211" s="190" t="s">
        <v>2976</v>
      </c>
      <c r="E211" s="190">
        <v>33108841535</v>
      </c>
      <c r="F211" s="52">
        <v>1200000</v>
      </c>
    </row>
    <row r="212" spans="1:6" x14ac:dyDescent="0.3">
      <c r="C212" s="191" t="s">
        <v>3005</v>
      </c>
      <c r="D212" s="190" t="s">
        <v>3006</v>
      </c>
      <c r="E212" s="190" t="s">
        <v>3005</v>
      </c>
      <c r="F212" s="52">
        <v>250000</v>
      </c>
    </row>
    <row r="213" spans="1:6" x14ac:dyDescent="0.3">
      <c r="D213" s="190" t="s">
        <v>3093</v>
      </c>
      <c r="F213" s="52">
        <v>200000</v>
      </c>
    </row>
    <row r="214" spans="1:6" x14ac:dyDescent="0.3">
      <c r="C214" s="191">
        <v>2212500301</v>
      </c>
      <c r="D214" s="190" t="s">
        <v>2937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3144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3144</v>
      </c>
      <c r="E216" s="190">
        <v>6058008068</v>
      </c>
    </row>
    <row r="217" spans="1:6" x14ac:dyDescent="0.3">
      <c r="D217" s="190" t="s">
        <v>3153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2793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3054</v>
      </c>
      <c r="J86" s="53" t="s">
        <v>2191</v>
      </c>
      <c r="K86" s="17" t="s">
        <v>3054</v>
      </c>
      <c r="L86" s="17">
        <v>2200000</v>
      </c>
    </row>
    <row r="87" spans="6:12" ht="18" customHeight="1" x14ac:dyDescent="0.3">
      <c r="F87" s="17">
        <v>72</v>
      </c>
      <c r="I87" s="17" t="s">
        <v>3055</v>
      </c>
      <c r="J87" s="53" t="s">
        <v>3067</v>
      </c>
      <c r="K87" s="17" t="s">
        <v>3055</v>
      </c>
      <c r="L87" s="17">
        <v>1500000</v>
      </c>
    </row>
    <row r="88" spans="6:12" ht="18" customHeight="1" x14ac:dyDescent="0.3">
      <c r="F88" s="17">
        <v>73</v>
      </c>
      <c r="I88" s="17" t="s">
        <v>3056</v>
      </c>
      <c r="J88" s="53" t="s">
        <v>2210</v>
      </c>
      <c r="K88" s="17" t="s">
        <v>3056</v>
      </c>
      <c r="L88" s="17">
        <v>50000</v>
      </c>
    </row>
    <row r="89" spans="6:12" ht="18" customHeight="1" x14ac:dyDescent="0.3">
      <c r="F89" s="17">
        <v>58</v>
      </c>
      <c r="I89" s="17" t="s">
        <v>2766</v>
      </c>
      <c r="J89" s="53" t="s">
        <v>2430</v>
      </c>
      <c r="K89" s="17" t="s">
        <v>2766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2768</v>
      </c>
      <c r="J103" s="53" t="s">
        <v>2858</v>
      </c>
      <c r="K103" s="17" t="s">
        <v>2768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2894</v>
      </c>
      <c r="J110" s="53" t="s">
        <v>2396</v>
      </c>
      <c r="K110" s="17" t="s">
        <v>2894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3068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2715</v>
      </c>
      <c r="J115" s="53" t="s">
        <v>1569</v>
      </c>
      <c r="K115" s="17" t="s">
        <v>2715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3057</v>
      </c>
      <c r="J118" s="53" t="s">
        <v>3069</v>
      </c>
      <c r="K118" s="17" t="s">
        <v>3057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2697</v>
      </c>
      <c r="J122" s="53" t="s">
        <v>1504</v>
      </c>
      <c r="K122" s="17" t="s">
        <v>2697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3070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2852</v>
      </c>
      <c r="J128" s="53" t="s">
        <v>1745</v>
      </c>
      <c r="K128" s="17" t="s">
        <v>2852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2462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2660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2025-09-12T11:15:19Z</cp:lastPrinted>
  <dcterms:created xsi:type="dcterms:W3CDTF">2020-10-02T11:51:16Z</dcterms:created>
  <dcterms:modified xsi:type="dcterms:W3CDTF">2025-09-15T10:02:08Z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