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Old_data\"/>
    </mc:Choice>
  </mc:AlternateContent>
  <xr:revisionPtr revIDLastSave="0" documentId="13_ncr:1_{802F6AA4-6278-40AC-AA3E-0F22452D3CF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주문_리스트!$A$1:$K$1728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4" i="4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71" i="56"/>
  <c r="C6" i="56"/>
  <c r="C171" i="56"/>
  <c r="C93" i="56"/>
  <c r="C192" i="56"/>
  <c r="C139" i="56"/>
  <c r="C104" i="56"/>
  <c r="C176" i="56"/>
  <c r="C216" i="56"/>
  <c r="C189" i="56"/>
  <c r="C162" i="56"/>
  <c r="C136" i="56"/>
  <c r="C101" i="56"/>
  <c r="C3" i="56"/>
  <c r="C210" i="56"/>
  <c r="C156" i="56"/>
  <c r="C131" i="56"/>
  <c r="C98" i="56"/>
  <c r="C118" i="56"/>
  <c r="C103" i="56"/>
  <c r="C123" i="56"/>
  <c r="C183" i="56"/>
  <c r="C207" i="56"/>
  <c r="C180" i="56"/>
  <c r="C153" i="56"/>
  <c r="C129" i="56"/>
  <c r="C88" i="56"/>
  <c r="C66" i="56"/>
  <c r="C157" i="56"/>
  <c r="C120" i="56"/>
  <c r="C15" i="56"/>
  <c r="C144" i="56"/>
  <c r="C209" i="56"/>
  <c r="C169" i="56"/>
  <c r="C13" i="56"/>
  <c r="C147" i="56"/>
  <c r="C122" i="56"/>
  <c r="C198" i="56"/>
  <c r="C63" i="56"/>
  <c r="C219" i="56"/>
  <c r="C165" i="56"/>
  <c r="C114" i="56"/>
  <c r="C146" i="56"/>
  <c r="C206" i="56"/>
  <c r="C170" i="56"/>
  <c r="C141" i="56"/>
  <c r="C60" i="56"/>
  <c r="C121" i="56"/>
  <c r="C208" i="56"/>
  <c r="C151" i="56"/>
  <c r="C222" i="56"/>
  <c r="C204" i="56"/>
  <c r="C186" i="56"/>
  <c r="C168" i="56"/>
  <c r="C150" i="56"/>
  <c r="C134" i="56"/>
  <c r="C117" i="56"/>
  <c r="C68" i="56"/>
  <c r="C34" i="56"/>
  <c r="C110" i="56"/>
  <c r="C64" i="56"/>
  <c r="C200" i="56"/>
  <c r="C167" i="56"/>
  <c r="C135" i="56"/>
  <c r="C81" i="56"/>
  <c r="C43" i="56"/>
  <c r="C137" i="56"/>
  <c r="C47" i="56"/>
  <c r="C76" i="56"/>
  <c r="C48" i="56"/>
  <c r="C191" i="56"/>
  <c r="C164" i="56"/>
  <c r="C75" i="56"/>
  <c r="C41" i="56"/>
  <c r="C39" i="56"/>
  <c r="C119" i="56"/>
  <c r="C202" i="56"/>
  <c r="C70" i="56"/>
  <c r="C21" i="56"/>
  <c r="C221" i="56"/>
  <c r="C188" i="56"/>
  <c r="C109" i="56"/>
  <c r="C16" i="56"/>
  <c r="C46" i="56"/>
  <c r="C99" i="56"/>
  <c r="C111" i="56"/>
  <c r="C91" i="56"/>
  <c r="C155" i="56"/>
  <c r="C19" i="56"/>
  <c r="C213" i="56"/>
  <c r="C195" i="56"/>
  <c r="C177" i="56"/>
  <c r="C159" i="56"/>
  <c r="C142" i="56"/>
  <c r="C124" i="56"/>
  <c r="C105" i="56"/>
  <c r="C72" i="56"/>
  <c r="C4" i="56"/>
  <c r="C84" i="56"/>
  <c r="C212" i="56"/>
  <c r="C185" i="56"/>
  <c r="C149" i="56"/>
  <c r="C116" i="56"/>
  <c r="C12" i="56"/>
  <c r="C65" i="56"/>
  <c r="C187" i="56"/>
  <c r="C27" i="56"/>
  <c r="C224" i="56"/>
  <c r="C203" i="56"/>
  <c r="C182" i="56"/>
  <c r="C158" i="56"/>
  <c r="C138" i="56"/>
  <c r="C113" i="56"/>
  <c r="C33" i="56"/>
  <c r="C102" i="56"/>
  <c r="C90" i="56"/>
  <c r="C100" i="56"/>
  <c r="C83" i="56"/>
  <c r="C67" i="56"/>
  <c r="C145" i="56"/>
  <c r="C218" i="56"/>
  <c r="C194" i="56"/>
  <c r="C173" i="56"/>
  <c r="C152" i="56"/>
  <c r="C133" i="56"/>
  <c r="C59" i="56"/>
  <c r="C9" i="56"/>
  <c r="C32" i="56"/>
  <c r="C29" i="56"/>
  <c r="C95" i="56"/>
  <c r="C220" i="56"/>
  <c r="C106" i="56"/>
  <c r="C87" i="56"/>
  <c r="C36" i="56"/>
  <c r="C193" i="56"/>
  <c r="C73" i="56"/>
  <c r="C69" i="56"/>
  <c r="C172" i="56"/>
  <c r="C28" i="56"/>
  <c r="C79" i="56"/>
  <c r="C132" i="56"/>
  <c r="C25" i="56"/>
  <c r="C77" i="56"/>
  <c r="C8" i="56"/>
  <c r="C175" i="56"/>
  <c r="C26" i="56"/>
  <c r="C7" i="56"/>
  <c r="C154" i="56"/>
  <c r="C53" i="56"/>
  <c r="C80" i="56"/>
  <c r="C89" i="56"/>
  <c r="C178" i="56"/>
  <c r="C223" i="56"/>
  <c r="C58" i="56"/>
  <c r="C115" i="56"/>
  <c r="C130" i="56"/>
  <c r="C51" i="56"/>
  <c r="C215" i="56"/>
  <c r="C197" i="56"/>
  <c r="C179" i="56"/>
  <c r="C161" i="56"/>
  <c r="C125" i="56"/>
  <c r="C128" i="56"/>
  <c r="C97" i="56"/>
  <c r="C37" i="56"/>
  <c r="C14" i="56"/>
  <c r="C140" i="56"/>
  <c r="C30" i="56"/>
  <c r="C45" i="56"/>
  <c r="C190" i="56"/>
  <c r="C23" i="56"/>
  <c r="C205" i="56"/>
  <c r="C44" i="56"/>
  <c r="C184" i="56"/>
  <c r="C108" i="56"/>
  <c r="C112" i="56"/>
  <c r="C24" i="56"/>
  <c r="C74" i="56"/>
  <c r="C217" i="56"/>
  <c r="C85" i="56"/>
  <c r="C94" i="56"/>
  <c r="C163" i="56"/>
  <c r="C18" i="56"/>
  <c r="C11" i="56"/>
  <c r="C31" i="56"/>
  <c r="C126" i="56"/>
  <c r="C62" i="56"/>
  <c r="C166" i="56"/>
  <c r="C55" i="56"/>
  <c r="C199" i="56"/>
  <c r="C86" i="56"/>
  <c r="C160" i="56"/>
  <c r="C10" i="56"/>
  <c r="C49" i="56"/>
  <c r="C148" i="56"/>
  <c r="C52" i="56"/>
  <c r="C181" i="56"/>
  <c r="C50" i="56"/>
  <c r="C143" i="56"/>
  <c r="C2" i="56"/>
  <c r="C214" i="56"/>
  <c r="C107" i="56"/>
  <c r="C5" i="56"/>
  <c r="C20" i="56"/>
  <c r="C38" i="56"/>
  <c r="C54" i="56"/>
  <c r="C196" i="56"/>
  <c r="C82" i="56"/>
  <c r="C56" i="56"/>
  <c r="C22" i="56"/>
  <c r="C61" i="56"/>
  <c r="C57" i="56"/>
  <c r="C78" i="56"/>
  <c r="C40" i="56"/>
  <c r="C35" i="56"/>
  <c r="C17" i="56"/>
  <c r="C127" i="56"/>
  <c r="C92" i="56"/>
  <c r="C96" i="56"/>
  <c r="C42" i="56"/>
  <c r="D186" i="56" l="1"/>
  <c r="D162" i="56"/>
  <c r="D57" i="56"/>
  <c r="D35" i="56"/>
  <c r="D5" i="56"/>
  <c r="D214" i="56"/>
  <c r="D78" i="56"/>
  <c r="D204" i="56"/>
  <c r="D11" i="56"/>
  <c r="D120" i="56"/>
  <c r="D10" i="56"/>
  <c r="D29" i="56"/>
  <c r="D221" i="56"/>
  <c r="D111" i="56"/>
  <c r="D184" i="56"/>
  <c r="D135" i="56"/>
  <c r="D159" i="56"/>
  <c r="D25" i="56"/>
  <c r="D12" i="56"/>
  <c r="D129" i="56"/>
  <c r="D220" i="56"/>
  <c r="D141" i="56"/>
  <c r="D20" i="56"/>
  <c r="D190" i="56"/>
  <c r="D215" i="56"/>
  <c r="D127" i="56"/>
  <c r="D26" i="56"/>
  <c r="D171" i="56"/>
  <c r="D74" i="56"/>
  <c r="D65" i="56"/>
  <c r="D66" i="56"/>
  <c r="D180" i="56"/>
  <c r="D83" i="56"/>
  <c r="D152" i="56"/>
  <c r="D177" i="56"/>
  <c r="D130" i="56"/>
  <c r="D28" i="56"/>
  <c r="D191" i="56"/>
  <c r="D198" i="56"/>
  <c r="D44" i="56"/>
  <c r="D121" i="56"/>
  <c r="D158" i="56"/>
  <c r="D104" i="56"/>
  <c r="D132" i="56"/>
  <c r="D45" i="56"/>
  <c r="D128" i="56"/>
  <c r="D51" i="56"/>
  <c r="D150" i="56"/>
  <c r="D17" i="56"/>
  <c r="D79" i="56"/>
  <c r="D157" i="56"/>
  <c r="D164" i="56"/>
  <c r="D63" i="56"/>
  <c r="D189" i="56"/>
  <c r="D219" i="56"/>
  <c r="D166" i="56"/>
  <c r="D133" i="56"/>
  <c r="D156" i="56"/>
  <c r="D160" i="56"/>
  <c r="D43" i="56"/>
  <c r="D4" i="56"/>
  <c r="D31" i="56"/>
  <c r="D36" i="56"/>
  <c r="D196" i="56"/>
  <c r="D143" i="56"/>
  <c r="D62" i="56"/>
  <c r="D73" i="56"/>
  <c r="D149" i="56"/>
  <c r="D3" i="56"/>
  <c r="D174" i="56"/>
  <c r="D147" i="56"/>
  <c r="D85" i="56"/>
  <c r="D151" i="56"/>
  <c r="D193" i="56"/>
  <c r="D170" i="56"/>
  <c r="D72" i="56"/>
  <c r="D195" i="56"/>
  <c r="D2" i="56"/>
  <c r="D67" i="56"/>
  <c r="D154" i="56"/>
  <c r="D77" i="56"/>
  <c r="D209" i="56"/>
  <c r="D165" i="56"/>
  <c r="D54" i="56"/>
  <c r="D187" i="56"/>
  <c r="D9" i="56"/>
  <c r="D176" i="56"/>
  <c r="D88" i="56"/>
  <c r="D107" i="56"/>
  <c r="D47" i="56"/>
  <c r="D30" i="56"/>
  <c r="D125" i="56"/>
  <c r="D110" i="56"/>
  <c r="D168" i="56"/>
  <c r="D223" i="56"/>
  <c r="D19" i="56"/>
  <c r="D182" i="56"/>
  <c r="D98" i="56"/>
  <c r="D207" i="56"/>
  <c r="D119" i="56"/>
  <c r="D18" i="56"/>
  <c r="D126" i="56"/>
  <c r="D175" i="56"/>
  <c r="D167" i="56"/>
  <c r="D71" i="56"/>
  <c r="D192" i="56"/>
  <c r="D40" i="56"/>
  <c r="D112" i="56"/>
  <c r="D53" i="56"/>
  <c r="D8" i="56"/>
  <c r="D188" i="56"/>
  <c r="D105" i="56"/>
  <c r="D213" i="56"/>
  <c r="D94" i="56"/>
  <c r="D89" i="56"/>
  <c r="D90" i="56"/>
  <c r="D109" i="56"/>
  <c r="D48" i="56"/>
  <c r="D61" i="56"/>
  <c r="D145" i="56"/>
  <c r="D46" i="56"/>
  <c r="D41" i="56"/>
  <c r="D194" i="56"/>
  <c r="D114" i="56"/>
  <c r="D80" i="56"/>
  <c r="D140" i="56"/>
  <c r="D161" i="56"/>
  <c r="D34" i="56"/>
  <c r="D42" i="56"/>
  <c r="D181" i="56"/>
  <c r="D100" i="56"/>
  <c r="D81" i="56"/>
  <c r="D200" i="56"/>
  <c r="D93" i="56"/>
  <c r="D6" i="56"/>
  <c r="D222" i="56"/>
  <c r="D199" i="56"/>
  <c r="D60" i="56"/>
  <c r="D13" i="56"/>
  <c r="D55" i="56"/>
  <c r="D113" i="56"/>
  <c r="D139" i="56"/>
  <c r="D24" i="56"/>
  <c r="D16" i="56"/>
  <c r="D84" i="56"/>
  <c r="D201" i="56"/>
  <c r="D169" i="56"/>
  <c r="D173" i="56"/>
  <c r="D82" i="56"/>
  <c r="D32" i="56"/>
  <c r="D76" i="56"/>
  <c r="D27" i="56"/>
  <c r="D97" i="56"/>
  <c r="D134" i="56"/>
  <c r="D49" i="56"/>
  <c r="D146" i="56"/>
  <c r="D118" i="56"/>
  <c r="D131" i="56"/>
  <c r="D211" i="56"/>
  <c r="D86" i="56"/>
  <c r="D95" i="56"/>
  <c r="D33" i="56"/>
  <c r="D185" i="56"/>
  <c r="D101" i="56"/>
  <c r="D210" i="56"/>
  <c r="D217" i="56"/>
  <c r="D137" i="56"/>
  <c r="D59" i="56"/>
  <c r="D206" i="56"/>
  <c r="D124" i="56"/>
  <c r="D144" i="56"/>
  <c r="D106" i="56"/>
  <c r="D202" i="56"/>
  <c r="D39" i="56"/>
  <c r="D138" i="56"/>
  <c r="D91" i="56"/>
  <c r="D22" i="56"/>
  <c r="D108" i="56"/>
  <c r="D172" i="56"/>
  <c r="D87" i="56"/>
  <c r="D212" i="56"/>
  <c r="D183" i="56"/>
  <c r="D50" i="56"/>
  <c r="D205" i="56"/>
  <c r="D14" i="56"/>
  <c r="D179" i="56"/>
  <c r="D68" i="56"/>
  <c r="D96" i="56"/>
  <c r="D52" i="56"/>
  <c r="D208" i="56"/>
  <c r="D103" i="56"/>
  <c r="D218" i="56"/>
  <c r="D136" i="56"/>
  <c r="D70" i="56"/>
  <c r="D203" i="56"/>
  <c r="D99" i="56"/>
  <c r="D15" i="56"/>
  <c r="D116" i="56"/>
  <c r="D224" i="56"/>
  <c r="D142" i="56"/>
  <c r="D216" i="56"/>
  <c r="D178" i="56"/>
  <c r="D58" i="56"/>
  <c r="D102" i="56"/>
  <c r="D155" i="56"/>
  <c r="D21" i="56"/>
  <c r="D56" i="56"/>
  <c r="D115" i="56"/>
  <c r="D7" i="56"/>
  <c r="D123" i="56"/>
  <c r="D64" i="56"/>
  <c r="D38" i="56"/>
  <c r="D163" i="56"/>
  <c r="D23" i="56"/>
  <c r="D37" i="56"/>
  <c r="D197" i="56"/>
  <c r="D117" i="56"/>
  <c r="D92" i="56"/>
  <c r="D148" i="56"/>
  <c r="D69" i="56"/>
  <c r="D75" i="56"/>
  <c r="D122" i="56"/>
  <c r="D153" i="56"/>
  <c r="F14" i="56" l="1"/>
  <c r="F13" i="56"/>
  <c r="F12" i="56"/>
</calcChain>
</file>

<file path=xl/sharedStrings.xml><?xml version="1.0" encoding="utf-8"?>
<sst xmlns="http://schemas.openxmlformats.org/spreadsheetml/2006/main" count="11329" uniqueCount="3755">
  <si>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</si>
  <si>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</si>
  <si>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</si>
  <si>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</si>
  <si>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</si>
  <si>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</si>
  <si>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</si>
  <si>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</si>
  <si>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</si>
  <si>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</si>
  <si>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</si>
  <si>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</si>
  <si>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</si>
  <si>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</si>
  <si>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</si>
  <si>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</si>
  <si>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</si>
  <si>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</si>
  <si>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</si>
  <si>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</si>
  <si>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</si>
  <si>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</si>
  <si>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</si>
  <si>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</si>
  <si>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</si>
  <si>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</si>
  <si>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</si>
  <si>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</si>
  <si>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</si>
  <si>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</si>
  <si>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</si>
  <si>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</si>
  <si>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</si>
  <si>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</si>
  <si>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</si>
  <si>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</si>
  <si>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</si>
  <si>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</si>
  <si>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</si>
  <si>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</si>
  <si>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</si>
  <si>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</si>
  <si>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</si>
  <si>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</si>
  <si>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</si>
  <si>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</si>
  <si>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</si>
  <si>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</si>
  <si>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</si>
  <si>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</si>
  <si>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</si>
  <si>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</si>
  <si>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</si>
  <si>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</si>
  <si>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</si>
  <si>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</si>
  <si>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</si>
  <si>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</si>
  <si>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</si>
  <si>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</si>
  <si>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</si>
  <si>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</si>
  <si>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</si>
  <si>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</si>
  <si>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</si>
  <si>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</si>
  <si>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</si>
  <si>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</si>
  <si>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</si>
  <si>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</si>
  <si>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</si>
  <si>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</si>
  <si>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</si>
  <si>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</si>
  <si>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</si>
  <si>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</si>
  <si>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</si>
  <si>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</si>
  <si>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</si>
  <si>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</si>
  <si>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</si>
  <si>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</si>
  <si>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</si>
  <si>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</si>
  <si>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</si>
  <si>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</si>
  <si>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</si>
  <si>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</si>
  <si>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</si>
  <si>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</si>
  <si>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</si>
  <si>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</si>
  <si>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</si>
  <si>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</si>
  <si>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</si>
  <si>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</si>
  <si>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</si>
  <si>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</si>
  <si>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</si>
  <si>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</si>
  <si>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</si>
  <si>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</si>
  <si>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</si>
  <si>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</si>
  <si>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</si>
  <si>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</si>
  <si>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</si>
  <si>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</si>
  <si>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</si>
  <si>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</si>
  <si>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</si>
  <si>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</si>
  <si>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</si>
  <si>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</si>
  <si>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</si>
  <si>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</si>
  <si>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</si>
  <si>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</si>
  <si>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</si>
  <si>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</si>
  <si>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</si>
  <si>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</si>
  <si>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</si>
  <si>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</si>
  <si>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</si>
  <si>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</si>
  <si>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</si>
  <si>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</si>
  <si>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</si>
  <si>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</si>
  <si>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</si>
  <si>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</si>
  <si>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</si>
  <si>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</si>
  <si>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</si>
  <si>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</si>
  <si>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</si>
  <si>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</si>
  <si>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</si>
  <si>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</si>
  <si>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</si>
  <si>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</si>
  <si>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</si>
  <si>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</si>
  <si>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</si>
  <si>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</si>
  <si>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</si>
  <si>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</si>
  <si>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</si>
  <si>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</si>
  <si>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</si>
  <si>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</si>
  <si>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</si>
  <si>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</si>
  <si>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</si>
  <si>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</si>
  <si>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</si>
  <si>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</si>
  <si>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</si>
  <si>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</si>
  <si>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</si>
  <si>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</si>
  <si>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</si>
  <si>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</si>
  <si>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</si>
  <si>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</si>
  <si>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</si>
  <si>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</si>
  <si>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</si>
  <si>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</si>
  <si>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</si>
  <si>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</si>
  <si>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</si>
  <si>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</si>
  <si>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</si>
  <si>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</si>
  <si>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</si>
  <si>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</si>
  <si>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</si>
  <si>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</si>
  <si>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</si>
  <si>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</si>
  <si>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</si>
  <si>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</si>
  <si>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</si>
  <si>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</si>
  <si>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</si>
  <si>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</si>
  <si>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</si>
  <si>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</si>
  <si>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</si>
  <si>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</si>
  <si>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</si>
  <si>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</si>
  <si>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</si>
  <si>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</si>
  <si>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</si>
  <si>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</si>
  <si>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</si>
  <si>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</si>
  <si>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</si>
  <si>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</si>
  <si>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</si>
  <si>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</si>
  <si>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</si>
  <si>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</si>
  <si>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</si>
  <si>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</si>
  <si>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</si>
  <si>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</si>
  <si>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</si>
  <si>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</si>
  <si>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</si>
  <si>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</si>
  <si>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</si>
  <si>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</si>
  <si>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</si>
  <si>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</si>
  <si>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</si>
  <si>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</si>
  <si>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</si>
  <si>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</si>
  <si>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</si>
  <si>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</si>
  <si>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</si>
  <si>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</si>
  <si>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</si>
  <si>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</si>
  <si>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</si>
  <si>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</si>
  <si>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</si>
  <si>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</si>
  <si>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</si>
  <si>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</si>
  <si>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</si>
  <si>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</si>
  <si>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</si>
  <si>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</si>
  <si>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</si>
  <si>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</si>
  <si>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</si>
  <si>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</si>
  <si>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</si>
  <si>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</si>
  <si>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</si>
  <si>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</si>
  <si>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</si>
  <si>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</si>
  <si>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</si>
  <si>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</si>
  <si>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</si>
  <si>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</si>
  <si>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</si>
  <si>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</si>
  <si>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</si>
  <si>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</si>
  <si>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</si>
  <si>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</si>
  <si>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</si>
  <si>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</si>
  <si>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</si>
  <si>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</si>
  <si>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</si>
  <si>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</si>
  <si>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</si>
  <si>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</si>
  <si>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</si>
  <si>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</si>
  <si>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</si>
  <si>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</si>
  <si>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</si>
  <si>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</si>
  <si>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</si>
  <si>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</si>
  <si>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</si>
  <si>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</si>
  <si>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</si>
  <si>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</si>
  <si>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</si>
  <si>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</si>
  <si>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</si>
  <si>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</si>
  <si>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</si>
  <si>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</si>
  <si>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</si>
  <si>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</si>
  <si>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</si>
  <si>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</si>
  <si>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</si>
  <si>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</si>
  <si>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</si>
  <si>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</si>
  <si>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</si>
  <si>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</si>
  <si>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</si>
  <si>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</si>
  <si>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</si>
  <si>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</si>
  <si>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</si>
  <si>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</si>
  <si>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</si>
  <si>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</si>
  <si>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</si>
  <si>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</si>
  <si>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</si>
  <si>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</si>
  <si>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</si>
  <si>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</si>
  <si>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</si>
  <si>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</si>
  <si>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</si>
  <si>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</si>
  <si>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</si>
  <si>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</si>
  <si>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</si>
  <si>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</si>
  <si>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</si>
  <si>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</si>
  <si>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</si>
  <si>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</si>
  <si>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</si>
  <si>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</si>
  <si>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</si>
  <si>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</si>
  <si>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</si>
  <si>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</si>
  <si>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</si>
  <si>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</si>
  <si>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</si>
  <si>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</si>
  <si>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</si>
  <si>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</si>
  <si>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</si>
  <si>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</si>
  <si>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</si>
  <si>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</si>
  <si>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</si>
  <si>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</si>
  <si>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</si>
  <si>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</si>
  <si>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</si>
  <si>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</si>
  <si>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</si>
  <si>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</si>
  <si>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</si>
  <si>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</si>
  <si>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</si>
  <si>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</si>
  <si>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</si>
  <si>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</si>
  <si>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</si>
  <si>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</si>
  <si>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</si>
  <si>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</si>
  <si>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</si>
  <si>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</si>
  <si>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</si>
  <si>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</si>
  <si>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</si>
  <si>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</si>
  <si>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</si>
  <si>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</si>
  <si>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</si>
  <si>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</si>
  <si>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</si>
  <si>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</si>
  <si>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</si>
  <si>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</si>
  <si>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</si>
  <si>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</si>
  <si>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</si>
  <si>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</si>
  <si>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</si>
  <si>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</si>
  <si>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</si>
  <si>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</si>
  <si>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</si>
  <si>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</si>
  <si>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</si>
  <si>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</si>
  <si>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</si>
  <si>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</si>
  <si>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</si>
  <si>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</si>
  <si>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</si>
  <si>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</si>
  <si>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</si>
  <si>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</si>
  <si>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</si>
  <si>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</si>
  <si>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</si>
  <si>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</si>
  <si>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</si>
  <si>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</si>
  <si>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</si>
  <si>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</si>
  <si>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</si>
  <si>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</si>
  <si>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</si>
  <si>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</si>
  <si>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</si>
  <si>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</si>
  <si>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</si>
  <si>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</si>
  <si>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</si>
  <si>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</si>
  <si>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</si>
  <si>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</si>
  <si>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</si>
  <si>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</si>
  <si>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</si>
  <si>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</si>
  <si>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</si>
  <si>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</si>
  <si>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</si>
  <si>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</si>
  <si>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</si>
  <si>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</si>
  <si>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</si>
  <si>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</si>
  <si>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</si>
  <si>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</si>
  <si>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</si>
  <si>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</si>
  <si>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</si>
  <si>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</si>
  <si>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</si>
  <si>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</si>
  <si>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</si>
  <si>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</si>
  <si>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</si>
  <si>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</si>
  <si>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</si>
  <si>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</si>
  <si>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</si>
  <si>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</si>
  <si>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</si>
  <si>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</si>
  <si>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</si>
  <si>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</si>
  <si>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</si>
  <si>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</si>
  <si>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</si>
  <si>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</si>
  <si>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</si>
  <si>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</si>
  <si>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</si>
  <si>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</si>
  <si>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</si>
  <si>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</si>
  <si>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</si>
  <si>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</si>
  <si>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</si>
  <si>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</si>
  <si>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</si>
  <si>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</si>
  <si>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</si>
  <si>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</si>
  <si>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</si>
  <si>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</si>
  <si>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</si>
  <si>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</si>
  <si>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</si>
  <si>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</si>
  <si>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</si>
  <si>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</si>
  <si>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</si>
  <si>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</si>
  <si>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</si>
  <si>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</si>
  <si>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</si>
  <si>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</si>
  <si>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</si>
  <si>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</si>
  <si>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</si>
  <si>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</si>
  <si>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</si>
  <si>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</si>
  <si>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</si>
  <si>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</si>
  <si>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</si>
  <si>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</si>
  <si>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</si>
  <si>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</si>
  <si>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</si>
  <si>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</si>
  <si>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</si>
  <si>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</si>
  <si>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</si>
  <si>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</si>
  <si>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</si>
  <si>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</si>
  <si>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</si>
  <si>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</si>
  <si>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</si>
  <si>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</si>
  <si>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</si>
  <si>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</si>
  <si>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</si>
  <si>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</si>
  <si>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</si>
  <si>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</si>
  <si>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</si>
  <si>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</si>
  <si>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</si>
  <si>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</si>
  <si>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</si>
  <si>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</si>
  <si>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</si>
  <si>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</si>
  <si>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</si>
  <si>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</si>
  <si>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</si>
  <si>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</si>
  <si>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</si>
  <si>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</si>
  <si>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</si>
  <si>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</si>
  <si>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</si>
  <si>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</si>
  <si>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</si>
  <si>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</si>
  <si>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</si>
  <si>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</si>
  <si>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</si>
  <si>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</si>
  <si>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</si>
  <si>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</si>
  <si>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</si>
  <si>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</si>
  <si>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</si>
  <si>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</si>
  <si>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</si>
  <si>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</si>
  <si>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</si>
  <si>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</si>
  <si>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</si>
  <si>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</si>
  <si>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</si>
  <si>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</si>
  <si>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</si>
  <si>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</si>
  <si>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</si>
  <si>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</si>
  <si>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</si>
  <si>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</si>
  <si>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</si>
  <si>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</si>
  <si>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</si>
  <si>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</si>
  <si>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</si>
  <si>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</si>
  <si>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</si>
  <si>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</si>
  <si>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</si>
  <si>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</si>
  <si>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</si>
  <si>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</si>
  <si>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</si>
  <si>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</si>
  <si>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</si>
  <si>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</si>
  <si>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</si>
  <si>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</si>
  <si>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</si>
  <si>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</si>
  <si>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</si>
  <si>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</si>
  <si>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</si>
  <si>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</si>
  <si>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</si>
  <si>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</si>
  <si>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</si>
  <si>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</si>
  <si>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</si>
  <si>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</si>
  <si>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</si>
  <si>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</si>
  <si>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</si>
  <si>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</si>
  <si>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</si>
  <si>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</si>
  <si>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</si>
  <si>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</si>
  <si>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</si>
  <si>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</si>
  <si>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</si>
  <si>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</si>
  <si>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</si>
  <si>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</si>
  <si>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</si>
  <si>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</si>
  <si>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</si>
  <si>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</si>
  <si>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</si>
  <si>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</si>
  <si>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</si>
  <si>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</si>
  <si>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</si>
  <si>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</si>
  <si>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</si>
  <si>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</si>
  <si>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</si>
  <si>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</si>
  <si>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</si>
  <si>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</si>
  <si>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</si>
  <si>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</si>
  <si>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</si>
  <si>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</si>
  <si>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</si>
  <si>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</si>
  <si>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</si>
  <si>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</si>
  <si>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</si>
  <si>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</si>
  <si>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</si>
  <si>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</si>
  <si>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</si>
  <si>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</si>
  <si>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</si>
  <si>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</si>
  <si>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</si>
  <si>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</si>
  <si>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</si>
  <si>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</si>
  <si>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</si>
  <si>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</si>
  <si>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</si>
  <si>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</si>
  <si>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</si>
  <si>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</si>
  <si>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</si>
  <si>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</si>
  <si>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</si>
  <si>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</si>
  <si>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</si>
  <si>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</si>
  <si>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</si>
  <si>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</si>
  <si>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</si>
  <si>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</si>
  <si>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</si>
  <si>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</si>
  <si>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</si>
  <si>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</si>
  <si>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</si>
  <si>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</si>
  <si>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</si>
  <si>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</si>
  <si>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</si>
  <si>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</si>
  <si>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</si>
  <si>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</si>
  <si>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</si>
  <si>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</si>
  <si>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</si>
  <si>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</si>
  <si>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</si>
  <si>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</si>
  <si>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</si>
  <si>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</si>
  <si>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</si>
  <si>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</si>
  <si>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</si>
  <si>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</si>
  <si>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</si>
  <si>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</si>
  <si>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</si>
  <si>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</si>
  <si>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</si>
  <si>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</si>
  <si>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</si>
  <si>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</si>
  <si>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</si>
  <si>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</si>
  <si>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</si>
  <si>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</si>
  <si>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</si>
  <si>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</si>
  <si>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</si>
  <si>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</si>
  <si>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</si>
  <si>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</si>
  <si>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</si>
  <si>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</si>
  <si>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</si>
  <si>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</si>
  <si>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</si>
  <si>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</si>
  <si>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</si>
  <si>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</si>
  <si>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</si>
  <si>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</si>
  <si>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</si>
  <si>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</si>
  <si>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</si>
  <si>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</si>
  <si>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</si>
  <si>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</si>
  <si>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</si>
  <si>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</si>
  <si>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</si>
  <si>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</si>
  <si>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</si>
  <si>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</si>
  <si>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</si>
  <si>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</si>
  <si>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</si>
  <si>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</si>
  <si>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</si>
  <si>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</si>
  <si>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</si>
  <si>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</si>
  <si>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</si>
  <si>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</si>
  <si>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</si>
  <si>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</si>
  <si>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</si>
  <si>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</si>
  <si>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</si>
  <si>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</si>
  <si>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</si>
  <si>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</si>
  <si>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</si>
  <si>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</si>
  <si>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</si>
  <si>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</si>
  <si>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</si>
  <si>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</si>
  <si>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</si>
  <si>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</si>
  <si>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</si>
  <si>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</si>
  <si>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</si>
  <si>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</si>
  <si>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</si>
  <si>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</si>
  <si>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</si>
  <si>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</si>
  <si>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</si>
  <si>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</si>
  <si>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</si>
  <si>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</si>
  <si>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</si>
  <si>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</si>
  <si>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</si>
  <si>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</si>
  <si>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</si>
  <si>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</si>
  <si>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</si>
  <si>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</si>
  <si>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</si>
  <si>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</si>
  <si>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</si>
  <si>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</si>
  <si>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</si>
  <si>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</si>
  <si>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</si>
  <si>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</si>
  <si>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</si>
  <si>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</si>
  <si>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</si>
  <si>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</si>
  <si>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</si>
  <si>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</si>
  <si>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</si>
  <si>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</si>
  <si>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</si>
  <si>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</si>
  <si>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</si>
  <si>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</si>
  <si>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</si>
  <si>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</si>
  <si>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</si>
  <si>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</si>
  <si>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</si>
  <si>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</si>
  <si>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</si>
  <si>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</si>
  <si>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</si>
  <si>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</si>
  <si>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</si>
  <si>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</si>
  <si>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</si>
  <si>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</si>
  <si>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</si>
  <si>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</si>
  <si>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</si>
  <si>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</si>
  <si>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</si>
  <si>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</si>
  <si>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</si>
  <si>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</si>
  <si>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</si>
  <si>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</si>
  <si>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</si>
  <si>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</si>
  <si>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</si>
  <si>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</si>
  <si>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</si>
  <si>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</si>
  <si>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</si>
  <si>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</si>
  <si>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</si>
  <si>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</si>
  <si>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</si>
  <si>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</si>
  <si>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</si>
  <si>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</si>
  <si>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</si>
  <si>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</si>
  <si>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</si>
  <si>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</si>
  <si>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</si>
  <si>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</si>
  <si>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</si>
  <si>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</si>
  <si>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</si>
  <si>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</si>
  <si>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</si>
  <si>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</si>
  <si>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</si>
  <si>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</si>
  <si>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</si>
  <si>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</si>
  <si>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</si>
  <si>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</si>
  <si>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</si>
  <si>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</si>
  <si>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</si>
  <si>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</si>
  <si>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</si>
  <si>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</si>
  <si>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</si>
  <si>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</si>
  <si>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</si>
  <si>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</si>
  <si>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</si>
  <si>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</si>
  <si>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</si>
  <si>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</si>
  <si>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</si>
  <si>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</si>
  <si>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</si>
  <si>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</si>
  <si>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</si>
  <si>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</si>
  <si>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</si>
  <si>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</si>
  <si>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</si>
  <si>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</si>
  <si>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</si>
  <si>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</si>
  <si>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</si>
  <si>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</si>
  <si>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</si>
  <si>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</si>
  <si>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</si>
  <si>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</si>
  <si>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</si>
  <si>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</si>
  <si>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</si>
  <si>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</si>
  <si>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</si>
  <si>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</si>
  <si>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</si>
  <si>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</si>
  <si>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</si>
  <si>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</si>
  <si>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</si>
  <si>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</si>
  <si>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</si>
  <si>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</si>
  <si>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</si>
  <si>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</si>
  <si>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</si>
  <si>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</si>
  <si>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</si>
  <si>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</si>
  <si>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</si>
  <si>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</si>
  <si>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</si>
  <si>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</si>
  <si>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</si>
  <si>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</si>
  <si>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</si>
  <si>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</si>
  <si>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</si>
  <si>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</si>
  <si>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</si>
  <si>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</si>
  <si>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</si>
  <si>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</si>
  <si>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</si>
  <si>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</si>
  <si>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</si>
  <si>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</si>
  <si>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</si>
  <si>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</si>
  <si>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</si>
  <si>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</si>
  <si>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</si>
  <si>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</si>
  <si>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</si>
  <si>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</si>
  <si>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</si>
  <si>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</si>
  <si>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</si>
  <si>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</si>
  <si>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</si>
  <si>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</si>
  <si>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</si>
  <si>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</si>
  <si>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</si>
  <si>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</si>
  <si>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</si>
  <si>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</si>
  <si>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</si>
  <si>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</si>
  <si>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</si>
  <si>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</si>
  <si>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</si>
  <si>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</si>
  <si>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</si>
  <si>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</si>
  <si>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</si>
  <si>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</si>
  <si>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</si>
  <si>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</si>
  <si>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</si>
  <si>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</si>
  <si>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</si>
  <si>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</si>
  <si>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</si>
  <si>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</si>
  <si>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</si>
  <si>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</si>
  <si>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</si>
  <si>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</si>
  <si>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</si>
  <si>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</si>
  <si>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</si>
  <si>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</si>
  <si>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</si>
  <si>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</si>
  <si>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</si>
  <si>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</si>
  <si>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</si>
  <si>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</si>
  <si>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</si>
  <si>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</si>
  <si>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</si>
  <si>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</si>
  <si>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</si>
  <si>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</si>
  <si>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</si>
  <si>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</si>
  <si>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</si>
  <si>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</si>
  <si>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</si>
  <si>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</si>
  <si>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</si>
  <si>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</si>
  <si>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</si>
  <si>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</si>
  <si>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</si>
  <si>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</si>
  <si>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</si>
  <si>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</si>
  <si>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</si>
  <si>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</si>
  <si>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</si>
  <si>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</si>
  <si>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</si>
  <si>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</si>
  <si>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</si>
  <si>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</si>
  <si>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</si>
  <si>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</si>
  <si>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</si>
  <si>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</si>
  <si>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</si>
  <si>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</si>
  <si>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</si>
  <si>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</si>
  <si>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</si>
  <si>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</si>
  <si>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</si>
  <si>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</si>
  <si>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</si>
  <si>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</si>
  <si>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</si>
  <si>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</si>
  <si>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</si>
  <si>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</si>
  <si>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</si>
  <si>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</si>
  <si>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</si>
  <si>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</si>
  <si>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</si>
  <si>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</si>
  <si>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</si>
  <si>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</si>
  <si>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</si>
  <si>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</si>
  <si>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</si>
  <si>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</si>
  <si>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</si>
  <si>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</si>
  <si>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</si>
  <si>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</si>
  <si>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</si>
  <si>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</si>
  <si>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</si>
  <si>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</si>
  <si>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</si>
  <si>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</si>
  <si>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</si>
  <si>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</si>
  <si>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</si>
  <si>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</si>
  <si>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</si>
  <si>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</si>
  <si>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</si>
  <si>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</si>
  <si>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</si>
  <si>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</si>
  <si>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</si>
  <si>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</si>
  <si>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</si>
  <si>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</si>
  <si>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</si>
  <si>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</si>
  <si>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</si>
  <si>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</si>
  <si>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</si>
  <si>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</si>
  <si>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</si>
  <si>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</si>
  <si>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</si>
  <si>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</si>
  <si>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</si>
  <si>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</si>
  <si>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</si>
  <si>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</si>
  <si>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</si>
  <si>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</si>
  <si>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</si>
  <si>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</si>
  <si>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</si>
  <si>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</si>
  <si>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</si>
  <si>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</si>
  <si>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</si>
  <si>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</si>
  <si>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</si>
  <si>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</si>
  <si>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</si>
  <si>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</si>
  <si>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</si>
  <si>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</si>
  <si>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</si>
  <si>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</si>
  <si>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</si>
  <si>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</si>
  <si>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</si>
  <si>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</si>
  <si>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</si>
  <si>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</si>
  <si>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</si>
  <si>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</si>
  <si>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</si>
  <si>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</si>
  <si>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</si>
  <si>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</si>
  <si>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</si>
  <si>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</si>
  <si>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</si>
  <si>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</si>
  <si>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</si>
  <si>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</si>
  <si>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</si>
  <si>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</si>
  <si>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</si>
  <si>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</si>
  <si>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</si>
  <si>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</si>
  <si>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</si>
  <si>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</si>
  <si>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</si>
  <si>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</si>
  <si>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</si>
  <si>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</si>
  <si>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</si>
  <si>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</si>
  <si>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</si>
  <si>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</si>
  <si>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</si>
  <si>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</si>
  <si>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</si>
  <si>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</si>
  <si>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</si>
  <si>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</si>
  <si>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</si>
  <si>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</si>
  <si>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</si>
  <si>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</si>
  <si>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</si>
  <si>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</si>
  <si>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</si>
  <si>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</si>
  <si>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</si>
  <si>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</si>
  <si>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</si>
  <si>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</si>
  <si>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</si>
  <si>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</si>
  <si>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</si>
  <si>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</si>
  <si>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</si>
  <si>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</si>
  <si>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</si>
  <si>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</si>
  <si>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</si>
  <si>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</si>
  <si>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</si>
  <si>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</si>
  <si>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</si>
  <si>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</si>
  <si>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</si>
  <si>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</si>
  <si>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</si>
  <si>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</si>
  <si>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</si>
  <si>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</si>
  <si>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</si>
  <si>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</si>
  <si>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</si>
  <si>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</si>
  <si>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</si>
  <si>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</si>
  <si>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</si>
  <si>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</si>
  <si>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</si>
  <si>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</si>
  <si>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</si>
  <si>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</si>
  <si>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</si>
  <si>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</si>
  <si>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</si>
  <si>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</si>
  <si>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</si>
  <si>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</si>
  <si>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</si>
  <si>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</si>
  <si>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</si>
  <si>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</si>
  <si>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</si>
  <si>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</si>
  <si>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</si>
  <si>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</si>
  <si>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</si>
  <si>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</si>
  <si>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</si>
  <si>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</si>
  <si>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</si>
  <si>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</si>
  <si>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</si>
  <si>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</si>
  <si>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</si>
  <si>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</si>
  <si>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</si>
  <si>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</si>
  <si>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</si>
  <si>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</si>
  <si>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</si>
  <si>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</si>
  <si>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</si>
  <si>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</si>
  <si>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</si>
  <si>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</si>
  <si>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</si>
  <si>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</si>
  <si>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</si>
  <si>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</si>
  <si>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</si>
  <si>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</si>
  <si>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</si>
  <si>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</si>
  <si>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</si>
  <si>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</si>
  <si>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</si>
  <si>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</si>
  <si>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</si>
  <si>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</si>
  <si>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</si>
  <si>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</si>
  <si>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</si>
  <si>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</si>
  <si>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</si>
  <si>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</si>
  <si>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</si>
  <si>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</si>
  <si>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</si>
  <si>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</si>
  <si>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</si>
  <si>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</si>
  <si>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</si>
  <si>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</si>
  <si>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</si>
  <si>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</si>
  <si>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</si>
  <si>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</si>
  <si>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</si>
  <si>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</si>
  <si>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</si>
  <si>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</si>
  <si>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</si>
  <si>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</si>
  <si>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</si>
  <si>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</si>
  <si>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</si>
  <si>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</si>
  <si>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</si>
  <si>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</si>
  <si>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</si>
  <si>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</si>
  <si>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</si>
  <si>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</si>
  <si>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</si>
  <si>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</si>
  <si>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</si>
  <si>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</si>
  <si>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</si>
  <si>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</si>
  <si>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</si>
  <si>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</si>
  <si>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</si>
  <si>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</si>
  <si>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</si>
  <si>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</si>
  <si>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</si>
  <si>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</si>
  <si>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</si>
  <si>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</si>
  <si>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</si>
  <si>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</si>
  <si>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</si>
  <si>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</si>
  <si>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</si>
  <si>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</si>
  <si>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</si>
  <si>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</si>
  <si>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</si>
  <si>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</si>
  <si>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</si>
  <si>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</si>
  <si>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</si>
  <si>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</si>
  <si>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</si>
  <si>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</si>
  <si>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</si>
  <si>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</si>
  <si>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</si>
  <si>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</si>
  <si>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</si>
  <si>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</si>
  <si>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</si>
  <si>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</si>
  <si>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</si>
  <si>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</si>
  <si>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</si>
  <si>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</si>
  <si>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</si>
  <si>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</si>
  <si>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</si>
  <si>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</si>
  <si>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</si>
  <si>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</si>
  <si>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</si>
  <si>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</si>
  <si>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</si>
  <si>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</si>
  <si>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</si>
  <si>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</si>
  <si>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</si>
  <si>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</si>
  <si>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</si>
  <si>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</si>
  <si>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</si>
  <si>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</si>
  <si>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</si>
  <si>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</si>
  <si>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</si>
  <si>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</si>
  <si>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</si>
  <si>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</si>
  <si>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</si>
  <si>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</si>
  <si>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</si>
  <si>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</si>
  <si>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</si>
  <si>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</si>
  <si>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</si>
  <si>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</si>
  <si>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</si>
  <si>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</si>
  <si>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</si>
  <si>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</si>
  <si>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</si>
  <si>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</si>
  <si>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</si>
  <si>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</si>
  <si>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</si>
  <si>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</si>
  <si>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</si>
  <si>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</si>
  <si>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</si>
  <si>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</si>
  <si>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</si>
  <si>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</si>
  <si>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</si>
  <si>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</si>
  <si>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</si>
  <si>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</si>
  <si>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</si>
  <si>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</si>
  <si>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</si>
  <si>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</si>
  <si>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</si>
  <si>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</si>
  <si>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</si>
  <si>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</si>
  <si>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</si>
  <si>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</si>
  <si>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</si>
  <si>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</si>
  <si>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</si>
  <si>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</si>
  <si>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</si>
  <si>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</si>
  <si>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</si>
  <si>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</si>
  <si>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</si>
  <si>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</si>
  <si>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</si>
  <si>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</si>
  <si>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</si>
  <si>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</si>
  <si>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</si>
  <si>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</si>
  <si>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</si>
  <si>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</si>
  <si>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</si>
  <si>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</si>
  <si>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</si>
  <si>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</si>
  <si>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</si>
  <si>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</si>
  <si>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</si>
  <si>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</si>
  <si>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</si>
  <si>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</si>
  <si>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</si>
  <si>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</si>
  <si>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</si>
  <si>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</si>
  <si>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</si>
  <si>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</si>
  <si>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</si>
  <si>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</si>
  <si>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</si>
  <si>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</si>
  <si>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</si>
  <si>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</si>
  <si>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</si>
  <si>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</si>
  <si>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</si>
  <si>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</si>
  <si>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</si>
  <si>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</si>
  <si>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</si>
  <si>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</si>
  <si>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</si>
  <si>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</si>
  <si>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</si>
  <si>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</si>
  <si>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</si>
  <si>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</si>
  <si>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</si>
  <si>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</si>
  <si>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</si>
  <si>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</si>
  <si>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</si>
  <si>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</si>
  <si>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</si>
  <si>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</si>
  <si>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</si>
  <si>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</si>
  <si>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</si>
  <si>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</si>
  <si>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</si>
  <si>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</si>
  <si>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</si>
  <si>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</si>
  <si>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</si>
  <si>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</si>
  <si>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</si>
  <si>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</si>
  <si>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</si>
  <si>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</si>
  <si>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</si>
  <si>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</si>
  <si>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</si>
  <si>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</si>
  <si>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</si>
  <si>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</si>
  <si>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</si>
  <si>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</si>
  <si>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</si>
  <si>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</si>
  <si>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</si>
  <si>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</si>
  <si>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</si>
  <si>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</si>
  <si>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</si>
  <si>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</si>
  <si>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</si>
  <si>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</si>
  <si>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</si>
  <si>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</si>
  <si>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</si>
  <si>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</si>
  <si>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</si>
  <si>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</si>
  <si>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</si>
  <si>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</si>
  <si>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</si>
  <si>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</si>
  <si>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</si>
  <si>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</si>
  <si>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</si>
  <si>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</si>
  <si>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</si>
  <si>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</si>
  <si>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</si>
  <si>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</si>
  <si>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</si>
  <si>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</si>
  <si>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</si>
  <si>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</si>
  <si>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</si>
  <si>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</si>
  <si>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</si>
  <si>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</si>
  <si>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</si>
  <si>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</si>
  <si>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</si>
  <si>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</si>
  <si>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</si>
  <si>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</si>
  <si>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</si>
  <si>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</si>
  <si>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</si>
  <si>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</si>
  <si>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</si>
  <si>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</si>
  <si>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</si>
  <si>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</si>
  <si>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</si>
  <si>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</si>
  <si>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</si>
  <si>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</si>
  <si>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</si>
  <si>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</si>
  <si>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</si>
  <si>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</si>
  <si>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</si>
  <si>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</si>
  <si>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</si>
  <si>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</si>
  <si>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</si>
  <si>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</si>
  <si>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</si>
  <si>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</si>
  <si>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</si>
  <si>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</si>
  <si>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</si>
  <si>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</si>
  <si>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</si>
  <si>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</si>
  <si>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</si>
  <si>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</si>
  <si>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</si>
  <si>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</si>
  <si>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</si>
  <si>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</si>
  <si>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</si>
  <si>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</si>
  <si>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</si>
  <si>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</si>
  <si>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</si>
  <si>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</si>
  <si>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</si>
  <si>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</si>
  <si>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</si>
  <si>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</si>
  <si>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</si>
  <si>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</si>
  <si>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</si>
  <si>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</si>
  <si>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</si>
  <si>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</si>
  <si>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</si>
  <si>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</si>
  <si>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</si>
  <si>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</si>
  <si>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</si>
  <si>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</si>
  <si>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</si>
  <si>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</si>
  <si>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</si>
  <si>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</si>
  <si>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</si>
  <si>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</si>
  <si>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</si>
  <si>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</si>
  <si>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</si>
  <si>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</si>
  <si>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</si>
  <si>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</si>
  <si>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</si>
  <si>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</si>
  <si>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</si>
  <si>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</si>
  <si>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</si>
  <si>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</si>
  <si>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</si>
  <si>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</si>
  <si>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</si>
  <si>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</si>
  <si>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</si>
  <si>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</si>
  <si>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</si>
  <si>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</si>
  <si>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</si>
  <si>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</si>
  <si>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</si>
  <si>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</si>
  <si>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</si>
  <si>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</si>
  <si>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</si>
  <si>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</si>
  <si>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</si>
  <si>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</si>
  <si>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</si>
  <si>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</si>
  <si>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</si>
  <si>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</si>
  <si>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</si>
  <si>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</si>
  <si>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</si>
  <si>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</si>
  <si>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</si>
  <si>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</si>
  <si>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</si>
  <si>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</si>
  <si>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</si>
  <si>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</si>
  <si>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</si>
  <si>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</si>
  <si>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</si>
  <si>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</si>
  <si>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</si>
  <si>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</si>
  <si>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</si>
  <si>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</si>
  <si>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</si>
  <si>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</si>
  <si>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</si>
  <si>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</si>
  <si>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</si>
  <si>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</si>
  <si>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</si>
  <si>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</si>
  <si>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</si>
  <si>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</si>
  <si>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</si>
  <si>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</si>
  <si>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</si>
  <si>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</si>
  <si>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</si>
  <si>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</si>
  <si>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</si>
  <si>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</si>
  <si>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</si>
  <si>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</si>
  <si>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</si>
  <si>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</si>
  <si>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</si>
  <si>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</si>
  <si>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</si>
  <si>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</si>
  <si>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</si>
  <si>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</si>
  <si>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</si>
  <si>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</si>
  <si>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</si>
  <si>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</si>
  <si>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</si>
  <si>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</si>
  <si>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</si>
  <si>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</si>
  <si>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</si>
  <si>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</si>
  <si>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</si>
  <si>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</si>
  <si>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</si>
  <si>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</si>
  <si>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</si>
  <si>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</si>
  <si>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</si>
  <si>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</si>
  <si>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</si>
  <si>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</si>
  <si>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</si>
  <si>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</si>
  <si>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</si>
  <si>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</si>
  <si>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</si>
  <si>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</si>
  <si>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</si>
  <si>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</si>
  <si>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</si>
  <si>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</si>
  <si>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</si>
  <si>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</si>
  <si>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</si>
  <si>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</si>
  <si>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</si>
  <si>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</si>
  <si>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</si>
  <si>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</si>
  <si>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</si>
  <si>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</si>
  <si>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</si>
  <si>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</si>
  <si>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</si>
  <si>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</si>
  <si>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</si>
  <si>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</si>
  <si>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</si>
  <si>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</si>
  <si>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</si>
  <si>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</si>
  <si>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</si>
  <si>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</si>
  <si>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</si>
  <si>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</si>
  <si>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</si>
  <si>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</si>
  <si>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</si>
  <si>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</si>
  <si>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</si>
  <si>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</si>
  <si>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</si>
  <si>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</si>
  <si>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</si>
  <si>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</si>
  <si>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</si>
  <si>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</si>
  <si>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</si>
  <si>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</si>
  <si>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</si>
  <si>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</si>
  <si>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</si>
  <si>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</si>
  <si>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</si>
  <si>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</si>
  <si>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</si>
  <si>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</si>
  <si>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</si>
  <si>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</si>
  <si>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</si>
  <si>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</si>
  <si>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</si>
  <si>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</si>
  <si>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</si>
  <si>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</si>
  <si>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</si>
  <si>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</si>
  <si>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</si>
  <si>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</si>
  <si>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</si>
  <si>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</si>
  <si>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</si>
  <si>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</si>
  <si>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</si>
  <si>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</si>
  <si>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</si>
  <si>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</si>
  <si>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</si>
  <si>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</si>
  <si>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</si>
  <si>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</si>
  <si>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</si>
  <si>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</si>
  <si>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</si>
  <si>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</si>
  <si>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</si>
  <si>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</si>
  <si>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</si>
  <si>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</si>
  <si>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</si>
  <si>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</si>
  <si>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</si>
  <si>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</si>
  <si>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</si>
  <si>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</si>
  <si>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</si>
  <si>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</si>
  <si>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</si>
  <si>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</si>
  <si>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</si>
  <si>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</si>
  <si>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</si>
  <si>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</si>
  <si>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</si>
  <si>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</si>
  <si>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</si>
  <si>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</si>
  <si>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</si>
  <si>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</si>
  <si>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</si>
  <si>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</si>
  <si>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</si>
  <si>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</si>
  <si>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</si>
  <si>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</si>
  <si>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</si>
  <si>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</si>
  <si>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</si>
  <si>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</si>
  <si>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</si>
  <si>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</si>
  <si>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</si>
  <si>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</si>
  <si>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</si>
  <si>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</si>
  <si>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</si>
  <si>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</si>
  <si>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</si>
  <si>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</si>
  <si>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</si>
  <si>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</si>
  <si>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</si>
  <si>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</si>
  <si>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</si>
  <si>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</si>
  <si>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</si>
  <si>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</si>
  <si>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</si>
  <si>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</si>
  <si>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</si>
  <si>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</si>
  <si>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</si>
  <si>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</si>
  <si>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</si>
  <si>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</si>
  <si>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</si>
  <si>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</si>
  <si>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</si>
  <si>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</si>
  <si>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</si>
  <si>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</si>
  <si>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</si>
  <si>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</si>
  <si>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</si>
  <si>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</si>
  <si>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</si>
  <si>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</si>
  <si>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</si>
  <si>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</si>
  <si>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</si>
  <si>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</si>
  <si>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</si>
  <si>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</si>
  <si>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</si>
  <si>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</si>
  <si>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</si>
  <si>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</si>
  <si>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</si>
  <si>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</si>
  <si>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</si>
  <si>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</si>
  <si>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</si>
  <si>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</si>
  <si>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</si>
  <si>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</si>
  <si>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</si>
  <si>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</si>
  <si>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</si>
  <si>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</si>
  <si>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</si>
  <si>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</si>
  <si>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</si>
  <si>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</si>
  <si>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</si>
  <si>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</si>
  <si>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</si>
  <si>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</si>
  <si>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</si>
  <si>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</si>
  <si>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</si>
  <si>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</si>
  <si>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</si>
  <si>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</si>
  <si>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</si>
  <si>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</si>
  <si>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</si>
  <si>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</si>
  <si>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</si>
  <si>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</si>
  <si>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</si>
  <si>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</si>
  <si>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</si>
  <si>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</si>
  <si>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</si>
  <si>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</si>
  <si>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</si>
  <si>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</si>
  <si>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</si>
  <si>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</si>
  <si>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</si>
  <si>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</si>
  <si>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</si>
  <si>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</si>
  <si>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</si>
  <si>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</si>
  <si>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</si>
  <si>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</si>
  <si>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</si>
  <si>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</si>
  <si>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</si>
  <si>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</si>
  <si>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</si>
  <si>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</si>
  <si>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</si>
  <si>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</si>
  <si>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</si>
  <si>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</si>
  <si>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</si>
  <si>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</si>
  <si>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</si>
  <si>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</si>
  <si>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</si>
  <si>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</si>
  <si>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</si>
  <si>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</si>
  <si>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</si>
  <si>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</si>
  <si>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</si>
  <si>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</si>
  <si>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</si>
  <si>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</si>
  <si>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</si>
  <si>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</si>
  <si>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</si>
  <si>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</si>
  <si>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</si>
  <si>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</si>
  <si>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</si>
  <si>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</si>
  <si>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</si>
  <si>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</si>
  <si>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</si>
  <si>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</si>
  <si>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</si>
  <si>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</si>
  <si>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</si>
  <si>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</si>
  <si>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</si>
  <si>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</si>
  <si>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</si>
  <si>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</si>
  <si>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</si>
  <si>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</si>
  <si>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</si>
  <si>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</si>
  <si>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</si>
  <si>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</si>
  <si>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</si>
  <si>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</si>
  <si>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</si>
  <si>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</si>
  <si>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</si>
  <si>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</si>
  <si>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</si>
  <si>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</si>
  <si>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</si>
  <si>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</si>
  <si>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</si>
  <si>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</si>
  <si>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</si>
  <si>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</si>
  <si>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</si>
  <si>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</si>
  <si>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</si>
  <si>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</si>
  <si>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</si>
  <si>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</si>
  <si>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</si>
  <si>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</si>
  <si>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</si>
  <si>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</si>
  <si>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</si>
  <si>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</si>
  <si>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</si>
  <si>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</si>
  <si>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</si>
  <si>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</si>
  <si>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</si>
  <si>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</si>
  <si>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</si>
  <si>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</si>
  <si>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</si>
  <si>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</si>
  <si>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</si>
  <si>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</si>
  <si>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</si>
  <si>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</si>
  <si>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</si>
  <si>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</si>
  <si>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</si>
  <si>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</si>
  <si>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</si>
  <si>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</si>
  <si>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</si>
  <si>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</si>
  <si>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</si>
  <si>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</si>
  <si>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</si>
  <si>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</si>
  <si>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</si>
  <si>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</si>
  <si>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</si>
  <si>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</si>
  <si>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</si>
  <si>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</si>
  <si>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</si>
  <si>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</si>
  <si>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</si>
  <si>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</si>
  <si>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</si>
  <si>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</si>
  <si>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</si>
  <si>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</si>
  <si>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</si>
  <si>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</si>
  <si>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</si>
  <si>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</si>
  <si>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</si>
  <si>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</si>
  <si>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</si>
  <si>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</si>
  <si>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</si>
  <si>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</si>
  <si>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</si>
  <si>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</si>
  <si>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</si>
  <si>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</si>
  <si>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</si>
  <si>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</si>
  <si>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</si>
  <si>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</si>
  <si>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</si>
  <si>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</si>
  <si>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</si>
  <si>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</si>
  <si>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</si>
  <si>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</si>
  <si>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</si>
  <si>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</si>
  <si>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</si>
  <si>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</si>
  <si>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</si>
  <si>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</si>
  <si>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</si>
  <si>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</si>
  <si>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</si>
  <si>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</si>
  <si>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</si>
  <si>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</si>
  <si>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</si>
  <si>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</si>
  <si>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</si>
  <si>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</si>
  <si>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</si>
  <si>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</si>
  <si>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</si>
  <si>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</si>
  <si>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</si>
  <si>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</si>
  <si>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</si>
  <si>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</si>
  <si>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</si>
  <si>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</si>
  <si>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</si>
  <si>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</si>
  <si>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</si>
  <si>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</si>
  <si>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</si>
  <si>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</si>
  <si>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</si>
  <si>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</si>
  <si>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</si>
  <si>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</si>
  <si>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</si>
  <si>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</si>
  <si>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</si>
  <si>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</si>
  <si>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</si>
  <si>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</si>
  <si>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</si>
  <si>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</si>
  <si>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</si>
  <si>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</si>
  <si>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</si>
  <si>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</si>
  <si>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</si>
  <si>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</si>
  <si>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</si>
  <si>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</si>
  <si>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</si>
  <si>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</si>
  <si>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</si>
  <si>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</si>
  <si>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</si>
  <si>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</si>
  <si>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</si>
  <si>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</si>
  <si>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</si>
  <si>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</si>
  <si>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</si>
  <si>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</si>
  <si>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</si>
  <si>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</si>
  <si>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</si>
  <si>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</si>
  <si>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</si>
  <si>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</si>
  <si>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</si>
  <si>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</si>
  <si>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</si>
  <si>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</si>
  <si>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</si>
  <si>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</si>
  <si>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</si>
  <si>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</si>
  <si>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</si>
  <si>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</si>
  <si>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</si>
  <si>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</si>
  <si>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</si>
  <si>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</si>
  <si>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</si>
  <si>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</si>
  <si>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</si>
  <si>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</si>
  <si>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</si>
  <si>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</si>
  <si>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</si>
  <si>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</si>
  <si>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</si>
  <si>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</si>
  <si>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</si>
  <si>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</si>
  <si>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</si>
  <si>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</si>
  <si>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</si>
  <si>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</si>
  <si>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</si>
  <si>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</si>
  <si>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</si>
  <si>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</si>
  <si>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</si>
  <si>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</si>
  <si>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</si>
  <si>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</si>
  <si>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</si>
  <si>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</si>
  <si>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</si>
  <si>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</si>
  <si>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</si>
  <si>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</si>
  <si>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</si>
  <si>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</si>
  <si>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</si>
  <si>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</si>
  <si>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</si>
  <si>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</si>
  <si>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</si>
  <si>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</si>
  <si>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</si>
  <si>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</si>
  <si>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</si>
  <si>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</si>
  <si>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</si>
  <si>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</si>
  <si>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</si>
  <si>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</si>
  <si>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</si>
  <si>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</si>
  <si>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</si>
  <si>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</si>
  <si>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</si>
  <si>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</si>
  <si>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</si>
  <si>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</si>
  <si>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</si>
  <si>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</si>
  <si>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</si>
  <si>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</si>
  <si>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</si>
  <si>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</si>
  <si>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</si>
  <si>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</si>
  <si>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</si>
  <si>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</si>
  <si>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</si>
  <si>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</si>
  <si>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</si>
  <si>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</si>
  <si>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</si>
  <si>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</si>
  <si>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</si>
  <si>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</si>
  <si>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</si>
  <si>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</si>
  <si>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</si>
  <si>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</si>
  <si>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</si>
  <si>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</si>
  <si>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</si>
  <si>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</si>
  <si>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</si>
  <si>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</si>
  <si>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</si>
  <si>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</si>
  <si>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</si>
  <si>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</si>
  <si>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</si>
  <si>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</si>
  <si>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</si>
  <si>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</si>
  <si>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</si>
  <si>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</si>
  <si>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</si>
  <si>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</si>
  <si>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</si>
  <si>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</si>
  <si>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</si>
  <si>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</si>
  <si>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</si>
  <si>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</si>
  <si>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</si>
  <si>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</si>
  <si>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</si>
  <si>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</si>
  <si>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</si>
  <si>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</si>
  <si>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</si>
  <si>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</si>
  <si>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</si>
  <si>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</si>
  <si>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</si>
  <si>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</si>
  <si>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</si>
  <si>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</si>
  <si>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</si>
  <si>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</si>
  <si>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</si>
  <si>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</si>
  <si>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</si>
  <si>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</si>
  <si>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</si>
  <si>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</si>
  <si>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</si>
  <si>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</si>
  <si>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</si>
  <si>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</si>
  <si>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</si>
  <si>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</si>
  <si>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</si>
  <si>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</si>
  <si>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</si>
  <si>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</si>
  <si>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</si>
  <si>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</si>
  <si>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</si>
  <si>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</si>
  <si>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</si>
  <si>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</si>
  <si>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</si>
  <si>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</si>
  <si>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</si>
  <si>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</si>
  <si>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</si>
  <si>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</si>
  <si>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</si>
  <si>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</si>
  <si>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</si>
  <si>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</si>
  <si>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</si>
  <si>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</si>
  <si>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</si>
  <si>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</si>
  <si>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</si>
  <si>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</si>
  <si>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</si>
  <si>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</si>
  <si>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</si>
  <si>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</si>
  <si>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</si>
  <si>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</si>
  <si>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</si>
  <si>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</si>
  <si>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</si>
  <si>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</si>
  <si>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</si>
  <si>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</si>
  <si>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</si>
  <si>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</si>
  <si>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</si>
  <si>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</si>
  <si>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</si>
  <si>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</si>
  <si>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</si>
  <si>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</si>
  <si>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</si>
  <si>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</si>
  <si>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</si>
  <si>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</si>
  <si>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</si>
  <si>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</si>
  <si>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</si>
  <si>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</si>
  <si>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</si>
  <si>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</si>
  <si>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</si>
  <si>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</si>
  <si>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</si>
  <si>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</si>
  <si>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</si>
  <si>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</si>
  <si>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</si>
  <si>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</si>
  <si>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</si>
  <si>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</si>
  <si>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</si>
  <si>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</si>
  <si>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</si>
  <si>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</si>
  <si>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</si>
  <si>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</si>
  <si>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</si>
  <si>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</si>
  <si>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</si>
  <si>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</si>
  <si>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</si>
  <si>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</si>
  <si>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</si>
  <si>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</si>
  <si>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</si>
  <si>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</si>
  <si>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</si>
  <si>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</si>
  <si>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</si>
  <si>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</si>
  <si>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</si>
  <si>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</si>
  <si>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</si>
  <si>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</si>
  <si>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</si>
  <si>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</si>
  <si>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</si>
  <si>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</si>
  <si>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</si>
  <si>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</si>
  <si>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</si>
  <si>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</si>
  <si>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</si>
  <si>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</si>
  <si>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</si>
  <si>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</si>
  <si>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</si>
  <si>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</si>
  <si>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</si>
  <si>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</si>
  <si>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</si>
  <si>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</si>
  <si>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</si>
  <si>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</si>
  <si>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</si>
  <si>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</si>
  <si>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</si>
  <si>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</si>
  <si>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</si>
  <si>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</si>
  <si>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</si>
  <si>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</si>
  <si>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</si>
  <si>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</si>
  <si>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</si>
  <si>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</si>
  <si>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</si>
  <si>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</si>
  <si>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</si>
  <si>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</si>
  <si>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</si>
  <si>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</si>
  <si>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</si>
  <si>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</si>
  <si>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</si>
  <si>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</si>
  <si>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</si>
  <si>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</si>
  <si>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</si>
  <si>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</si>
  <si>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</si>
  <si>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</si>
  <si>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</si>
  <si>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</si>
  <si>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</si>
  <si>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</si>
  <si>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</si>
  <si>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</si>
  <si>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</si>
  <si>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</si>
  <si>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</si>
  <si>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</si>
  <si>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</si>
  <si>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</si>
  <si>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</si>
  <si>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</si>
  <si>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</si>
  <si>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</si>
  <si>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</si>
  <si>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</si>
  <si>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</si>
  <si>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</si>
  <si>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</si>
  <si>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</si>
  <si>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</si>
  <si>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</si>
  <si>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</si>
  <si>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</si>
  <si>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</si>
  <si>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</si>
  <si>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</si>
  <si>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</si>
  <si>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</si>
  <si>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</si>
  <si>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</si>
  <si>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</si>
  <si>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</si>
  <si>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</si>
  <si>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</si>
  <si>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</si>
  <si>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</si>
  <si>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</si>
  <si>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</si>
  <si>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</si>
  <si>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</si>
  <si>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</si>
  <si>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</si>
  <si>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</si>
  <si>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</si>
  <si>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</si>
  <si>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</si>
  <si>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</si>
  <si>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</si>
  <si>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</si>
  <si>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</si>
  <si>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</si>
  <si>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</si>
  <si>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</si>
  <si>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</si>
  <si>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</si>
  <si>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</si>
  <si>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</si>
  <si>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</si>
  <si>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</si>
  <si>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</si>
  <si>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</si>
  <si>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</si>
  <si>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</si>
  <si>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</si>
  <si>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</si>
  <si>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</si>
  <si>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</si>
  <si>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</si>
  <si>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</si>
  <si>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</si>
  <si>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</si>
  <si>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</si>
  <si>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</si>
  <si>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</si>
  <si>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</si>
  <si>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</si>
  <si>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</si>
  <si>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</si>
  <si>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</si>
  <si>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</si>
  <si>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</si>
  <si>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</si>
  <si>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</si>
  <si>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</si>
  <si>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</si>
  <si>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</si>
  <si>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</si>
  <si>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</si>
  <si>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</si>
  <si>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</si>
  <si>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</si>
  <si>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</si>
  <si>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</si>
  <si>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</si>
  <si>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</si>
  <si>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</si>
  <si>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</si>
  <si>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</si>
  <si>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</si>
  <si>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</si>
  <si>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</si>
  <si>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</si>
  <si>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</si>
  <si>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</si>
  <si>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</si>
  <si>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</si>
  <si>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</si>
  <si>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</si>
  <si>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</si>
  <si>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</si>
  <si>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</si>
  <si>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</si>
  <si>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</si>
  <si>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</si>
  <si>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</si>
  <si>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</si>
  <si>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</si>
  <si>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</si>
  <si>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</si>
  <si>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</si>
  <si>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</si>
  <si>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</si>
  <si>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</si>
  <si>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</si>
  <si>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</si>
  <si>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</si>
  <si>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</si>
  <si>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</si>
  <si>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</si>
  <si>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</si>
  <si>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</si>
  <si>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</si>
  <si>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</si>
  <si>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</si>
  <si>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</si>
  <si>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</si>
  <si>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</si>
  <si>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</si>
  <si>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</si>
  <si>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</si>
  <si>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</si>
  <si>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</si>
  <si>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</si>
  <si>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</si>
  <si>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</si>
  <si>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</si>
  <si>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</si>
  <si>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</si>
  <si>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</si>
  <si>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</si>
  <si>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</si>
  <si>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</si>
  <si>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</si>
  <si>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</si>
  <si>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</si>
  <si>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</si>
  <si>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</si>
  <si>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</si>
  <si>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</si>
  <si>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</si>
  <si>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</si>
  <si>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</si>
  <si>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</si>
  <si>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</si>
  <si>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</si>
  <si>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</si>
  <si>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</si>
  <si>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</si>
  <si>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</si>
  <si>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</si>
  <si>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</si>
  <si>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</si>
  <si>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</si>
  <si>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</si>
  <si>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</si>
  <si>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</si>
  <si>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</si>
  <si>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</si>
  <si>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</si>
  <si>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</si>
  <si>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</si>
  <si>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</si>
  <si>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</si>
  <si>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</si>
  <si>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</si>
  <si>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</si>
  <si>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</si>
  <si>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</si>
  <si>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</si>
  <si>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</si>
  <si>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</si>
  <si>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</si>
  <si>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</si>
  <si>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</si>
  <si>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</si>
  <si>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</si>
  <si>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</si>
  <si>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</si>
  <si>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</si>
  <si>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</si>
  <si>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</si>
  <si>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</si>
  <si>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</si>
  <si>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</si>
  <si>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</si>
  <si>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</si>
  <si>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</si>
  <si>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</si>
  <si>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</si>
  <si>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</si>
  <si>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</si>
  <si>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</si>
  <si>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</si>
  <si>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</si>
  <si>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</si>
  <si>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</si>
  <si>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</si>
  <si>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</si>
  <si>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</si>
  <si>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</si>
  <si>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</si>
  <si>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</si>
  <si>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</si>
  <si>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</si>
  <si>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</si>
  <si>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</si>
  <si>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</si>
  <si>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</si>
  <si>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</si>
  <si>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</si>
  <si>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</si>
  <si>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</si>
  <si>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</si>
  <si>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</si>
  <si>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</si>
  <si>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</si>
  <si>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</si>
  <si>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</si>
  <si>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</si>
  <si>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</si>
  <si>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</si>
  <si>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</si>
  <si>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</si>
  <si>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</si>
  <si>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</si>
  <si>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</si>
  <si>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</si>
  <si>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</si>
  <si>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</si>
  <si>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</si>
  <si>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</si>
  <si>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</si>
  <si>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</si>
  <si>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</si>
  <si>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</si>
  <si>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</si>
  <si>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</si>
  <si>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</si>
  <si>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</si>
  <si>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</si>
  <si>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</si>
  <si>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</si>
  <si>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</si>
  <si>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</si>
  <si>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</si>
  <si>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</si>
  <si>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</si>
  <si>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</si>
  <si>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</si>
  <si>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</si>
  <si>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</si>
  <si>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</si>
  <si>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</si>
  <si>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</si>
  <si>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</si>
  <si>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</si>
  <si>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</si>
  <si>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</si>
  <si>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</si>
  <si>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</si>
  <si>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</si>
  <si>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</si>
  <si>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</si>
  <si>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</si>
  <si>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</si>
  <si>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</si>
  <si>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</si>
  <si>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</si>
  <si>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</si>
  <si>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</si>
  <si>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</si>
  <si>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</si>
  <si>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</si>
  <si>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</si>
  <si>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</si>
  <si>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</si>
  <si>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</si>
  <si>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</si>
  <si>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</si>
  <si>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</si>
  <si>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</si>
  <si>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</si>
  <si>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</si>
  <si>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</si>
  <si>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</si>
  <si>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</si>
  <si>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</si>
  <si>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</si>
  <si>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</si>
  <si>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</si>
  <si>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</si>
  <si>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</si>
  <si>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</si>
  <si>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</si>
  <si>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</si>
  <si>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</si>
  <si>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</si>
  <si>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</si>
  <si>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</si>
  <si>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</si>
  <si>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</si>
  <si>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</si>
  <si>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</si>
  <si>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</si>
  <si>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</si>
  <si>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</si>
  <si>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</si>
  <si>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</si>
  <si>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</si>
  <si>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</si>
  <si>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</si>
  <si>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</si>
  <si>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</si>
  <si>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</si>
  <si>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</si>
  <si>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</si>
  <si>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</si>
  <si>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</si>
  <si>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</si>
  <si>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</si>
  <si>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</si>
  <si>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</si>
  <si>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</si>
  <si>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</si>
  <si>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</si>
  <si>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</si>
  <si>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</si>
  <si>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</si>
  <si>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</si>
  <si>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</si>
  <si>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</si>
  <si>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</si>
  <si>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</si>
  <si>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</si>
  <si>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</si>
  <si>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</si>
  <si>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</si>
  <si>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</si>
  <si>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</si>
  <si>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</si>
  <si>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</si>
  <si>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</si>
  <si>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</si>
  <si>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</si>
  <si>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</si>
  <si>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</si>
  <si>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</si>
  <si>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</si>
  <si>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</si>
  <si>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</si>
  <si>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</si>
  <si>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</si>
  <si>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</si>
  <si>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</si>
  <si>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</si>
  <si>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</si>
  <si>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</si>
  <si>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</si>
  <si>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</si>
  <si>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</si>
  <si>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</si>
  <si>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</si>
  <si>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</si>
  <si>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</si>
  <si>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</si>
  <si>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</si>
  <si>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</si>
  <si>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</si>
  <si>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</si>
  <si>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</si>
  <si>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</si>
  <si>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</si>
  <si>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</si>
  <si>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</si>
  <si>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</si>
  <si>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</si>
  <si>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</si>
  <si>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</si>
  <si>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</si>
  <si>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</si>
  <si>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</si>
  <si>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</si>
  <si>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</si>
  <si>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</si>
  <si>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</si>
  <si>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</si>
  <si>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</si>
  <si>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</si>
  <si>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</si>
  <si>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</si>
  <si>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</si>
  <si>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</si>
  <si>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</si>
  <si>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</si>
  <si>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</si>
  <si>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</si>
  <si>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</si>
  <si>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</si>
  <si>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</si>
  <si>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</si>
  <si>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</si>
  <si>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</si>
  <si>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</si>
  <si>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</si>
  <si>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</si>
  <si>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</si>
  <si>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</si>
  <si>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</si>
  <si>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</si>
  <si>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</si>
  <si>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</si>
  <si>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</si>
  <si>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</si>
  <si>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</si>
  <si>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</si>
  <si>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</si>
  <si>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</si>
  <si>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</si>
  <si>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</si>
  <si>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</si>
  <si>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</si>
  <si>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</si>
  <si>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</si>
  <si>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</si>
  <si>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</si>
  <si>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</si>
  <si>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</si>
  <si>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</si>
  <si>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</si>
  <si>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</si>
  <si>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</si>
  <si>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</si>
  <si>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</si>
  <si>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</si>
  <si>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</si>
  <si>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</si>
  <si>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</si>
  <si>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</si>
  <si>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</si>
  <si>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</si>
  <si>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</si>
  <si>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</si>
  <si>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</si>
  <si>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</si>
  <si>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</si>
  <si>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</si>
  <si>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</si>
  <si>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</si>
  <si>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</si>
  <si>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</si>
  <si>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</si>
  <si>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</si>
  <si>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</si>
  <si>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</si>
  <si>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</si>
  <si>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</si>
  <si>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</si>
  <si>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</si>
  <si>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</si>
  <si>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</si>
  <si>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</si>
  <si>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</si>
  <si>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</si>
  <si>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</si>
  <si>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</si>
  <si>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</si>
  <si>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</si>
  <si>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</si>
  <si>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</si>
  <si>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</si>
  <si>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</si>
  <si>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</si>
  <si>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</si>
  <si>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</si>
  <si>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</si>
  <si>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</si>
  <si>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</si>
  <si>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</si>
  <si>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</si>
  <si>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</si>
  <si>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</si>
  <si>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</si>
  <si>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</si>
  <si>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</si>
  <si>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</si>
  <si>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</si>
  <si>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</si>
  <si>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</si>
  <si>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</si>
  <si>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</si>
  <si>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</si>
  <si>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</si>
  <si>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</si>
  <si>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</si>
  <si>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</si>
  <si>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</si>
  <si>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</si>
  <si>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</si>
  <si>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</si>
  <si>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</si>
  <si>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</si>
  <si>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</si>
  <si>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</si>
  <si>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</si>
  <si>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</si>
  <si>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</si>
  <si>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</si>
  <si>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</si>
  <si>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</si>
  <si>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</si>
  <si>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</si>
  <si>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</si>
  <si>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</si>
  <si>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</si>
  <si>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</si>
  <si>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</si>
  <si>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</si>
  <si>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</si>
  <si>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</si>
  <si>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</si>
  <si>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</si>
  <si>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</si>
  <si>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</si>
  <si>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</si>
  <si>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</si>
  <si>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</si>
  <si>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</si>
  <si>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</si>
  <si>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</si>
  <si>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</si>
  <si>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</si>
  <si>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</si>
  <si>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</si>
  <si>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</si>
  <si>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</si>
  <si>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</si>
  <si>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</si>
  <si>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</si>
  <si>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</si>
  <si>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</si>
  <si>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</si>
  <si>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</si>
  <si>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</si>
  <si>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</si>
  <si>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</si>
  <si>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</si>
  <si>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</si>
  <si>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</si>
  <si>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</si>
  <si>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</si>
  <si>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</si>
  <si>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</si>
  <si>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</si>
  <si>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</si>
  <si>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</si>
  <si>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</si>
  <si>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</si>
  <si>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</si>
  <si>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</si>
  <si>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</si>
  <si>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</si>
  <si>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</si>
  <si>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</si>
  <si>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</si>
  <si>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</si>
  <si>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</si>
  <si>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</si>
  <si>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</si>
  <si>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</si>
  <si>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</si>
  <si>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</si>
  <si>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</si>
  <si>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</si>
  <si>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</si>
  <si>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</si>
  <si>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</si>
  <si>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</si>
  <si>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</si>
  <si>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</si>
  <si>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</si>
  <si>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</si>
  <si>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</si>
  <si>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</si>
  <si>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</si>
  <si>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</si>
  <si>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</si>
  <si>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</si>
  <si>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</si>
  <si>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</si>
  <si>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</si>
  <si>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</si>
  <si>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</si>
  <si>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</si>
  <si>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</si>
  <si>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</si>
  <si>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</si>
  <si>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</si>
  <si>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</si>
  <si>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</si>
  <si>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</si>
  <si>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</si>
  <si>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</si>
  <si>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</si>
  <si>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</si>
  <si>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</si>
  <si>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</si>
  <si>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</si>
  <si>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</si>
  <si>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</si>
  <si>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</si>
  <si>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</si>
  <si>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</si>
  <si>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</si>
  <si>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</si>
  <si>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</si>
  <si>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</si>
  <si>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</si>
  <si>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</si>
  <si>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</si>
  <si>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</si>
  <si>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</si>
  <si>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</si>
  <si>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</si>
  <si>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</si>
  <si>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</si>
  <si>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</si>
  <si>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</si>
  <si>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</si>
  <si>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</si>
  <si>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</si>
  <si>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</si>
  <si>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</si>
  <si>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</si>
  <si>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</si>
  <si>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</si>
  <si>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</si>
  <si>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</si>
  <si>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</si>
  <si>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</si>
  <si>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</si>
  <si>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</si>
  <si>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</si>
  <si>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</si>
  <si>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</si>
  <si>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</si>
  <si>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</si>
  <si>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</si>
  <si>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</si>
  <si>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</si>
  <si>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</si>
  <si>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</si>
  <si>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</si>
  <si>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</si>
  <si>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</si>
  <si>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</si>
  <si>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</si>
  <si>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</si>
  <si>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</si>
  <si>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</si>
  <si>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</si>
  <si>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</si>
  <si>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</si>
  <si>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</si>
  <si>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</si>
  <si>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</si>
  <si>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</si>
  <si>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</si>
  <si>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</si>
  <si>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</si>
  <si>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</si>
  <si>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</si>
  <si>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</si>
  <si>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</si>
  <si>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</si>
  <si>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</si>
  <si>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</si>
  <si>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</si>
  <si>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</si>
  <si>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</si>
  <si>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</si>
  <si>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</si>
  <si>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</si>
  <si>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</si>
  <si>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</si>
  <si>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</si>
  <si>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</si>
  <si>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</si>
  <si>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</si>
  <si>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</si>
  <si>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</si>
  <si>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</si>
  <si>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</si>
  <si>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</si>
  <si>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</si>
  <si>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</si>
  <si>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</si>
  <si>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</si>
  <si>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</si>
  <si>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</si>
  <si>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</si>
  <si>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</si>
  <si>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</si>
  <si>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</si>
  <si>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</si>
  <si>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</si>
  <si>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</si>
  <si>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</si>
  <si>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</si>
  <si>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</si>
  <si>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</si>
  <si>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</si>
  <si>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</si>
  <si>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</si>
  <si>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</si>
  <si>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</si>
  <si>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</si>
  <si>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</si>
  <si>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</si>
  <si>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</si>
  <si>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</si>
  <si>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</si>
  <si>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</si>
  <si>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</si>
  <si>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</si>
  <si>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</si>
  <si>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</si>
  <si>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</si>
  <si>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</si>
  <si>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</si>
  <si>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</si>
  <si>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</si>
  <si>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</si>
  <si>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</si>
  <si>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</si>
  <si>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</si>
  <si>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</si>
  <si>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</si>
  <si>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</si>
  <si>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</si>
  <si>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</si>
  <si>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</si>
  <si>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</si>
  <si>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</si>
  <si>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</si>
  <si>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</si>
  <si>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</si>
  <si>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</si>
  <si>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</si>
  <si>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</si>
  <si>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</si>
  <si>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</si>
  <si>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</si>
  <si>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</si>
  <si>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</si>
  <si>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</si>
  <si>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</si>
  <si>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</si>
  <si>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</si>
  <si>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</si>
  <si>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</si>
  <si>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</si>
  <si>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</si>
  <si>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</si>
  <si>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</si>
  <si>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</si>
  <si>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</si>
  <si>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</si>
  <si>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</si>
  <si>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</si>
  <si>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</si>
  <si>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</si>
  <si>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</si>
  <si>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</si>
  <si>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</si>
  <si>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</si>
  <si>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</si>
  <si>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</si>
  <si>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</si>
  <si>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</si>
  <si>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</si>
  <si>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</si>
  <si>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</si>
  <si>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</si>
  <si>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</si>
  <si>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</si>
  <si>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</si>
  <si>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</si>
  <si>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</si>
  <si>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</si>
  <si>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</si>
  <si>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</si>
  <si>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</si>
  <si>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</si>
  <si>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</si>
  <si>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</si>
  <si>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</si>
  <si>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</si>
  <si>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</si>
  <si>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</si>
  <si>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</si>
  <si>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</si>
  <si>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</si>
  <si>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</si>
  <si>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</si>
  <si>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</si>
  <si>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</si>
  <si>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</si>
  <si>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</si>
  <si>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</si>
  <si>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</si>
  <si>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</si>
  <si>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</si>
  <si>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</si>
  <si>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</si>
  <si>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</si>
  <si>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</si>
  <si>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</si>
  <si>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</si>
  <si>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</si>
  <si>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</si>
  <si>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</si>
  <si>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</si>
  <si>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</si>
  <si>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</si>
  <si>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</si>
  <si>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</si>
  <si>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</si>
  <si>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</si>
  <si>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</si>
  <si>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</si>
  <si>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</si>
  <si>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</si>
  <si>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</si>
  <si>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</si>
  <si>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</si>
  <si>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</si>
  <si>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</si>
  <si>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</si>
  <si>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</si>
  <si>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</si>
  <si>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</si>
  <si>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</si>
  <si>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</si>
  <si>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</si>
  <si>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</si>
  <si>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</si>
  <si>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</si>
  <si>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</si>
  <si>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</si>
  <si>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</si>
  <si>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</si>
  <si>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</si>
  <si>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</si>
  <si>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</si>
  <si>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</si>
  <si>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</si>
  <si>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</si>
  <si>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</si>
  <si>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</si>
  <si>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</si>
  <si>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</si>
  <si>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</si>
  <si>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</si>
  <si>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</si>
  <si>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</si>
  <si>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</si>
  <si>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</si>
  <si>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</si>
  <si>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</si>
  <si>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</si>
  <si>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</si>
  <si>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</si>
  <si>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</si>
  <si>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</si>
  <si>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</si>
  <si>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</si>
  <si>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</si>
  <si>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</si>
  <si>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</si>
  <si>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</si>
  <si>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</si>
  <si>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</si>
  <si>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</si>
  <si>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</si>
  <si>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</si>
  <si>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</si>
  <si>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</si>
  <si>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</si>
  <si>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</si>
  <si>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</si>
  <si>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</si>
  <si>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</si>
  <si>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</si>
  <si>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</si>
  <si>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</si>
  <si>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</si>
  <si>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</si>
  <si>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</si>
  <si>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</si>
  <si>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</si>
  <si>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</si>
  <si>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</si>
  <si>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</si>
  <si>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</si>
  <si>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</si>
  <si>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</si>
  <si>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</si>
  <si>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</si>
  <si>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</si>
  <si>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</si>
  <si>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</si>
  <si>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</si>
  <si>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</si>
  <si>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</si>
  <si>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</si>
  <si>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</si>
  <si>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</si>
  <si>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</si>
  <si>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</si>
  <si>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</si>
  <si>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</si>
  <si>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</si>
  <si>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</si>
  <si>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</si>
  <si>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</si>
  <si>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</si>
  <si>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</si>
  <si>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</si>
  <si>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</si>
  <si>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</si>
  <si>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</si>
  <si>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</si>
  <si>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</si>
  <si>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</si>
  <si>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</si>
  <si>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</si>
  <si>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</si>
  <si>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</si>
  <si>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</si>
  <si>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</si>
  <si>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</si>
  <si>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</si>
  <si>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</si>
  <si>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</si>
  <si>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</si>
  <si>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</si>
  <si>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</si>
  <si>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</si>
  <si>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</si>
  <si>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</si>
  <si>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</si>
  <si>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</si>
  <si>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</si>
  <si>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</si>
  <si>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</si>
  <si>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</si>
  <si>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</si>
  <si>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</si>
  <si>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</si>
  <si>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</si>
  <si>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</si>
  <si>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</si>
  <si>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</si>
  <si>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</si>
  <si>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</si>
  <si>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</si>
  <si>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</si>
  <si>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</si>
  <si>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</si>
  <si>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</si>
  <si>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</si>
  <si>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</si>
  <si>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</si>
  <si>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</si>
  <si>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</si>
  <si>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</si>
  <si>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</si>
  <si>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</si>
  <si>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</si>
  <si>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</si>
  <si>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</si>
  <si>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</si>
  <si>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</si>
  <si>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</si>
  <si>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</si>
  <si>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</si>
  <si>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</si>
  <si>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</si>
  <si>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</si>
  <si>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</si>
  <si>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</si>
  <si>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</si>
  <si>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</si>
  <si>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</si>
  <si>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</si>
  <si>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</si>
  <si>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</si>
  <si>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</si>
  <si>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</si>
  <si>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</si>
  <si>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</si>
  <si>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</si>
  <si>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</si>
  <si>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</si>
  <si>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</si>
  <si>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</si>
  <si>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</si>
  <si>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</si>
  <si>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</si>
  <si>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</si>
  <si>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</si>
  <si>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</si>
  <si>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</si>
  <si>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</si>
  <si>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</si>
  <si>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</si>
  <si>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</si>
  <si>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</si>
  <si>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</si>
  <si>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</si>
  <si>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</si>
  <si>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</si>
  <si>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</si>
  <si>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</si>
  <si>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</si>
  <si>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</si>
  <si>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</si>
  <si>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</si>
  <si>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</si>
  <si>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</si>
  <si>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</si>
  <si>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</si>
  <si>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</si>
  <si>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</si>
  <si>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</si>
  <si>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</si>
  <si>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</si>
  <si>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</si>
  <si>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</si>
  <si>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</si>
  <si>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</si>
  <si>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</si>
  <si>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</si>
  <si>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</si>
  <si>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</si>
  <si>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</si>
  <si>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</si>
  <si>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</si>
  <si>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</si>
  <si>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</si>
  <si>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</si>
  <si>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</si>
  <si>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</si>
  <si>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</si>
  <si>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</si>
  <si>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</si>
  <si>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</si>
  <si>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</si>
  <si>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</si>
  <si>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</si>
  <si>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</si>
  <si>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</si>
  <si>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</si>
  <si>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</si>
  <si>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</si>
  <si>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</si>
  <si>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</si>
  <si>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</si>
  <si>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</si>
  <si>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</si>
  <si>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</si>
  <si>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</si>
  <si>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</si>
  <si>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</si>
  <si>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</si>
  <si>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</si>
  <si>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</si>
  <si>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</si>
  <si>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</si>
  <si>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</si>
  <si>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</si>
  <si>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</si>
  <si>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</si>
  <si>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</si>
  <si>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</si>
  <si>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</si>
  <si>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</si>
  <si>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</si>
  <si>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</si>
  <si>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</si>
  <si>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</si>
  <si>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</si>
  <si>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</si>
  <si>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</si>
  <si>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</si>
  <si>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</si>
  <si>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</si>
  <si>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</si>
  <si>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</si>
  <si>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</si>
  <si>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</si>
  <si>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</si>
  <si>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</si>
  <si>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</si>
  <si>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</si>
  <si>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</si>
  <si>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</si>
  <si>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</si>
  <si>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</si>
  <si>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</si>
  <si>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</si>
  <si>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</si>
  <si>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</si>
  <si>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</si>
  <si>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</si>
  <si>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</si>
  <si>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</si>
  <si>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</si>
  <si>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</si>
  <si>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</si>
  <si>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</si>
  <si>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</si>
  <si>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</si>
  <si>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</si>
  <si>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</si>
  <si>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</si>
  <si>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</si>
  <si>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</si>
  <si>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</si>
  <si>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</si>
  <si>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</si>
  <si>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</si>
  <si>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</si>
  <si>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</si>
  <si>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</si>
  <si>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</si>
  <si>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</si>
  <si>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</si>
  <si>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</si>
  <si>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</si>
  <si>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</si>
  <si>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</si>
  <si>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</si>
  <si>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</si>
  <si>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</si>
  <si>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</si>
  <si>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</si>
  <si>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</si>
  <si>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</si>
  <si>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</si>
  <si>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</si>
  <si>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</si>
  <si>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</si>
  <si>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</si>
  <si>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</si>
  <si>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</si>
  <si>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</si>
  <si>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</si>
  <si>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</si>
  <si>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</si>
  <si>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</si>
  <si>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</si>
  <si>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</si>
  <si>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</si>
  <si>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</si>
  <si>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</si>
  <si>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</si>
  <si>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</si>
  <si>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</si>
  <si>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</si>
  <si>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</si>
  <si>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</si>
  <si>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</si>
  <si>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</si>
  <si>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</si>
  <si>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</si>
  <si>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</si>
  <si>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</si>
  <si>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</si>
  <si>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</si>
  <si>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</si>
  <si>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</si>
  <si>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</si>
  <si>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</si>
  <si>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</si>
  <si>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</si>
  <si>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</si>
  <si>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</si>
  <si>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</si>
  <si>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</si>
  <si>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</si>
  <si>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</si>
  <si>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</si>
  <si>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</si>
  <si>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</si>
  <si>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</si>
  <si>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</si>
  <si>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</si>
  <si>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</si>
  <si>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</si>
  <si>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</si>
  <si>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</si>
  <si>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</si>
  <si>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</si>
  <si>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</si>
  <si>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</si>
  <si>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</si>
  <si>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</si>
  <si>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</si>
  <si>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</si>
  <si>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</si>
  <si>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</si>
  <si>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</si>
  <si>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</si>
  <si>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</si>
  <si>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</si>
  <si>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</si>
  <si>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</si>
  <si>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</si>
  <si>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</si>
  <si>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</si>
  <si>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</si>
  <si>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</si>
  <si>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</si>
  <si>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</si>
  <si>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</si>
  <si>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</si>
  <si>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</si>
  <si>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</si>
  <si>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</si>
  <si>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</si>
  <si>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</si>
  <si>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</si>
  <si>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</si>
  <si>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</si>
  <si>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</si>
  <si>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</si>
  <si>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</si>
  <si>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</si>
  <si>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</si>
  <si>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</si>
  <si>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</si>
  <si>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</si>
  <si>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</si>
  <si>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</si>
  <si>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</si>
  <si>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</si>
  <si>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</si>
  <si>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</si>
  <si>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</si>
  <si>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</si>
  <si>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</si>
  <si>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</si>
  <si>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</si>
  <si>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</si>
  <si>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</si>
  <si>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</si>
  <si>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</si>
  <si>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</si>
  <si>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</si>
  <si>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</si>
  <si>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</si>
  <si>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</si>
  <si>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</si>
  <si>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</si>
  <si>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</si>
  <si>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</si>
  <si>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</si>
  <si>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</si>
  <si>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</si>
  <si>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</si>
  <si>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</si>
  <si>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</si>
  <si>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</si>
  <si>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</si>
  <si>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</si>
  <si>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</si>
  <si>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</si>
  <si>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</si>
  <si>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</si>
  <si>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</si>
  <si>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</si>
  <si>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</si>
  <si>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</si>
  <si>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</si>
  <si>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</si>
  <si>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</si>
  <si>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</si>
  <si>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</si>
  <si>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</si>
  <si>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</si>
  <si>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</si>
  <si>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</si>
  <si>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</si>
  <si>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</si>
  <si>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</si>
  <si>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</si>
  <si>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</si>
  <si>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</si>
  <si>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</si>
  <si>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</si>
  <si>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</si>
  <si>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</si>
  <si>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</si>
  <si>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</si>
  <si>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</si>
  <si>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</si>
  <si>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</si>
  <si>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</si>
  <si>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</si>
  <si>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</si>
  <si>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</si>
  <si>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</si>
  <si>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</si>
  <si>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</si>
  <si>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</si>
  <si>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</si>
  <si>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</si>
  <si>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</si>
  <si>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</si>
  <si>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</si>
  <si>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</si>
  <si>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</si>
  <si>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</si>
  <si>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</si>
  <si>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</si>
  <si>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</si>
  <si>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</si>
  <si>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</si>
  <si>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</si>
  <si>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</si>
  <si>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</si>
  <si>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</si>
  <si>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</si>
  <si>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</si>
  <si>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</si>
  <si>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</si>
  <si>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</si>
  <si>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</si>
  <si>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</si>
  <si>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</si>
  <si>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</si>
  <si>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</si>
  <si>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</si>
  <si>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</si>
  <si>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</si>
  <si>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</si>
  <si>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</si>
  <si>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</si>
  <si>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</si>
  <si>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</si>
  <si>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</si>
  <si>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</si>
  <si>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</si>
  <si>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</si>
  <si>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</si>
  <si>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</si>
  <si>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</si>
  <si>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</si>
  <si>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</si>
  <si>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</si>
  <si>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</si>
  <si>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</si>
  <si>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</si>
  <si>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</si>
  <si>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</si>
  <si>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</si>
  <si>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</si>
  <si>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</si>
  <si>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</si>
  <si>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</si>
  <si>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</si>
  <si>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</si>
  <si>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</si>
  <si>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</si>
  <si>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</si>
  <si>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</si>
  <si>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</si>
  <si>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</si>
  <si>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</si>
  <si>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</si>
  <si>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</si>
  <si>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</si>
  <si>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</si>
  <si>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</si>
  <si>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</si>
  <si>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</si>
  <si>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</si>
  <si>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혜광오토(김해)</t>
    <phoneticPr fontId="2" type="noConversion"/>
  </si>
  <si>
    <t>0CK_TCU(반품)</t>
    <phoneticPr fontId="2" type="noConversion"/>
  </si>
  <si>
    <t>927156AA</t>
    <phoneticPr fontId="2" type="noConversion"/>
  </si>
  <si>
    <t>0AM398025</t>
    <phoneticPr fontId="2" type="noConversion"/>
  </si>
  <si>
    <t>2025-09-25</t>
  </si>
  <si>
    <t>미르오토(대구)_250925_181725.xlsx</t>
  </si>
  <si>
    <t>제이오토(대구)_250925_181802.xlsx</t>
  </si>
  <si>
    <t>대명오토(서울서초)_250925_181833.xlsx</t>
  </si>
  <si>
    <t>한국오토(노원)_250925_181940.xlsx</t>
  </si>
  <si>
    <t>매드모터스(광주)_250925_182036.xlsx</t>
  </si>
  <si>
    <t>매드모터스(광주)_250925_182143.xlsx</t>
  </si>
  <si>
    <t>매드모터스(광주)_250925_182143.xlsx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</si>
</sst>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대륙오토(대구)</c:v>
                </c:pt>
                <c:pt idx="3">
                  <c:v>제이오토(대구)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9143000</c:v>
                </c:pt>
                <c:pt idx="1">
                  <c:v>6560000</c:v>
                </c:pt>
                <c:pt idx="2">
                  <c:v>11630000</c:v>
                </c:pt>
                <c:pt idx="3">
                  <c:v>3930000</c:v>
                </c:pt>
                <c:pt idx="4">
                  <c:v>1957000</c:v>
                </c:pt>
                <c:pt idx="5">
                  <c:v>5200000</c:v>
                </c:pt>
                <c:pt idx="6">
                  <c:v>10230000</c:v>
                </c:pt>
                <c:pt idx="7">
                  <c:v>715000</c:v>
                </c:pt>
                <c:pt idx="8">
                  <c:v>5221000</c:v>
                </c:pt>
                <c:pt idx="9">
                  <c:v>5400000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대륙오토(대구)</c:v>
                      </c:pt>
                      <c:pt idx="3">
                        <c:v>제이오토(대구)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13</c:v>
                      </c:pt>
                      <c:pt idx="4">
                        <c:v>28</c:v>
                      </c:pt>
                      <c:pt idx="5">
                        <c:v>9</c:v>
                      </c:pt>
                      <c:pt idx="6">
                        <c:v>2</c:v>
                      </c:pt>
                      <c:pt idx="7">
                        <c:v>46</c:v>
                      </c:pt>
                      <c:pt idx="8">
                        <c:v>8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3617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77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45925</v>
      </c>
      <c r="U2" s="313"/>
    </row>
    <row r="3" spans="1:21" ht="24.95" customHeight="1" x14ac:dyDescent="0.3">
      <c r="A3" s="323" t="s">
        <v>1168</v>
      </c>
      <c r="B3" s="37" t="s">
        <v>59</v>
      </c>
      <c r="C3" s="326" t="s">
        <v>1301</v>
      </c>
      <c r="D3" s="327"/>
      <c r="E3" s="327"/>
      <c r="F3" s="327"/>
      <c r="G3" s="327"/>
      <c r="H3" s="327"/>
      <c r="I3" s="327"/>
      <c r="J3" s="328"/>
      <c r="K3" s="329" t="s">
        <v>1169</v>
      </c>
      <c r="L3" s="37" t="s">
        <v>59</v>
      </c>
      <c r="M3" s="332" t="s">
        <v>964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314" t="s">
        <v>73</v>
      </c>
      <c r="U4" s="317"/>
    </row>
    <row r="5" spans="1:21" ht="24.95" customHeight="1" x14ac:dyDescent="0.3">
      <c r="A5" s="324"/>
      <c r="B5" s="38" t="s">
        <v>10</v>
      </c>
      <c r="C5" s="314" t="s">
        <v>1717</v>
      </c>
      <c r="D5" s="315"/>
      <c r="E5" s="315"/>
      <c r="F5" s="315"/>
      <c r="G5" s="315"/>
      <c r="H5" s="315"/>
      <c r="I5" s="315"/>
      <c r="J5" s="316"/>
      <c r="K5" s="330"/>
      <c r="L5" s="38" t="s">
        <v>10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24.95" customHeight="1" x14ac:dyDescent="0.3">
      <c r="A6" s="325"/>
      <c r="B6" s="38" t="s">
        <v>75</v>
      </c>
      <c r="C6" s="314" t="s">
        <v>1716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32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44</v>
      </c>
      <c r="G7" s="319"/>
      <c r="H7" s="319"/>
      <c r="I7" s="320"/>
      <c r="J7" s="321" t="s">
        <v>42</v>
      </c>
      <c r="K7" s="319"/>
      <c r="L7" s="319"/>
      <c r="M7" s="319"/>
      <c r="N7" s="320"/>
      <c r="O7" s="319" t="s">
        <v>50</v>
      </c>
      <c r="P7" s="320"/>
      <c r="Q7" s="321" t="s">
        <v>69</v>
      </c>
      <c r="R7" s="319"/>
      <c r="S7" s="320"/>
      <c r="T7" s="321" t="s">
        <v>68</v>
      </c>
      <c r="U7" s="322"/>
    </row>
    <row r="8" spans="1:21" ht="15.6" customHeight="1" x14ac:dyDescent="0.3">
      <c r="A8" s="347" t="s">
        <v>2232</v>
      </c>
      <c r="B8" s="348"/>
      <c r="C8" s="348"/>
      <c r="D8" s="348"/>
      <c r="E8" s="349"/>
      <c r="F8" s="350" t="s">
        <v>1722</v>
      </c>
      <c r="G8" s="348"/>
      <c r="H8" s="348"/>
      <c r="I8" s="349"/>
      <c r="J8" s="356">
        <v>250000</v>
      </c>
      <c r="K8" s="356"/>
      <c r="L8" s="356"/>
      <c r="M8" s="356"/>
      <c r="N8" s="356"/>
      <c r="O8" s="357">
        <v>1</v>
      </c>
      <c r="P8" s="357"/>
      <c r="Q8" s="351"/>
      <c r="R8" s="352"/>
      <c r="S8" s="353"/>
      <c r="T8" s="354">
        <v>250000</v>
      </c>
      <c r="U8" s="355"/>
    </row>
    <row r="9" spans="1:21" ht="15.6" customHeight="1" x14ac:dyDescent="0.3">
      <c r="A9" s="338"/>
      <c r="B9" s="339"/>
      <c r="C9" s="339"/>
      <c r="D9" s="339"/>
      <c r="E9" s="340"/>
      <c r="F9" s="341"/>
      <c r="G9" s="339"/>
      <c r="H9" s="339"/>
      <c r="I9" s="340"/>
      <c r="J9" s="358"/>
      <c r="K9" s="358"/>
      <c r="L9" s="358"/>
      <c r="M9" s="358"/>
      <c r="N9" s="358"/>
      <c r="O9" s="359"/>
      <c r="P9" s="359"/>
      <c r="Q9" s="342"/>
      <c r="R9" s="343"/>
      <c r="S9" s="344"/>
      <c r="T9" s="345"/>
      <c r="U9" s="346"/>
    </row>
    <row r="10" spans="1:21" ht="15.6" customHeight="1" x14ac:dyDescent="0.3">
      <c r="A10" s="338"/>
      <c r="B10" s="339"/>
      <c r="C10" s="339"/>
      <c r="D10" s="339"/>
      <c r="E10" s="340"/>
      <c r="F10" s="341"/>
      <c r="G10" s="339"/>
      <c r="H10" s="339"/>
      <c r="I10" s="340"/>
      <c r="J10" s="358"/>
      <c r="K10" s="358"/>
      <c r="L10" s="358"/>
      <c r="M10" s="358"/>
      <c r="N10" s="358"/>
      <c r="O10" s="359"/>
      <c r="P10" s="359"/>
      <c r="Q10" s="342"/>
      <c r="R10" s="343"/>
      <c r="S10" s="344"/>
      <c r="T10" s="345"/>
      <c r="U10" s="346"/>
    </row>
    <row r="11" spans="1:21" ht="15.6" customHeight="1" x14ac:dyDescent="0.3">
      <c r="A11" s="338"/>
      <c r="B11" s="339"/>
      <c r="C11" s="339"/>
      <c r="D11" s="339"/>
      <c r="E11" s="340"/>
      <c r="F11" s="341"/>
      <c r="G11" s="339"/>
      <c r="H11" s="339"/>
      <c r="I11" s="340"/>
      <c r="J11" s="358"/>
      <c r="K11" s="358"/>
      <c r="L11" s="358"/>
      <c r="M11" s="358"/>
      <c r="N11" s="358"/>
      <c r="O11" s="359"/>
      <c r="P11" s="359"/>
      <c r="Q11" s="342"/>
      <c r="R11" s="343"/>
      <c r="S11" s="344"/>
      <c r="T11" s="345"/>
      <c r="U11" s="346"/>
    </row>
    <row r="12" spans="1:21" ht="15.6" customHeight="1" x14ac:dyDescent="0.3">
      <c r="A12" s="338"/>
      <c r="B12" s="339"/>
      <c r="C12" s="339"/>
      <c r="D12" s="339"/>
      <c r="E12" s="340"/>
      <c r="F12" s="341"/>
      <c r="G12" s="339"/>
      <c r="H12" s="339"/>
      <c r="I12" s="340"/>
      <c r="J12" s="358"/>
      <c r="K12" s="358"/>
      <c r="L12" s="358"/>
      <c r="M12" s="358"/>
      <c r="N12" s="358"/>
      <c r="O12" s="359"/>
      <c r="P12" s="359"/>
      <c r="Q12" s="342"/>
      <c r="R12" s="343"/>
      <c r="S12" s="344"/>
      <c r="T12" s="345"/>
      <c r="U12" s="346"/>
    </row>
    <row r="13" spans="1:21" ht="15.6" customHeight="1" x14ac:dyDescent="0.3">
      <c r="A13" s="338"/>
      <c r="B13" s="339"/>
      <c r="C13" s="339"/>
      <c r="D13" s="339"/>
      <c r="E13" s="340"/>
      <c r="F13" s="341"/>
      <c r="G13" s="339"/>
      <c r="H13" s="339"/>
      <c r="I13" s="340"/>
      <c r="J13" s="358"/>
      <c r="K13" s="358"/>
      <c r="L13" s="358"/>
      <c r="M13" s="358"/>
      <c r="N13" s="358"/>
      <c r="O13" s="359"/>
      <c r="P13" s="359"/>
      <c r="Q13" s="342"/>
      <c r="R13" s="343"/>
      <c r="S13" s="344"/>
      <c r="T13" s="345"/>
      <c r="U13" s="346"/>
    </row>
    <row r="14" spans="1:21" ht="15.6" customHeight="1" x14ac:dyDescent="0.3">
      <c r="A14" s="338"/>
      <c r="B14" s="339"/>
      <c r="C14" s="339"/>
      <c r="D14" s="339"/>
      <c r="E14" s="340"/>
      <c r="F14" s="341"/>
      <c r="G14" s="339"/>
      <c r="H14" s="339"/>
      <c r="I14" s="340"/>
      <c r="J14" s="358"/>
      <c r="K14" s="358"/>
      <c r="L14" s="358"/>
      <c r="M14" s="358"/>
      <c r="N14" s="358"/>
      <c r="O14" s="359"/>
      <c r="P14" s="359"/>
      <c r="Q14" s="342"/>
      <c r="R14" s="343"/>
      <c r="S14" s="344"/>
      <c r="T14" s="345"/>
      <c r="U14" s="346"/>
    </row>
    <row r="15" spans="1:21" ht="15.6" customHeight="1" thickBot="1" x14ac:dyDescent="0.35">
      <c r="A15" s="360"/>
      <c r="B15" s="361"/>
      <c r="C15" s="361"/>
      <c r="D15" s="361"/>
      <c r="E15" s="362"/>
      <c r="F15" s="363"/>
      <c r="G15" s="361"/>
      <c r="H15" s="361"/>
      <c r="I15" s="362"/>
      <c r="J15" s="369"/>
      <c r="K15" s="369"/>
      <c r="L15" s="369"/>
      <c r="M15" s="369"/>
      <c r="N15" s="369"/>
      <c r="O15" s="370"/>
      <c r="P15" s="370"/>
      <c r="Q15" s="364"/>
      <c r="R15" s="365"/>
      <c r="S15" s="366"/>
      <c r="T15" s="367"/>
      <c r="U15" s="368"/>
    </row>
    <row r="16" spans="1:21" ht="15" customHeight="1" thickTop="1" x14ac:dyDescent="0.3">
      <c r="A16" s="371" t="s">
        <v>2325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 x14ac:dyDescent="0.3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 x14ac:dyDescent="0.3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 x14ac:dyDescent="0.3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95">
        <v>1550000</v>
      </c>
      <c r="G20" s="395"/>
      <c r="H20" s="395"/>
      <c r="I20" s="396"/>
      <c r="J20" s="391">
        <f>SUM(J8:N19)</f>
        <v>250000</v>
      </c>
      <c r="K20" s="392"/>
      <c r="L20" s="392"/>
      <c r="M20" s="392"/>
      <c r="N20" s="393"/>
      <c r="O20" s="429">
        <f>SUM(O8:P19)</f>
        <v>1</v>
      </c>
      <c r="P20" s="429"/>
      <c r="Q20" s="394">
        <f>SUM(Q8:S19)</f>
        <v>0</v>
      </c>
      <c r="R20" s="395"/>
      <c r="S20" s="396"/>
      <c r="T20" s="395">
        <f>SUM(T8:U15)</f>
        <v>250000</v>
      </c>
      <c r="U20" s="397"/>
    </row>
    <row r="21" spans="1:21" ht="20.100000000000001" customHeight="1" thickBot="1" x14ac:dyDescent="0.35">
      <c r="A21" s="419" t="s">
        <v>90</v>
      </c>
      <c r="B21" s="420"/>
      <c r="C21" s="420"/>
      <c r="D21" s="420"/>
      <c r="E21" s="420"/>
      <c r="F21" s="421">
        <f>F20+T20</f>
        <v>1800000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0"/>
      <c r="Q21" s="389" t="str">
        <f>C3</f>
        <v>매드모터스(광주)</v>
      </c>
      <c r="R21" s="389"/>
      <c r="S21" s="389"/>
      <c r="T21" s="389"/>
      <c r="U21" s="390"/>
    </row>
    <row r="22" spans="1:21" ht="20.100000000000001" customHeight="1" x14ac:dyDescent="0.3">
      <c r="A22" s="430" t="s">
        <v>3754</v>
      </c>
      <c r="B22" s="430"/>
      <c r="C22" s="430"/>
      <c r="D22" s="430"/>
      <c r="E22" s="430"/>
      <c r="F22" s="430"/>
      <c r="G22" s="430"/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</row>
    <row r="23" spans="1:21" ht="20.100000000000001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">
      <c r="A24" s="300"/>
      <c r="B24" s="301"/>
      <c r="C24" s="301"/>
      <c r="D24" s="301"/>
      <c r="E24" s="301"/>
      <c r="F24" s="301"/>
      <c r="G24" s="30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2" t="s">
        <v>1200</v>
      </c>
      <c r="R24" s="302"/>
      <c r="S24" s="432">
        <f>S1</f>
        <v>0</v>
      </c>
      <c r="T24" s="432"/>
      <c r="U24" s="433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76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45925</v>
      </c>
      <c r="U25" s="313"/>
    </row>
    <row r="26" spans="1:21" ht="24.95" customHeight="1" x14ac:dyDescent="0.3">
      <c r="A26" s="323" t="s">
        <v>1168</v>
      </c>
      <c r="B26" s="37" t="s">
        <v>59</v>
      </c>
      <c r="C26" s="326" t="str">
        <f>C3</f>
        <v>매드모터스(광주)</v>
      </c>
      <c r="D26" s="327"/>
      <c r="E26" s="327"/>
      <c r="F26" s="327"/>
      <c r="G26" s="327"/>
      <c r="H26" s="327"/>
      <c r="I26" s="327"/>
      <c r="J26" s="328"/>
      <c r="K26" s="329" t="s">
        <v>1169</v>
      </c>
      <c r="L26" s="37" t="s">
        <v>59</v>
      </c>
      <c r="M26" s="332" t="s">
        <v>964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 x14ac:dyDescent="0.3">
      <c r="A27" s="324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30"/>
      <c r="L27" s="37" t="s">
        <v>61</v>
      </c>
      <c r="M27" s="314" t="s">
        <v>962</v>
      </c>
      <c r="N27" s="315"/>
      <c r="O27" s="315"/>
      <c r="P27" s="315"/>
      <c r="Q27" s="315"/>
      <c r="R27" s="316"/>
      <c r="S27" s="38" t="s">
        <v>62</v>
      </c>
      <c r="T27" s="314" t="s">
        <v>73</v>
      </c>
      <c r="U27" s="317"/>
    </row>
    <row r="28" spans="1:21" ht="24.95" customHeight="1" x14ac:dyDescent="0.3">
      <c r="A28" s="324"/>
      <c r="B28" s="38" t="s">
        <v>10</v>
      </c>
      <c r="C28" s="314" t="str">
        <f>C5</f>
        <v>광주광역시 북구 설죽로142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">
        <v>74</v>
      </c>
      <c r="N28" s="315"/>
      <c r="O28" s="315"/>
      <c r="P28" s="315"/>
      <c r="Q28" s="315"/>
      <c r="R28" s="315"/>
      <c r="S28" s="315"/>
      <c r="T28" s="315"/>
      <c r="U28" s="317"/>
    </row>
    <row r="29" spans="1:21" ht="24.95" customHeight="1" x14ac:dyDescent="0.3">
      <c r="A29" s="325"/>
      <c r="B29" s="38" t="s">
        <v>75</v>
      </c>
      <c r="C29" s="314" t="str">
        <f>C6</f>
        <v>010-4420-6528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">
        <v>66</v>
      </c>
      <c r="N29" s="315"/>
      <c r="O29" s="315"/>
      <c r="P29" s="315"/>
      <c r="Q29" s="315"/>
      <c r="R29" s="316"/>
      <c r="S29" s="38" t="s">
        <v>22</v>
      </c>
      <c r="T29" s="314" t="str">
        <f>T6</f>
        <v>경동(화물)</v>
      </c>
      <c r="U29" s="317"/>
    </row>
    <row r="30" spans="1:21" ht="15.6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42</v>
      </c>
      <c r="K30" s="319"/>
      <c r="L30" s="319"/>
      <c r="M30" s="319"/>
      <c r="N30" s="320"/>
      <c r="O30" s="319" t="s">
        <v>50</v>
      </c>
      <c r="P30" s="320"/>
      <c r="Q30" s="321" t="s">
        <v>69</v>
      </c>
      <c r="R30" s="319"/>
      <c r="S30" s="320"/>
      <c r="T30" s="321" t="s">
        <v>68</v>
      </c>
      <c r="U30" s="322"/>
    </row>
    <row r="31" spans="1:21" ht="15.6" customHeight="1" x14ac:dyDescent="0.3">
      <c r="A31" s="406" t="str">
        <f>A8</f>
        <v>0CK_Sensor</v>
      </c>
      <c r="B31" s="407"/>
      <c r="C31" s="407"/>
      <c r="D31" s="407"/>
      <c r="E31" s="407"/>
      <c r="F31" s="407" t="str">
        <f>F8</f>
        <v>0CK927263E</v>
      </c>
      <c r="G31" s="407"/>
      <c r="H31" s="407"/>
      <c r="I31" s="407"/>
      <c r="J31" s="411">
        <f>J8</f>
        <v>250000</v>
      </c>
      <c r="K31" s="411"/>
      <c r="L31" s="411"/>
      <c r="M31" s="411"/>
      <c r="N31" s="411"/>
      <c r="O31" s="411">
        <f>O8</f>
        <v>1</v>
      </c>
      <c r="P31" s="411"/>
      <c r="Q31" s="408">
        <f>Q8</f>
        <v>0</v>
      </c>
      <c r="R31" s="408"/>
      <c r="S31" s="408"/>
      <c r="T31" s="409">
        <f>T8</f>
        <v>250000</v>
      </c>
      <c r="U31" s="410"/>
    </row>
    <row r="32" spans="1:21" ht="15.6" customHeight="1" x14ac:dyDescent="0.3">
      <c r="A32" s="401">
        <f t="shared" ref="A32:A38" si="0">A9</f>
        <v>0</v>
      </c>
      <c r="B32" s="402"/>
      <c r="C32" s="402"/>
      <c r="D32" s="402"/>
      <c r="E32" s="402"/>
      <c r="F32" s="402">
        <f t="shared" ref="F32:F38" si="1">F9</f>
        <v>0</v>
      </c>
      <c r="G32" s="402"/>
      <c r="H32" s="402"/>
      <c r="I32" s="402"/>
      <c r="J32" s="412">
        <f t="shared" ref="J32:J38" si="2">J9</f>
        <v>0</v>
      </c>
      <c r="K32" s="412"/>
      <c r="L32" s="412"/>
      <c r="M32" s="412"/>
      <c r="N32" s="412"/>
      <c r="O32" s="412">
        <f t="shared" ref="O32:O38" si="3">O9</f>
        <v>0</v>
      </c>
      <c r="P32" s="412"/>
      <c r="Q32" s="403">
        <f t="shared" ref="Q32:Q38" si="4">Q9</f>
        <v>0</v>
      </c>
      <c r="R32" s="403"/>
      <c r="S32" s="403"/>
      <c r="T32" s="404">
        <f t="shared" ref="T32:T38" si="5">T9</f>
        <v>0</v>
      </c>
      <c r="U32" s="405"/>
    </row>
    <row r="33" spans="1:21" ht="15.6" customHeight="1" x14ac:dyDescent="0.3">
      <c r="A33" s="401">
        <f t="shared" si="0"/>
        <v>0</v>
      </c>
      <c r="B33" s="402"/>
      <c r="C33" s="402"/>
      <c r="D33" s="402"/>
      <c r="E33" s="402"/>
      <c r="F33" s="402">
        <f t="shared" si="1"/>
        <v>0</v>
      </c>
      <c r="G33" s="402"/>
      <c r="H33" s="402"/>
      <c r="I33" s="402"/>
      <c r="J33" s="412">
        <f t="shared" si="2"/>
        <v>0</v>
      </c>
      <c r="K33" s="412"/>
      <c r="L33" s="412"/>
      <c r="M33" s="412"/>
      <c r="N33" s="412"/>
      <c r="O33" s="412">
        <f t="shared" si="3"/>
        <v>0</v>
      </c>
      <c r="P33" s="412"/>
      <c r="Q33" s="403">
        <f t="shared" si="4"/>
        <v>0</v>
      </c>
      <c r="R33" s="403"/>
      <c r="S33" s="403"/>
      <c r="T33" s="404">
        <f t="shared" si="5"/>
        <v>0</v>
      </c>
      <c r="U33" s="405"/>
    </row>
    <row r="34" spans="1:21" ht="15.6" customHeight="1" x14ac:dyDescent="0.3">
      <c r="A34" s="401">
        <f t="shared" si="0"/>
        <v>0</v>
      </c>
      <c r="B34" s="402"/>
      <c r="C34" s="402"/>
      <c r="D34" s="402"/>
      <c r="E34" s="402"/>
      <c r="F34" s="402">
        <f t="shared" si="1"/>
        <v>0</v>
      </c>
      <c r="G34" s="402"/>
      <c r="H34" s="402"/>
      <c r="I34" s="402"/>
      <c r="J34" s="412">
        <f t="shared" si="2"/>
        <v>0</v>
      </c>
      <c r="K34" s="412"/>
      <c r="L34" s="412"/>
      <c r="M34" s="412"/>
      <c r="N34" s="412"/>
      <c r="O34" s="412">
        <f t="shared" si="3"/>
        <v>0</v>
      </c>
      <c r="P34" s="412"/>
      <c r="Q34" s="403">
        <f t="shared" si="4"/>
        <v>0</v>
      </c>
      <c r="R34" s="403"/>
      <c r="S34" s="403"/>
      <c r="T34" s="404">
        <f t="shared" si="5"/>
        <v>0</v>
      </c>
      <c r="U34" s="405"/>
    </row>
    <row r="35" spans="1:21" ht="15.6" customHeight="1" x14ac:dyDescent="0.3">
      <c r="A35" s="401">
        <f t="shared" si="0"/>
        <v>0</v>
      </c>
      <c r="B35" s="402"/>
      <c r="C35" s="402"/>
      <c r="D35" s="402"/>
      <c r="E35" s="402"/>
      <c r="F35" s="402">
        <f t="shared" si="1"/>
        <v>0</v>
      </c>
      <c r="G35" s="402"/>
      <c r="H35" s="402"/>
      <c r="I35" s="402"/>
      <c r="J35" s="412">
        <f t="shared" si="2"/>
        <v>0</v>
      </c>
      <c r="K35" s="412"/>
      <c r="L35" s="412"/>
      <c r="M35" s="412"/>
      <c r="N35" s="412"/>
      <c r="O35" s="412">
        <f t="shared" si="3"/>
        <v>0</v>
      </c>
      <c r="P35" s="412"/>
      <c r="Q35" s="403">
        <f t="shared" si="4"/>
        <v>0</v>
      </c>
      <c r="R35" s="403"/>
      <c r="S35" s="403"/>
      <c r="T35" s="404">
        <f t="shared" si="5"/>
        <v>0</v>
      </c>
      <c r="U35" s="405"/>
    </row>
    <row r="36" spans="1:21" ht="15.6" customHeight="1" x14ac:dyDescent="0.3">
      <c r="A36" s="401">
        <f t="shared" si="0"/>
        <v>0</v>
      </c>
      <c r="B36" s="402"/>
      <c r="C36" s="402"/>
      <c r="D36" s="402"/>
      <c r="E36" s="402"/>
      <c r="F36" s="402">
        <f t="shared" si="1"/>
        <v>0</v>
      </c>
      <c r="G36" s="402"/>
      <c r="H36" s="402"/>
      <c r="I36" s="402"/>
      <c r="J36" s="412">
        <f t="shared" si="2"/>
        <v>0</v>
      </c>
      <c r="K36" s="412"/>
      <c r="L36" s="412"/>
      <c r="M36" s="412"/>
      <c r="N36" s="412"/>
      <c r="O36" s="412">
        <f t="shared" si="3"/>
        <v>0</v>
      </c>
      <c r="P36" s="412"/>
      <c r="Q36" s="403">
        <f t="shared" si="4"/>
        <v>0</v>
      </c>
      <c r="R36" s="403"/>
      <c r="S36" s="403"/>
      <c r="T36" s="404">
        <f t="shared" si="5"/>
        <v>0</v>
      </c>
      <c r="U36" s="405"/>
    </row>
    <row r="37" spans="1:21" ht="15.6" customHeight="1" x14ac:dyDescent="0.3">
      <c r="A37" s="401">
        <f t="shared" si="0"/>
        <v>0</v>
      </c>
      <c r="B37" s="402"/>
      <c r="C37" s="402"/>
      <c r="D37" s="402"/>
      <c r="E37" s="402"/>
      <c r="F37" s="402">
        <f t="shared" si="1"/>
        <v>0</v>
      </c>
      <c r="G37" s="402"/>
      <c r="H37" s="402"/>
      <c r="I37" s="402"/>
      <c r="J37" s="412">
        <f t="shared" si="2"/>
        <v>0</v>
      </c>
      <c r="K37" s="412"/>
      <c r="L37" s="412"/>
      <c r="M37" s="412"/>
      <c r="N37" s="412"/>
      <c r="O37" s="412">
        <f t="shared" si="3"/>
        <v>0</v>
      </c>
      <c r="P37" s="412"/>
      <c r="Q37" s="403">
        <f t="shared" si="4"/>
        <v>0</v>
      </c>
      <c r="R37" s="403"/>
      <c r="S37" s="403"/>
      <c r="T37" s="404">
        <f t="shared" si="5"/>
        <v>0</v>
      </c>
      <c r="U37" s="405"/>
    </row>
    <row r="38" spans="1:21" ht="15.6" customHeight="1" thickBot="1" x14ac:dyDescent="0.35">
      <c r="A38" s="413">
        <f t="shared" si="0"/>
        <v>0</v>
      </c>
      <c r="B38" s="414"/>
      <c r="C38" s="414"/>
      <c r="D38" s="414"/>
      <c r="E38" s="414"/>
      <c r="F38" s="414">
        <f t="shared" si="1"/>
        <v>0</v>
      </c>
      <c r="G38" s="414"/>
      <c r="H38" s="414"/>
      <c r="I38" s="414"/>
      <c r="J38" s="418">
        <f t="shared" si="2"/>
        <v>0</v>
      </c>
      <c r="K38" s="418"/>
      <c r="L38" s="418"/>
      <c r="M38" s="418"/>
      <c r="N38" s="418"/>
      <c r="O38" s="418">
        <f t="shared" si="3"/>
        <v>0</v>
      </c>
      <c r="P38" s="418"/>
      <c r="Q38" s="415">
        <f t="shared" si="4"/>
        <v>0</v>
      </c>
      <c r="R38" s="415"/>
      <c r="S38" s="415"/>
      <c r="T38" s="416">
        <f t="shared" si="5"/>
        <v>0</v>
      </c>
      <c r="U38" s="417"/>
    </row>
    <row r="39" spans="1:21" ht="15" customHeight="1" thickTop="1" x14ac:dyDescent="0.3">
      <c r="A39" s="371" t="s">
        <v>2325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 x14ac:dyDescent="0.3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 x14ac:dyDescent="0.3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 x14ac:dyDescent="0.3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95">
        <f>F20</f>
        <v>1550000</v>
      </c>
      <c r="G43" s="395"/>
      <c r="H43" s="395"/>
      <c r="I43" s="396"/>
      <c r="J43" s="391">
        <f>J20</f>
        <v>250000</v>
      </c>
      <c r="K43" s="392"/>
      <c r="L43" s="392"/>
      <c r="M43" s="392"/>
      <c r="N43" s="393"/>
      <c r="O43" s="429">
        <f>O20</f>
        <v>1</v>
      </c>
      <c r="P43" s="429"/>
      <c r="Q43" s="394">
        <f>Q20</f>
        <v>0</v>
      </c>
      <c r="R43" s="395"/>
      <c r="S43" s="395"/>
      <c r="T43" s="395">
        <f>T20</f>
        <v>250000</v>
      </c>
      <c r="U43" s="397"/>
    </row>
    <row r="44" spans="1:21" ht="20.100000000000001" customHeight="1" thickBot="1" x14ac:dyDescent="0.35">
      <c r="A44" s="419" t="s">
        <v>90</v>
      </c>
      <c r="B44" s="420"/>
      <c r="C44" s="420"/>
      <c r="D44" s="420"/>
      <c r="E44" s="420"/>
      <c r="F44" s="421">
        <f>F21</f>
        <v>1800000</v>
      </c>
      <c r="G44" s="421"/>
      <c r="H44" s="421"/>
      <c r="I44" s="422"/>
      <c r="J44" s="423" t="s">
        <v>965</v>
      </c>
      <c r="K44" s="420"/>
      <c r="L44" s="424" t="str">
        <f>T27</f>
        <v>장효주</v>
      </c>
      <c r="M44" s="424"/>
      <c r="N44" s="424"/>
      <c r="O44" s="423" t="s">
        <v>64</v>
      </c>
      <c r="P44" s="425"/>
      <c r="Q44" s="426" t="str">
        <f>Q21</f>
        <v>매드모터스(광주)</v>
      </c>
      <c r="R44" s="427"/>
      <c r="S44" s="427"/>
      <c r="T44" s="427"/>
      <c r="U44" s="42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250000</v>
      </c>
      <c r="H1" s="107">
        <f>SUM(H2:H3)</f>
        <v>1</v>
      </c>
      <c r="I1" s="107">
        <f>SUM(I2:I3)</f>
        <v>0</v>
      </c>
      <c r="J1" s="107">
        <f>SUM(J2:J3)</f>
        <v>250000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3747</v>
      </c>
      <c r="C2" s="47" t="s">
        <v>1382</v>
      </c>
      <c r="D2" s="290" t="s">
        <v>2225</v>
      </c>
      <c r="E2" t="s">
        <v>2190</v>
      </c>
      <c r="F2" s="290" t="s">
        <v>2225</v>
      </c>
      <c r="G2">
        <v>250000</v>
      </c>
      <c r="H2">
        <v>1</v>
      </c>
      <c r="I2" s="226"/>
      <c r="J2" s="226">
        <v>250000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4" t="s">
        <v>49</v>
      </c>
      <c r="C4" s="435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6" t="s">
        <v>87</v>
      </c>
      <c r="C28" s="437"/>
      <c r="D28" s="437"/>
      <c r="E28" s="438"/>
      <c r="F28" s="437"/>
      <c r="G28" s="437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2" t="s">
        <v>1562</v>
      </c>
      <c r="F6" s="442"/>
      <c r="G6" s="442"/>
      <c r="H6" s="442"/>
      <c r="I6" s="442"/>
      <c r="J6" s="442"/>
      <c r="K6" s="442"/>
    </row>
    <row r="7" spans="5:11" x14ac:dyDescent="0.3"/>
    <row r="8" spans="5:11" x14ac:dyDescent="0.3"/>
    <row r="9" spans="5:11" x14ac:dyDescent="0.3">
      <c r="G9" s="439"/>
      <c r="H9" s="439"/>
      <c r="I9" s="439"/>
      <c r="J9" s="439"/>
    </row>
    <row r="10" spans="5:11" ht="33" customHeight="1" x14ac:dyDescent="0.3">
      <c r="F10" s="117"/>
      <c r="G10" s="440"/>
      <c r="H10" s="441"/>
      <c r="I10" s="441"/>
      <c r="J10" s="441"/>
    </row>
    <row r="11" spans="5:11" x14ac:dyDescent="0.3"/>
    <row r="12" spans="5:11" ht="32.25" customHeight="1" x14ac:dyDescent="0.3">
      <c r="F12" s="118"/>
      <c r="G12" s="440" t="s">
        <v>1563</v>
      </c>
      <c r="H12" s="441"/>
      <c r="I12" s="441"/>
      <c r="J12" s="441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768"/>
  <sheetViews>
    <sheetView workbookViewId="0">
      <pane xSplit="1" ySplit="1" topLeftCell="B1736" activePane="bottomRight" state="frozen"/>
      <selection activeCell="N26" sqref="N26"/>
      <selection pane="topRight" activeCell="N26" sqref="N26"/>
      <selection pane="bottomLeft" activeCell="N26" sqref="N26"/>
      <selection pane="bottomRight" activeCell="K1760" sqref="K1760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1764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 t="s">
        <v>3694</v>
      </c>
      <c r="E196" s="292" t="s">
        <v>1866</v>
      </c>
      <c r="F196" s="269" t="s">
        <v>3694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 t="s">
        <v>3694</v>
      </c>
      <c r="E236" s="292" t="s">
        <v>1866</v>
      </c>
      <c r="F236" s="269" t="s">
        <v>3694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 t="s">
        <v>3694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 t="s">
        <v>3694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3349</v>
      </c>
      <c r="F1261" s="269" t="s">
        <v>3350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3505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3505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3505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3505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3505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3505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3505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3505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3505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3289</v>
      </c>
      <c r="N1331" t="s">
        <v>3505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3505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3505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3505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3505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3505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3505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3505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3301</v>
      </c>
      <c r="F1352" s="269" t="s">
        <v>3302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3505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3505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3505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3505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3505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3505</v>
      </c>
    </row>
    <row r="1358" spans="1:14" x14ac:dyDescent="0.3">
      <c r="A1358" s="58">
        <v>1356</v>
      </c>
      <c r="B1358" s="264">
        <v>45894</v>
      </c>
      <c r="C1358" s="292" t="s">
        <v>3309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3505</v>
      </c>
    </row>
    <row r="1359" spans="1:14" x14ac:dyDescent="0.3">
      <c r="A1359" s="58">
        <v>1357</v>
      </c>
      <c r="B1359" s="264">
        <v>45894</v>
      </c>
      <c r="C1359" s="292" t="s">
        <v>3309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3505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3505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3316</v>
      </c>
      <c r="G1361" s="265">
        <v>300000</v>
      </c>
      <c r="H1361" s="269">
        <v>1</v>
      </c>
      <c r="K1361" s="265">
        <v>300000</v>
      </c>
      <c r="M1361" s="269"/>
      <c r="N1361" t="s">
        <v>3505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3505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3505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3505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3505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3505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3505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3505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3505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3505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3505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3505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3322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3323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3309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3505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3505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3505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3505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3505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3505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3332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3505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3505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3505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3336</v>
      </c>
      <c r="F1397" s="269" t="s">
        <v>3337</v>
      </c>
      <c r="M1397" s="269"/>
      <c r="N1397" t="s">
        <v>3505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3339</v>
      </c>
      <c r="N1398" t="s">
        <v>3505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3505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3505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3344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3358</v>
      </c>
      <c r="G1408" s="265">
        <v>2500000</v>
      </c>
      <c r="H1408" s="269">
        <v>1</v>
      </c>
      <c r="J1408" s="266" t="s">
        <v>3359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3505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3505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3505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3505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3505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3505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3505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3505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3505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3361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3505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3383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3505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3505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3505</v>
      </c>
    </row>
    <row r="1430" spans="1:14" x14ac:dyDescent="0.3">
      <c r="A1430" s="58">
        <v>1429</v>
      </c>
      <c r="B1430" s="264">
        <v>45898</v>
      </c>
      <c r="C1430" s="292" t="s">
        <v>3506</v>
      </c>
      <c r="E1430" s="292" t="s">
        <v>3507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3506</v>
      </c>
      <c r="E1431" s="292" t="s">
        <v>3508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3506</v>
      </c>
      <c r="E1432" s="292" t="s">
        <v>3509</v>
      </c>
      <c r="F1432" s="269" t="s">
        <v>3510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3506</v>
      </c>
      <c r="E1433" s="292" t="s">
        <v>3511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3506</v>
      </c>
      <c r="E1434" s="292" t="s">
        <v>3512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3505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3505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3384</v>
      </c>
      <c r="N1438" t="s">
        <v>3505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3505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3506</v>
      </c>
      <c r="E1453" s="292" t="s">
        <v>3513</v>
      </c>
      <c r="F1453" s="269" t="s">
        <v>3514</v>
      </c>
      <c r="G1453" s="265">
        <v>800000</v>
      </c>
      <c r="H1453" s="269">
        <v>1</v>
      </c>
      <c r="K1453" s="265">
        <v>800000</v>
      </c>
      <c r="M1453" s="269" t="s">
        <v>3515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3368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3368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3391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3397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3399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3309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3467</v>
      </c>
      <c r="E1489" s="292" t="s">
        <v>3468</v>
      </c>
      <c r="F1489" s="269" t="s">
        <v>3469</v>
      </c>
      <c r="G1489" s="265">
        <v>1850000</v>
      </c>
      <c r="H1489" s="269">
        <v>1</v>
      </c>
      <c r="J1489" s="266" t="s">
        <v>3470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3640</v>
      </c>
      <c r="E1490" s="292" t="s">
        <v>3641</v>
      </c>
      <c r="F1490" s="269" t="s">
        <v>3642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3640</v>
      </c>
      <c r="E1493" s="292" t="s">
        <v>3643</v>
      </c>
      <c r="G1493" s="265">
        <v>150000</v>
      </c>
      <c r="H1493" s="269">
        <v>1</v>
      </c>
      <c r="J1493" s="266" t="s">
        <v>3644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3417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3505</v>
      </c>
    </row>
    <row r="1497" spans="1:14" x14ac:dyDescent="0.3">
      <c r="A1497" s="58">
        <v>1496</v>
      </c>
      <c r="B1497" s="264">
        <v>45904</v>
      </c>
      <c r="C1497" s="292" t="s">
        <v>3450</v>
      </c>
      <c r="E1497" s="292" t="s">
        <v>3451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3309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3419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3436</v>
      </c>
      <c r="F1505" s="269" t="s">
        <v>3435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3426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3426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3419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3452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3453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3454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3455</v>
      </c>
      <c r="N1519" t="s">
        <v>3505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3461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3472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3472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3426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3479</v>
      </c>
      <c r="E1539" s="292" t="s">
        <v>3486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3479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3479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3479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3482</v>
      </c>
      <c r="E1544" s="292" t="s">
        <v>3491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3479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3482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3493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3486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3486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3486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3542</v>
      </c>
      <c r="E1567" s="292" t="s">
        <v>3543</v>
      </c>
      <c r="G1567" s="265">
        <v>1100000</v>
      </c>
      <c r="H1567" s="269">
        <v>1</v>
      </c>
      <c r="J1567" s="266" t="s">
        <v>3544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3529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3687</v>
      </c>
      <c r="E1578" s="292" t="s">
        <v>3690</v>
      </c>
      <c r="F1578" s="269" t="s">
        <v>3691</v>
      </c>
      <c r="G1578" s="265">
        <v>150000</v>
      </c>
      <c r="H1578" s="269">
        <v>1</v>
      </c>
      <c r="K1578" s="265">
        <v>150000</v>
      </c>
      <c r="M1578" s="292" t="s">
        <v>3692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3525</v>
      </c>
      <c r="E1581" s="292" t="s">
        <v>3486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3410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3410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3322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3486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3410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3525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3546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3399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3553</v>
      </c>
      <c r="F1608" s="269" t="s">
        <v>3552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3399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3564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3567</v>
      </c>
      <c r="E1622" s="292" t="s">
        <v>3293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3571</v>
      </c>
      <c r="E1623" s="292" t="s">
        <v>3572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3567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3584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3486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3486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3587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3600</v>
      </c>
      <c r="E1658" s="292" t="s">
        <v>3486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3486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3610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3486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3610</v>
      </c>
      <c r="F1675" s="269" t="s">
        <v>3620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3630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3471</v>
      </c>
      <c r="E1683" s="292" t="s">
        <v>3622</v>
      </c>
      <c r="F1683" s="269" t="s">
        <v>3621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3619</v>
      </c>
      <c r="F1685" s="269" t="s">
        <v>3618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3610</v>
      </c>
      <c r="F1686" s="269" t="s">
        <v>3620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3616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3652</v>
      </c>
      <c r="E1692" s="292" t="s">
        <v>3653</v>
      </c>
      <c r="F1692" s="269" t="s">
        <v>3654</v>
      </c>
      <c r="G1692" s="265">
        <v>350000</v>
      </c>
      <c r="H1692" s="269">
        <v>2</v>
      </c>
      <c r="J1692" s="266" t="s">
        <v>3655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3471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3600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3610</v>
      </c>
      <c r="F1701" s="269" t="s">
        <v>3620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3649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3651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3740</v>
      </c>
      <c r="E1714" s="292" t="s">
        <v>3741</v>
      </c>
      <c r="F1714" s="269" t="s">
        <v>3742</v>
      </c>
      <c r="G1714" s="265">
        <v>1300000</v>
      </c>
      <c r="H1714" s="269">
        <v>1</v>
      </c>
      <c r="J1714" s="266" t="s">
        <v>3158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2418</v>
      </c>
      <c r="E1729" s="292" t="s">
        <v>1126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1054</v>
      </c>
      <c r="E1730" s="292" t="s">
        <v>2210</v>
      </c>
      <c r="F1730" s="269" t="s">
        <v>1963</v>
      </c>
      <c r="G1730" s="265">
        <v>1800000</v>
      </c>
      <c r="H1730" s="269">
        <v>1</v>
      </c>
      <c r="K1730" s="265">
        <v>1800000</v>
      </c>
      <c r="M1730" s="292" t="s">
        <v>3675</v>
      </c>
    </row>
    <row r="1731" spans="1:13" x14ac:dyDescent="0.3">
      <c r="A1731" s="58">
        <v>1726</v>
      </c>
      <c r="B1731" s="264">
        <v>45923</v>
      </c>
      <c r="C1731" s="292" t="s">
        <v>1054</v>
      </c>
      <c r="E1731" s="292" t="s">
        <v>2189</v>
      </c>
      <c r="F1731" s="269" t="s">
        <v>1808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1019</v>
      </c>
      <c r="E1732" s="292" t="s">
        <v>3610</v>
      </c>
      <c r="F1732" s="269" t="s">
        <v>3620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1008</v>
      </c>
      <c r="E1733" s="292" t="s">
        <v>1539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1868</v>
      </c>
      <c r="E1734" s="292" t="s">
        <v>2204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1456</v>
      </c>
      <c r="E1735" s="292" t="s">
        <v>2426</v>
      </c>
      <c r="F1735" s="269" t="s">
        <v>2762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1662</v>
      </c>
      <c r="E1736" s="292" t="s">
        <v>1208</v>
      </c>
      <c r="F1736" s="269" t="s">
        <v>1567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1016</v>
      </c>
      <c r="E1737" s="292" t="s">
        <v>3486</v>
      </c>
      <c r="F1737" s="269" t="s">
        <v>1210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1016</v>
      </c>
      <c r="E1738" s="292" t="s">
        <v>2198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1016</v>
      </c>
      <c r="E1739" s="292" t="s">
        <v>2196</v>
      </c>
      <c r="F1739" s="269" t="s">
        <v>1262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1016</v>
      </c>
      <c r="E1740" s="292" t="s">
        <v>2200</v>
      </c>
      <c r="F1740" s="269" t="s">
        <v>1829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1016</v>
      </c>
      <c r="E1741" s="292" t="s">
        <v>2199</v>
      </c>
      <c r="F1741" s="269" t="s">
        <v>1800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1054</v>
      </c>
      <c r="E1742" s="292" t="s">
        <v>3682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1008</v>
      </c>
      <c r="E1743" s="292" t="s">
        <v>3684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1662</v>
      </c>
      <c r="E1744" s="292" t="s">
        <v>1126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1545</v>
      </c>
      <c r="E1745" s="292" t="s">
        <v>1748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3687</v>
      </c>
      <c r="E1746" s="292" t="s">
        <v>3689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3743</v>
      </c>
      <c r="E1747" s="292" t="s">
        <v>3744</v>
      </c>
      <c r="F1747" s="269" t="s">
        <v>3745</v>
      </c>
      <c r="G1747" s="265">
        <v>1500000</v>
      </c>
      <c r="H1747" s="269">
        <v>1</v>
      </c>
      <c r="L1747" s="265">
        <v>-1550000</v>
      </c>
    </row>
    <row r="1748" spans="1:12" x14ac:dyDescent="0.3">
      <c r="A1748" s="58">
        <v>1743</v>
      </c>
      <c r="B1748" s="264">
        <v>45924</v>
      </c>
      <c r="C1748" s="292" t="s">
        <v>1395</v>
      </c>
      <c r="E1748" s="292" t="s">
        <v>1866</v>
      </c>
      <c r="F1748" s="269" t="s">
        <v>3694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988</v>
      </c>
      <c r="E1749" s="292" t="s">
        <v>3610</v>
      </c>
      <c r="F1749" s="269" t="s">
        <v>3620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1403</v>
      </c>
      <c r="E1750" s="292" t="s">
        <v>2789</v>
      </c>
      <c r="F1750" s="269" t="s">
        <v>1216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2756</v>
      </c>
      <c r="E1751" s="292" t="s">
        <v>1539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1453</v>
      </c>
      <c r="E1752" s="292" t="s">
        <v>1748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988</v>
      </c>
      <c r="E1753" s="292" t="s">
        <v>1126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1868</v>
      </c>
      <c r="E1754" s="292" t="s">
        <v>1126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1453</v>
      </c>
      <c r="E1755" s="292" t="s">
        <v>1126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1027</v>
      </c>
      <c r="E1756" s="292" t="s">
        <v>1126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1441</v>
      </c>
      <c r="E1757" s="292" t="s">
        <v>1126</v>
      </c>
      <c r="L1757" s="265">
        <v>-1430000</v>
      </c>
    </row>
    <row r="1758" spans="1:12" x14ac:dyDescent="0.3">
      <c r="A1758" s="58">
        <v>1753</v>
      </c>
      <c r="B1758" s="264">
        <v>45925</v>
      </c>
      <c r="C1758" s="292" t="s">
        <v>1814</v>
      </c>
      <c r="E1758" s="292" t="s">
        <v>1126</v>
      </c>
      <c r="L1758" s="265">
        <v>-350000</v>
      </c>
    </row>
    <row r="1759" spans="1:12" x14ac:dyDescent="0.3">
      <c r="A1759" s="58">
        <v>1754</v>
      </c>
      <c r="B1759" s="264">
        <v>45925</v>
      </c>
      <c r="C1759" s="292" t="s">
        <v>2756</v>
      </c>
      <c r="E1759" s="292" t="s">
        <v>1126</v>
      </c>
      <c r="L1759" s="265">
        <v>-450000</v>
      </c>
    </row>
    <row r="1760" spans="1:12" x14ac:dyDescent="0.3">
      <c r="A1760" s="58">
        <v>1755</v>
      </c>
      <c r="B1760" s="264">
        <v>45925</v>
      </c>
      <c r="C1760" s="292" t="s">
        <v>1403</v>
      </c>
      <c r="E1760" s="292" t="s">
        <v>1748</v>
      </c>
      <c r="G1760" s="265">
        <v>1100000</v>
      </c>
      <c r="H1760" s="269">
        <v>1</v>
      </c>
      <c r="K1760" s="265">
        <v>1100000</v>
      </c>
    </row>
    <row r="1761" spans="1:12" x14ac:dyDescent="0.3">
      <c r="A1761" s="58">
        <v>1756</v>
      </c>
      <c r="B1761" s="264">
        <v>45925</v>
      </c>
      <c r="C1761" s="292" t="s">
        <v>1545</v>
      </c>
      <c r="E1761" s="292" t="s">
        <v>1206</v>
      </c>
      <c r="F1761" s="269" t="s">
        <v>1757</v>
      </c>
      <c r="G1761" s="265">
        <v>1200000</v>
      </c>
      <c r="H1761" s="269">
        <v>1</v>
      </c>
      <c r="K1761" s="265">
        <v>1200000</v>
      </c>
    </row>
    <row r="1762" spans="1:12" x14ac:dyDescent="0.3">
      <c r="A1762" s="58">
        <v>1757</v>
      </c>
      <c r="B1762" s="264">
        <v>45925</v>
      </c>
      <c r="C1762" s="292" t="s">
        <v>1545</v>
      </c>
      <c r="E1762" s="292" t="s">
        <v>1500</v>
      </c>
      <c r="F1762" s="269" t="s">
        <v>2693</v>
      </c>
      <c r="G1762" s="265">
        <v>350000</v>
      </c>
      <c r="H1762" s="269">
        <v>1</v>
      </c>
      <c r="K1762" s="265">
        <v>350000</v>
      </c>
    </row>
    <row r="1763" spans="1:12" x14ac:dyDescent="0.3">
      <c r="A1763" s="58">
        <v>1758</v>
      </c>
      <c r="B1763" s="264">
        <v>45925</v>
      </c>
      <c r="C1763" s="292" t="s">
        <v>1471</v>
      </c>
      <c r="E1763" s="292" t="s">
        <v>3057</v>
      </c>
      <c r="F1763" s="269">
        <v>2820403</v>
      </c>
      <c r="G1763" s="265">
        <v>700000</v>
      </c>
      <c r="H1763" s="269">
        <v>1</v>
      </c>
      <c r="J1763" s="266">
        <v>70000</v>
      </c>
      <c r="K1763" s="265">
        <v>770000</v>
      </c>
    </row>
    <row r="1764" spans="1:12" x14ac:dyDescent="0.3">
      <c r="A1764" s="58">
        <v>1759</v>
      </c>
      <c r="B1764" s="264">
        <v>45925</v>
      </c>
      <c r="C1764" s="292" t="s">
        <v>2418</v>
      </c>
      <c r="E1764" s="292" t="s">
        <v>3399</v>
      </c>
      <c r="G1764" s="265">
        <v>450000</v>
      </c>
      <c r="H1764" s="269">
        <v>1</v>
      </c>
      <c r="J1764" s="266">
        <v>45000</v>
      </c>
      <c r="K1764" s="265">
        <v>495000</v>
      </c>
    </row>
    <row r="1765" spans="1:12" x14ac:dyDescent="0.3">
      <c r="A1765" s="58">
        <v>1760</v>
      </c>
      <c r="B1765" s="264">
        <v>45925</v>
      </c>
      <c r="C1765" s="292" t="s">
        <v>1382</v>
      </c>
      <c r="E1765" s="292" t="s">
        <v>2188</v>
      </c>
      <c r="F1765" s="269" t="s">
        <v>1204</v>
      </c>
      <c r="G1765" s="265">
        <v>1500000</v>
      </c>
      <c r="H1765" s="269">
        <v>1</v>
      </c>
      <c r="K1765" s="265">
        <v>1500000</v>
      </c>
    </row>
    <row r="1766" spans="1:12" x14ac:dyDescent="0.3">
      <c r="A1766" s="58">
        <v>1761</v>
      </c>
      <c r="B1766" s="264">
        <v>45925</v>
      </c>
      <c r="C1766" s="292" t="s">
        <v>1382</v>
      </c>
      <c r="E1766" s="292" t="s">
        <v>2189</v>
      </c>
      <c r="F1766" s="269" t="s">
        <v>1808</v>
      </c>
      <c r="G1766" s="265">
        <v>50000</v>
      </c>
      <c r="H1766" s="269">
        <v>1</v>
      </c>
      <c r="K1766" s="265">
        <v>50000</v>
      </c>
    </row>
    <row r="1767" spans="1:12" x14ac:dyDescent="0.3">
      <c r="A1767" s="58">
        <v>1762</v>
      </c>
      <c r="B1767" s="264">
        <v>45925</v>
      </c>
      <c r="C1767" s="292" t="s">
        <v>1382</v>
      </c>
      <c r="E1767" s="292" t="s">
        <v>2190</v>
      </c>
      <c r="F1767" s="269" t="s">
        <v>2225</v>
      </c>
      <c r="G1767" s="265">
        <v>250000</v>
      </c>
      <c r="H1767" s="269">
        <v>1</v>
      </c>
      <c r="K1767" s="265">
        <v>250000</v>
      </c>
    </row>
    <row r="1768" spans="1:12" x14ac:dyDescent="0.3">
      <c r="A1768" s="58">
        <v>1763</v>
      </c>
      <c r="B1768" s="264">
        <v>45925</v>
      </c>
      <c r="C1768" s="292" t="s">
        <v>2418</v>
      </c>
      <c r="E1768" s="292" t="s">
        <v>1126</v>
      </c>
      <c r="L1768" s="265">
        <v>-495000</v>
      </c>
    </row>
  </sheetData>
  <autoFilter ref="A1:K172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1"/>
  <sheetViews>
    <sheetView workbookViewId="0">
      <selection activeCell="C4" sqref="C3:I2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45925</v>
      </c>
      <c r="B3" s="235" t="s">
        <v>1127</v>
      </c>
      <c r="C3" s="286">
        <f>SUMIF($B:$B,A3,I:I)</f>
        <v>5715000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9614000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169397500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169397500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1403</v>
      </c>
      <c r="D9" s="112" t="s">
        <v>1126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1083</v>
      </c>
      <c r="D10" s="112" t="s">
        <v>1126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1726</v>
      </c>
      <c r="D11" s="112" t="s">
        <v>1126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1810</v>
      </c>
      <c r="D12" s="112" t="s">
        <v>1126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1403</v>
      </c>
      <c r="D13" s="112" t="s">
        <v>1206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1403</v>
      </c>
      <c r="D14" s="112" t="s">
        <v>1500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1403</v>
      </c>
      <c r="D15" s="112" t="s">
        <v>2854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1403</v>
      </c>
      <c r="D16" s="113" t="s">
        <v>2307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1403</v>
      </c>
      <c r="D17" s="112" t="s">
        <v>1269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1403</v>
      </c>
      <c r="D18" s="112" t="s">
        <v>1709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1558</v>
      </c>
      <c r="D19" s="112" t="s">
        <v>2194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1477</v>
      </c>
      <c r="D20" s="112" t="s">
        <v>2188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1817</v>
      </c>
      <c r="D21" s="112" t="s">
        <v>1208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1817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1448</v>
      </c>
      <c r="D23" s="112" t="s">
        <v>2204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2776</v>
      </c>
      <c r="D24" s="112" t="s">
        <v>2819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2776</v>
      </c>
      <c r="D25" s="112" t="s">
        <v>2191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3368</v>
      </c>
      <c r="D26" s="112" t="s">
        <v>3075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1448</v>
      </c>
      <c r="D27" s="112" t="s">
        <v>2188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3012</v>
      </c>
      <c r="D28" s="112" t="s">
        <v>1126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2776</v>
      </c>
      <c r="D29" s="112" t="s">
        <v>1126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3368</v>
      </c>
      <c r="D30" s="112" t="s">
        <v>1126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2883</v>
      </c>
      <c r="D31" s="112" t="s">
        <v>1126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1126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1175</v>
      </c>
      <c r="D33" s="112" t="s">
        <v>2307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1985</v>
      </c>
      <c r="D34" s="113" t="s">
        <v>2204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3012</v>
      </c>
      <c r="D35" s="113" t="s">
        <v>2188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3012</v>
      </c>
      <c r="D36" s="113" t="s">
        <v>2189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1148</v>
      </c>
      <c r="D37" s="113" t="s">
        <v>2200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1581</v>
      </c>
      <c r="D38" s="113" t="s">
        <v>1748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1498</v>
      </c>
      <c r="D39" s="113" t="s">
        <v>3391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1721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1985</v>
      </c>
      <c r="D41" s="113" t="s">
        <v>1126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1817</v>
      </c>
      <c r="D42" s="112" t="s">
        <v>1126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1751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1795</v>
      </c>
      <c r="D44" s="112" t="s">
        <v>2188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1795</v>
      </c>
      <c r="D45" s="112" t="s">
        <v>2189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1471</v>
      </c>
      <c r="D46" s="112" t="s">
        <v>1500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1448</v>
      </c>
      <c r="D47" s="113" t="s">
        <v>2195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1448</v>
      </c>
      <c r="D48" s="113" t="s">
        <v>2198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1175</v>
      </c>
      <c r="D49" s="113" t="s">
        <v>1565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1175</v>
      </c>
      <c r="D50" s="113" t="s">
        <v>3397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1502</v>
      </c>
      <c r="D51" s="113" t="s">
        <v>3399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1584</v>
      </c>
      <c r="D52" s="113" t="s">
        <v>2195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1584</v>
      </c>
      <c r="D53" s="113" t="s">
        <v>2198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3309</v>
      </c>
      <c r="D54" s="113" t="s">
        <v>2188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1453</v>
      </c>
      <c r="D55" s="113" t="s">
        <v>3406</v>
      </c>
      <c r="F55" s="120">
        <v>1850000</v>
      </c>
      <c r="G55" s="85">
        <v>1</v>
      </c>
      <c r="H55" s="126" t="s">
        <v>3470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2327</v>
      </c>
      <c r="D56" s="113" t="s">
        <v>2210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3410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1752</v>
      </c>
      <c r="D58" s="113" t="s">
        <v>1869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2327</v>
      </c>
      <c r="D59" s="113" t="s">
        <v>2211</v>
      </c>
      <c r="F59" s="120">
        <v>150000</v>
      </c>
      <c r="G59" s="85">
        <v>1</v>
      </c>
      <c r="H59" s="126" t="s">
        <v>3644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1854</v>
      </c>
      <c r="D60" s="113" t="s">
        <v>2828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1752</v>
      </c>
      <c r="D61" s="113" t="s">
        <v>1523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3410</v>
      </c>
      <c r="D62" s="113" t="s">
        <v>1805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1502</v>
      </c>
      <c r="D63" s="113" t="s">
        <v>1805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3309</v>
      </c>
      <c r="D64" s="113" t="s">
        <v>1805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2327</v>
      </c>
      <c r="D65" s="113" t="s">
        <v>1805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3419</v>
      </c>
      <c r="D66" s="113" t="s">
        <v>1565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1477</v>
      </c>
      <c r="D67" s="113" t="s">
        <v>1672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1498</v>
      </c>
      <c r="D68" s="113" t="s">
        <v>2307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1498</v>
      </c>
      <c r="D69" s="113" t="s">
        <v>1500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1498</v>
      </c>
      <c r="D70" s="113" t="s">
        <v>3436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3426</v>
      </c>
      <c r="D71" s="113" t="s">
        <v>2421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3426</v>
      </c>
      <c r="D72" s="113" t="s">
        <v>1269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1483</v>
      </c>
      <c r="D73" s="113" t="s">
        <v>1748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2930</v>
      </c>
      <c r="D74" s="113" t="s">
        <v>2145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1477</v>
      </c>
      <c r="D75" s="113" t="s">
        <v>2188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1726</v>
      </c>
      <c r="D76" s="113" t="s">
        <v>2099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1483</v>
      </c>
      <c r="D77" s="113" t="s">
        <v>1126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3419</v>
      </c>
      <c r="D78" s="113" t="s">
        <v>1126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2930</v>
      </c>
      <c r="D79" s="113" t="s">
        <v>1126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1498</v>
      </c>
      <c r="D80" s="113" t="s">
        <v>3452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1854</v>
      </c>
      <c r="D81" s="113" t="s">
        <v>1751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1752</v>
      </c>
      <c r="D82" s="113" t="s">
        <v>3453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3454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1471</v>
      </c>
      <c r="D84" s="113" t="s">
        <v>2166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1206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1448</v>
      </c>
      <c r="D86" s="113" t="s">
        <v>2040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1448</v>
      </c>
      <c r="D87" s="113" t="s">
        <v>2847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1448</v>
      </c>
      <c r="D88" s="113" t="s">
        <v>3458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1309</v>
      </c>
      <c r="D89" s="113" t="s">
        <v>3066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1726</v>
      </c>
      <c r="D90" s="113" t="s">
        <v>3461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1726</v>
      </c>
      <c r="D91" s="113" t="s">
        <v>1553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3164</v>
      </c>
      <c r="D92" s="113" t="s">
        <v>1764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3164</v>
      </c>
      <c r="D93" s="113" t="s">
        <v>2120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3471</v>
      </c>
      <c r="D94" s="113" t="s">
        <v>2190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1403</v>
      </c>
      <c r="D95" s="113" t="s">
        <v>1206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1403</v>
      </c>
      <c r="D96" s="113" t="s">
        <v>2854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1453</v>
      </c>
      <c r="D97" s="113" t="s">
        <v>1126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1477</v>
      </c>
      <c r="D98" s="113" t="s">
        <v>1751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3164</v>
      </c>
      <c r="D99" s="113" t="s">
        <v>1751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3471</v>
      </c>
      <c r="D100" s="113" t="s">
        <v>1751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1477</v>
      </c>
      <c r="D101" s="113" t="s">
        <v>2195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3426</v>
      </c>
      <c r="D102" s="113" t="s">
        <v>1751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3479</v>
      </c>
      <c r="D103" s="113" t="s">
        <v>3486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3479</v>
      </c>
      <c r="D104" s="113" t="s">
        <v>2198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3479</v>
      </c>
      <c r="D105" s="113" t="s">
        <v>2199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3479</v>
      </c>
      <c r="D106" s="113" t="s">
        <v>2200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3012</v>
      </c>
      <c r="D107" s="113" t="s">
        <v>3489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3482</v>
      </c>
      <c r="D108" s="113" t="s">
        <v>3491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3479</v>
      </c>
      <c r="D109" s="113" t="s">
        <v>1126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3482</v>
      </c>
      <c r="D110" s="113" t="s">
        <v>1805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1309</v>
      </c>
      <c r="D111" s="113" t="s">
        <v>1805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1600</v>
      </c>
      <c r="D112" s="113" t="s">
        <v>1805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1498</v>
      </c>
      <c r="D113" s="113" t="s">
        <v>3493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1590</v>
      </c>
      <c r="D114" s="113" t="s">
        <v>2115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1309</v>
      </c>
      <c r="D115" s="113" t="s">
        <v>3486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1309</v>
      </c>
      <c r="D116" s="113" t="s">
        <v>2198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1309</v>
      </c>
      <c r="D117" s="113" t="s">
        <v>2199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1309</v>
      </c>
      <c r="D118" s="113" t="s">
        <v>2200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1584</v>
      </c>
      <c r="D119" s="113" t="s">
        <v>3486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1675</v>
      </c>
      <c r="D120" s="113" t="s">
        <v>3499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2145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1483</v>
      </c>
      <c r="D122" s="113" t="s">
        <v>3486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1483</v>
      </c>
      <c r="D123" s="113" t="s">
        <v>2196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1483</v>
      </c>
      <c r="D124" s="113" t="s">
        <v>2200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1483</v>
      </c>
      <c r="D125" s="113" t="s">
        <v>2199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1403</v>
      </c>
      <c r="D126" s="113" t="s">
        <v>1748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1805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1558</v>
      </c>
      <c r="D128" s="113" t="s">
        <v>1126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1309</v>
      </c>
      <c r="D129" s="113" t="s">
        <v>1126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1175</v>
      </c>
      <c r="D130" s="113" t="s">
        <v>1126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2637</v>
      </c>
      <c r="D131" s="113" t="s">
        <v>1748</v>
      </c>
      <c r="F131" s="120">
        <v>1100000</v>
      </c>
      <c r="G131" s="85">
        <v>1</v>
      </c>
      <c r="H131" s="126" t="s">
        <v>3544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2418</v>
      </c>
      <c r="D132" s="113" t="s">
        <v>2197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2194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2475</v>
      </c>
      <c r="D134" s="113" t="s">
        <v>1721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1874</v>
      </c>
      <c r="D135" s="113" t="s">
        <v>2205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1874</v>
      </c>
      <c r="D136" s="113" t="s">
        <v>1126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2475</v>
      </c>
      <c r="D137" s="113" t="s">
        <v>1126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1126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1453</v>
      </c>
      <c r="D139" s="113" t="s">
        <v>3486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1675</v>
      </c>
      <c r="D140" s="113" t="s">
        <v>1206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3541</v>
      </c>
    </row>
    <row r="141" spans="1:11" ht="18" customHeight="1" x14ac:dyDescent="0.3">
      <c r="A141" s="82">
        <v>1571</v>
      </c>
      <c r="B141" s="93">
        <v>45910</v>
      </c>
      <c r="C141" s="83" t="s">
        <v>1675</v>
      </c>
      <c r="D141" s="113" t="s">
        <v>1500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3541</v>
      </c>
    </row>
    <row r="142" spans="1:11" ht="18" customHeight="1" x14ac:dyDescent="0.3">
      <c r="A142" s="82">
        <v>1572</v>
      </c>
      <c r="B142" s="93">
        <v>45910</v>
      </c>
      <c r="C142" s="83" t="s">
        <v>1877</v>
      </c>
      <c r="D142" s="113" t="s">
        <v>2194</v>
      </c>
      <c r="F142" s="120">
        <v>150000</v>
      </c>
      <c r="G142" s="85">
        <v>1</v>
      </c>
      <c r="I142" s="80">
        <v>150000</v>
      </c>
      <c r="K142" s="69" t="s">
        <v>3541</v>
      </c>
    </row>
    <row r="143" spans="1:11" ht="18" customHeight="1" x14ac:dyDescent="0.3">
      <c r="A143" s="82">
        <v>1573</v>
      </c>
      <c r="B143" s="93">
        <v>45910</v>
      </c>
      <c r="C143" s="83" t="s">
        <v>1545</v>
      </c>
      <c r="D143" s="113" t="s">
        <v>1206</v>
      </c>
      <c r="F143" s="120">
        <v>1200000</v>
      </c>
      <c r="G143" s="85">
        <v>1</v>
      </c>
      <c r="I143" s="80">
        <v>1200000</v>
      </c>
      <c r="K143" s="69" t="s">
        <v>3541</v>
      </c>
    </row>
    <row r="144" spans="1:11" ht="18" customHeight="1" x14ac:dyDescent="0.3">
      <c r="A144" s="82">
        <v>1574</v>
      </c>
      <c r="B144" s="93">
        <v>45910</v>
      </c>
      <c r="C144" s="83" t="s">
        <v>1545</v>
      </c>
      <c r="D144" s="113" t="s">
        <v>3458</v>
      </c>
      <c r="F144" s="120">
        <v>80000</v>
      </c>
      <c r="G144" s="85">
        <v>1</v>
      </c>
      <c r="I144" s="80">
        <v>80000</v>
      </c>
      <c r="K144" s="69" t="s">
        <v>3541</v>
      </c>
    </row>
    <row r="145" spans="1:11" ht="18" customHeight="1" x14ac:dyDescent="0.3">
      <c r="A145" s="82">
        <v>1575</v>
      </c>
      <c r="B145" s="93">
        <v>45910</v>
      </c>
      <c r="C145" s="83" t="s">
        <v>3525</v>
      </c>
      <c r="D145" s="113" t="s">
        <v>3486</v>
      </c>
      <c r="F145" s="120">
        <v>540000</v>
      </c>
      <c r="G145" s="85">
        <v>1</v>
      </c>
      <c r="I145" s="80">
        <v>540000</v>
      </c>
      <c r="K145" s="69" t="s">
        <v>3541</v>
      </c>
    </row>
    <row r="146" spans="1:11" ht="18" customHeight="1" x14ac:dyDescent="0.3">
      <c r="A146" s="82">
        <v>1576</v>
      </c>
      <c r="B146" s="93">
        <v>45910</v>
      </c>
      <c r="C146" s="83" t="s">
        <v>1448</v>
      </c>
      <c r="D146" s="113" t="s">
        <v>3458</v>
      </c>
      <c r="F146" s="120">
        <v>80000</v>
      </c>
      <c r="G146" s="85">
        <v>3</v>
      </c>
      <c r="I146" s="80">
        <v>240000</v>
      </c>
      <c r="K146" s="69" t="s">
        <v>3541</v>
      </c>
    </row>
    <row r="147" spans="1:11" ht="18" customHeight="1" x14ac:dyDescent="0.3">
      <c r="A147" s="82">
        <v>1577</v>
      </c>
      <c r="B147" s="93">
        <v>45910</v>
      </c>
      <c r="C147" s="83" t="s">
        <v>3410</v>
      </c>
      <c r="D147" s="113" t="s">
        <v>2188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3541</v>
      </c>
    </row>
    <row r="148" spans="1:11" ht="18" customHeight="1" x14ac:dyDescent="0.3">
      <c r="A148" s="82">
        <v>1578</v>
      </c>
      <c r="B148" s="93">
        <v>45910</v>
      </c>
      <c r="C148" s="83" t="s">
        <v>3410</v>
      </c>
      <c r="D148" s="113" t="s">
        <v>2189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3541</v>
      </c>
    </row>
    <row r="149" spans="1:11" ht="18" customHeight="1" x14ac:dyDescent="0.3">
      <c r="A149" s="82">
        <v>1579</v>
      </c>
      <c r="B149" s="93">
        <v>45910</v>
      </c>
      <c r="C149" s="83" t="s">
        <v>1448</v>
      </c>
      <c r="D149" s="113" t="s">
        <v>3322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1309</v>
      </c>
      <c r="D150" s="113" t="s">
        <v>2202</v>
      </c>
      <c r="F150" s="120">
        <v>600000</v>
      </c>
      <c r="G150" s="85">
        <v>1</v>
      </c>
      <c r="I150" s="80">
        <v>600000</v>
      </c>
      <c r="K150" s="69" t="s">
        <v>3541</v>
      </c>
    </row>
    <row r="151" spans="1:11" ht="18" customHeight="1" x14ac:dyDescent="0.3">
      <c r="A151" s="82">
        <v>1581</v>
      </c>
      <c r="B151" s="93">
        <v>45910</v>
      </c>
      <c r="C151" s="83" t="s">
        <v>2797</v>
      </c>
      <c r="D151" s="113" t="s">
        <v>2298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3541</v>
      </c>
    </row>
    <row r="152" spans="1:11" ht="18" customHeight="1" x14ac:dyDescent="0.3">
      <c r="A152" s="82">
        <v>1582</v>
      </c>
      <c r="B152" s="93">
        <v>45910</v>
      </c>
      <c r="C152" s="83" t="s">
        <v>1795</v>
      </c>
      <c r="D152" s="113" t="s">
        <v>2202</v>
      </c>
      <c r="F152" s="120">
        <v>600000</v>
      </c>
      <c r="G152" s="85">
        <v>1</v>
      </c>
      <c r="I152" s="80">
        <v>600000</v>
      </c>
      <c r="K152" s="69" t="s">
        <v>3541</v>
      </c>
    </row>
    <row r="153" spans="1:11" ht="18" customHeight="1" x14ac:dyDescent="0.3">
      <c r="A153" s="82">
        <v>1583</v>
      </c>
      <c r="B153" s="93">
        <v>45910</v>
      </c>
      <c r="C153" s="83" t="s">
        <v>1795</v>
      </c>
      <c r="D153" s="113" t="s">
        <v>3486</v>
      </c>
      <c r="F153" s="120">
        <v>540000</v>
      </c>
      <c r="G153" s="85">
        <v>1</v>
      </c>
      <c r="I153" s="80">
        <v>540000</v>
      </c>
      <c r="K153" s="69" t="s">
        <v>3541</v>
      </c>
    </row>
    <row r="154" spans="1:11" ht="18" customHeight="1" x14ac:dyDescent="0.3">
      <c r="A154" s="82">
        <v>1584</v>
      </c>
      <c r="B154" s="93">
        <v>45910</v>
      </c>
      <c r="C154" s="83" t="s">
        <v>1795</v>
      </c>
      <c r="D154" s="113" t="s">
        <v>2200</v>
      </c>
      <c r="F154" s="120">
        <v>10000</v>
      </c>
      <c r="G154" s="85">
        <v>1</v>
      </c>
      <c r="I154" s="80">
        <v>10000</v>
      </c>
      <c r="K154" s="69" t="s">
        <v>3541</v>
      </c>
    </row>
    <row r="155" spans="1:11" ht="18" customHeight="1" x14ac:dyDescent="0.3">
      <c r="A155" s="82">
        <v>1585</v>
      </c>
      <c r="B155" s="93">
        <v>45910</v>
      </c>
      <c r="C155" s="83" t="s">
        <v>1795</v>
      </c>
      <c r="D155" s="113" t="s">
        <v>2199</v>
      </c>
      <c r="F155" s="120">
        <v>35000</v>
      </c>
      <c r="G155" s="85">
        <v>1</v>
      </c>
      <c r="I155" s="80">
        <v>35000</v>
      </c>
      <c r="K155" s="69" t="s">
        <v>3541</v>
      </c>
    </row>
    <row r="156" spans="1:11" ht="18" customHeight="1" x14ac:dyDescent="0.3">
      <c r="A156" s="82">
        <v>1586</v>
      </c>
      <c r="B156" s="93">
        <v>45910</v>
      </c>
      <c r="C156" s="83" t="s">
        <v>1795</v>
      </c>
      <c r="D156" s="113" t="s">
        <v>1523</v>
      </c>
      <c r="F156" s="120">
        <v>20000</v>
      </c>
      <c r="G156" s="85">
        <v>1</v>
      </c>
      <c r="I156" s="80">
        <v>20000</v>
      </c>
      <c r="K156" s="69" t="s">
        <v>3541</v>
      </c>
    </row>
    <row r="157" spans="1:11" ht="18" customHeight="1" x14ac:dyDescent="0.3">
      <c r="A157" s="82">
        <v>1587</v>
      </c>
      <c r="B157" s="93">
        <v>45910</v>
      </c>
      <c r="C157" s="83" t="s">
        <v>1471</v>
      </c>
      <c r="D157" s="113" t="s">
        <v>1126</v>
      </c>
      <c r="J157" s="80">
        <v>-3080000</v>
      </c>
      <c r="K157" s="69" t="s">
        <v>3541</v>
      </c>
    </row>
    <row r="158" spans="1:11" ht="18" customHeight="1" x14ac:dyDescent="0.3">
      <c r="A158" s="82">
        <v>1588</v>
      </c>
      <c r="B158" s="93">
        <v>45910</v>
      </c>
      <c r="C158" s="83" t="s">
        <v>3410</v>
      </c>
      <c r="D158" s="113" t="s">
        <v>1126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1309</v>
      </c>
      <c r="D159" s="113" t="s">
        <v>1126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1453</v>
      </c>
      <c r="D160" s="113" t="s">
        <v>1126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2418</v>
      </c>
      <c r="D161" s="113" t="s">
        <v>1126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1590</v>
      </c>
      <c r="D162" s="113" t="s">
        <v>1126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2797</v>
      </c>
      <c r="D163" s="113" t="s">
        <v>1126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3525</v>
      </c>
      <c r="D164" s="113" t="s">
        <v>1126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1471</v>
      </c>
      <c r="D165" s="113" t="s">
        <v>3237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1083</v>
      </c>
      <c r="D166" s="113" t="s">
        <v>2188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1083</v>
      </c>
      <c r="D167" s="113" t="s">
        <v>2189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1817</v>
      </c>
      <c r="D168" s="113" t="s">
        <v>1208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2404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1453</v>
      </c>
      <c r="D170" s="113" t="s">
        <v>3399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1453</v>
      </c>
      <c r="D171" s="113" t="s">
        <v>1553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1453</v>
      </c>
      <c r="D172" s="113" t="s">
        <v>3553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1403</v>
      </c>
      <c r="D173" s="113" t="s">
        <v>2421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1795</v>
      </c>
      <c r="D174" s="113" t="s">
        <v>3399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1795</v>
      </c>
      <c r="D175" s="113" t="s">
        <v>1523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3130</v>
      </c>
      <c r="D176" s="113" t="s">
        <v>1748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1584</v>
      </c>
      <c r="D177" s="113" t="s">
        <v>1126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1126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3130</v>
      </c>
      <c r="D179" s="113" t="s">
        <v>1126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1477</v>
      </c>
      <c r="D180" s="113" t="s">
        <v>2204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1675</v>
      </c>
      <c r="D181" s="113" t="s">
        <v>2426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1726</v>
      </c>
      <c r="D182" s="113" t="s">
        <v>1539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2930</v>
      </c>
      <c r="D183" s="113" t="s">
        <v>2954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1726</v>
      </c>
      <c r="D184" s="113" t="s">
        <v>3564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1473</v>
      </c>
      <c r="D185" s="113" t="s">
        <v>2197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3567</v>
      </c>
      <c r="D186" s="113" t="s">
        <v>3293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1477</v>
      </c>
      <c r="D187" s="113" t="s">
        <v>1126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1453</v>
      </c>
      <c r="D188" s="113" t="s">
        <v>1126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3567</v>
      </c>
      <c r="D189" s="113" t="s">
        <v>1126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1726</v>
      </c>
      <c r="D190" s="113" t="s">
        <v>1749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1453</v>
      </c>
      <c r="D191" s="113" t="s">
        <v>1206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1988</v>
      </c>
      <c r="D192" s="113" t="s">
        <v>1208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1988</v>
      </c>
      <c r="D193" s="113" t="s">
        <v>2927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2188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2189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1868</v>
      </c>
      <c r="D196" s="113" t="s">
        <v>3575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1403</v>
      </c>
      <c r="D197" s="113" t="s">
        <v>1748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1148</v>
      </c>
      <c r="D198" s="113" t="s">
        <v>1721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1448</v>
      </c>
      <c r="D199" s="113" t="s">
        <v>2203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1448</v>
      </c>
      <c r="D200" s="113" t="s">
        <v>3584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1584</v>
      </c>
      <c r="D201" s="113" t="s">
        <v>2064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1752</v>
      </c>
      <c r="D202" s="113" t="s">
        <v>1126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2637</v>
      </c>
      <c r="D203" s="113" t="s">
        <v>1751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1988</v>
      </c>
      <c r="D204" s="113" t="s">
        <v>1751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1675</v>
      </c>
      <c r="D205" s="113" t="s">
        <v>1751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1584</v>
      </c>
      <c r="D206" s="113" t="s">
        <v>3486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2300</v>
      </c>
      <c r="D207" s="113" t="s">
        <v>3486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1988</v>
      </c>
      <c r="D208" s="113" t="s">
        <v>1208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1448</v>
      </c>
      <c r="D209" s="113" t="s">
        <v>2204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1458</v>
      </c>
      <c r="D210" s="113" t="s">
        <v>2145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1208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1726</v>
      </c>
      <c r="D212" s="113" t="s">
        <v>1553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2202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1498</v>
      </c>
      <c r="D214" s="113" t="s">
        <v>2307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1453</v>
      </c>
      <c r="D215" s="113" t="s">
        <v>1126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2300</v>
      </c>
      <c r="D216" s="113" t="s">
        <v>1126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1498</v>
      </c>
      <c r="D217" s="113" t="s">
        <v>1751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1751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1477</v>
      </c>
      <c r="D219" s="113" t="s">
        <v>1126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1473</v>
      </c>
      <c r="D220" s="113" t="s">
        <v>1751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1817</v>
      </c>
      <c r="D221" s="113" t="s">
        <v>1126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3600</v>
      </c>
      <c r="D222" s="113" t="s">
        <v>3486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1810</v>
      </c>
      <c r="D223" s="113" t="s">
        <v>3486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1810</v>
      </c>
      <c r="D224" s="113" t="s">
        <v>2194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1810</v>
      </c>
      <c r="D225" s="113" t="s">
        <v>2196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1810</v>
      </c>
      <c r="D226" s="113" t="s">
        <v>2200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1752</v>
      </c>
      <c r="D227" s="113" t="s">
        <v>2307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1752</v>
      </c>
      <c r="D228" s="113" t="s">
        <v>2198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1752</v>
      </c>
      <c r="D229" s="113" t="s">
        <v>2198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1752</v>
      </c>
      <c r="D230" s="113" t="s">
        <v>1523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1726</v>
      </c>
      <c r="D231" s="113" t="s">
        <v>3610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1726</v>
      </c>
      <c r="D232" s="113" t="s">
        <v>1720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2153</v>
      </c>
      <c r="D233" s="113" t="s">
        <v>3486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2153</v>
      </c>
      <c r="D234" s="113" t="s">
        <v>2194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2153</v>
      </c>
      <c r="D235" s="113" t="s">
        <v>2199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2156</v>
      </c>
      <c r="D236" s="113" t="s">
        <v>1721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1675</v>
      </c>
      <c r="D237" s="113" t="s">
        <v>2298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1988</v>
      </c>
      <c r="D238" s="113" t="s">
        <v>1126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1403</v>
      </c>
      <c r="D239" s="113" t="s">
        <v>3610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2819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2191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1471</v>
      </c>
      <c r="D242" s="113" t="s">
        <v>2694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1477</v>
      </c>
      <c r="D243" s="113" t="s">
        <v>1206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3135</v>
      </c>
      <c r="D244" s="113" t="s">
        <v>2051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1938</v>
      </c>
      <c r="D245" s="113" t="s">
        <v>3057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1938</v>
      </c>
      <c r="D246" s="113" t="s">
        <v>2918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3471</v>
      </c>
      <c r="D247" s="113" t="s">
        <v>3622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1448</v>
      </c>
      <c r="D248" s="113" t="s">
        <v>2035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1448</v>
      </c>
      <c r="D249" s="113" t="s">
        <v>3619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1448</v>
      </c>
      <c r="D250" s="113" t="s">
        <v>3610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1752</v>
      </c>
      <c r="D251" s="113" t="s">
        <v>3616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2823</v>
      </c>
      <c r="D252" s="113" t="s">
        <v>1539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3130</v>
      </c>
      <c r="D253" s="113" t="s">
        <v>2204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2718</v>
      </c>
      <c r="D254" s="113" t="s">
        <v>1565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2718</v>
      </c>
      <c r="D255" s="113" t="s">
        <v>1741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2327</v>
      </c>
      <c r="D256" s="113" t="s">
        <v>1500</v>
      </c>
      <c r="F256" s="120">
        <v>350000</v>
      </c>
      <c r="G256" s="85">
        <v>2</v>
      </c>
      <c r="H256" s="126" t="s">
        <v>3655</v>
      </c>
      <c r="I256" s="80">
        <v>770000</v>
      </c>
    </row>
    <row r="257" spans="1:10" ht="18" customHeight="1" x14ac:dyDescent="0.3">
      <c r="A257" s="82">
        <v>1687</v>
      </c>
      <c r="B257" s="93">
        <v>45918</v>
      </c>
      <c r="C257" s="83" t="s">
        <v>3130</v>
      </c>
      <c r="D257" s="113" t="s">
        <v>1126</v>
      </c>
      <c r="J257" s="80">
        <v>-1500000</v>
      </c>
    </row>
    <row r="258" spans="1:10" ht="18" customHeight="1" x14ac:dyDescent="0.3">
      <c r="A258" s="82">
        <v>1688</v>
      </c>
      <c r="B258" s="93">
        <v>45918</v>
      </c>
      <c r="C258" s="83" t="s">
        <v>1458</v>
      </c>
      <c r="D258" s="113" t="s">
        <v>1126</v>
      </c>
      <c r="J258" s="80">
        <v>-1750000</v>
      </c>
    </row>
    <row r="259" spans="1:10" ht="18" customHeight="1" x14ac:dyDescent="0.3">
      <c r="A259" s="82">
        <v>1689</v>
      </c>
      <c r="B259" s="93">
        <v>45918</v>
      </c>
      <c r="C259" s="83" t="s">
        <v>2156</v>
      </c>
      <c r="D259" s="113" t="s">
        <v>1126</v>
      </c>
      <c r="J259" s="80">
        <v>-450000</v>
      </c>
    </row>
    <row r="260" spans="1:10" ht="18" customHeight="1" x14ac:dyDescent="0.3">
      <c r="A260" s="82">
        <v>1690</v>
      </c>
      <c r="B260" s="93">
        <v>45918</v>
      </c>
      <c r="C260" s="83" t="s">
        <v>3471</v>
      </c>
      <c r="D260" s="113" t="s">
        <v>1126</v>
      </c>
      <c r="J260" s="80">
        <v>-300000</v>
      </c>
    </row>
    <row r="261" spans="1:10" ht="18" customHeight="1" x14ac:dyDescent="0.3">
      <c r="A261" s="82">
        <v>1691</v>
      </c>
      <c r="B261" s="93">
        <v>45918</v>
      </c>
      <c r="C261" s="83" t="s">
        <v>3600</v>
      </c>
      <c r="D261" s="113" t="s">
        <v>1126</v>
      </c>
      <c r="J261" s="80">
        <v>-1060000</v>
      </c>
    </row>
    <row r="262" spans="1:10" ht="18" customHeight="1" x14ac:dyDescent="0.3">
      <c r="A262" s="82">
        <v>1692</v>
      </c>
      <c r="B262" s="93">
        <v>45919</v>
      </c>
      <c r="C262" s="83" t="s">
        <v>1083</v>
      </c>
      <c r="D262" s="113" t="s">
        <v>1126</v>
      </c>
      <c r="J262" s="80">
        <v>-1550000</v>
      </c>
    </row>
    <row r="263" spans="1:10" ht="18" customHeight="1" x14ac:dyDescent="0.3">
      <c r="A263" s="82">
        <v>1693</v>
      </c>
      <c r="B263" s="93">
        <v>45919</v>
      </c>
      <c r="C263" s="83" t="s">
        <v>1083</v>
      </c>
      <c r="D263" s="113" t="s">
        <v>2191</v>
      </c>
      <c r="F263" s="120">
        <v>60000</v>
      </c>
      <c r="G263" s="85">
        <v>1</v>
      </c>
      <c r="I263" s="80">
        <v>60000</v>
      </c>
    </row>
    <row r="264" spans="1:10" ht="18" customHeight="1" x14ac:dyDescent="0.3">
      <c r="A264" s="82">
        <v>1694</v>
      </c>
      <c r="B264" s="93">
        <v>45919</v>
      </c>
      <c r="C264" s="83" t="s">
        <v>1403</v>
      </c>
      <c r="D264" s="113" t="s">
        <v>1748</v>
      </c>
      <c r="F264" s="120">
        <v>450000</v>
      </c>
      <c r="G264" s="85">
        <v>1</v>
      </c>
      <c r="I264" s="80">
        <v>450000</v>
      </c>
    </row>
    <row r="265" spans="1:10" ht="18" customHeight="1" x14ac:dyDescent="0.3">
      <c r="A265" s="82">
        <v>1695</v>
      </c>
      <c r="B265" s="93">
        <v>45919</v>
      </c>
      <c r="C265" s="83" t="s">
        <v>1019</v>
      </c>
      <c r="D265" s="113" t="s">
        <v>3610</v>
      </c>
      <c r="F265" s="120">
        <v>2000000</v>
      </c>
      <c r="G265" s="85">
        <v>1</v>
      </c>
      <c r="I265" s="80">
        <v>2000000</v>
      </c>
    </row>
    <row r="266" spans="1:10" ht="18" customHeight="1" x14ac:dyDescent="0.3">
      <c r="A266" s="82">
        <v>1696</v>
      </c>
      <c r="B266" s="93">
        <v>45919</v>
      </c>
      <c r="C266" s="83" t="s">
        <v>2756</v>
      </c>
      <c r="D266" s="113" t="s">
        <v>3649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1697</v>
      </c>
      <c r="B267" s="93">
        <v>45919</v>
      </c>
      <c r="C267" s="83" t="s">
        <v>1019</v>
      </c>
      <c r="D267" s="113" t="s">
        <v>3651</v>
      </c>
      <c r="J267" s="80">
        <v>-2000000</v>
      </c>
    </row>
    <row r="268" spans="1:10" ht="18" customHeight="1" x14ac:dyDescent="0.3">
      <c r="A268" s="82">
        <v>1698</v>
      </c>
      <c r="B268" s="93">
        <v>45919</v>
      </c>
      <c r="C268" s="83" t="s">
        <v>2823</v>
      </c>
      <c r="D268" s="113" t="s">
        <v>1126</v>
      </c>
      <c r="J268" s="80">
        <v>-450000</v>
      </c>
    </row>
    <row r="269" spans="1:10" ht="18" customHeight="1" x14ac:dyDescent="0.3">
      <c r="A269" s="82">
        <v>1699</v>
      </c>
      <c r="B269" s="93">
        <v>45919</v>
      </c>
      <c r="C269" s="83" t="s">
        <v>3135</v>
      </c>
      <c r="D269" s="113" t="s">
        <v>1126</v>
      </c>
      <c r="J269" s="80">
        <v>-1100000</v>
      </c>
    </row>
    <row r="270" spans="1:10" ht="18" customHeight="1" x14ac:dyDescent="0.3">
      <c r="A270" s="82">
        <v>1700</v>
      </c>
      <c r="B270" s="93">
        <v>45919</v>
      </c>
      <c r="C270" s="83" t="s">
        <v>1054</v>
      </c>
      <c r="D270" s="113" t="s">
        <v>1126</v>
      </c>
      <c r="J270" s="80">
        <v>-1550000</v>
      </c>
    </row>
    <row r="271" spans="1:10" ht="18" customHeight="1" x14ac:dyDescent="0.3">
      <c r="A271" s="82">
        <v>1701</v>
      </c>
      <c r="B271" s="93">
        <v>45919</v>
      </c>
      <c r="C271" s="83" t="s">
        <v>2718</v>
      </c>
      <c r="D271" s="113" t="s">
        <v>1126</v>
      </c>
      <c r="J271" s="80">
        <v>-1595000</v>
      </c>
    </row>
    <row r="272" spans="1:10" ht="18" customHeight="1" x14ac:dyDescent="0.3">
      <c r="A272" s="82">
        <v>1702</v>
      </c>
      <c r="B272" s="93">
        <v>45919</v>
      </c>
      <c r="C272" s="83" t="s">
        <v>2327</v>
      </c>
      <c r="D272" s="113" t="s">
        <v>1126</v>
      </c>
      <c r="J272" s="80">
        <v>-770000</v>
      </c>
    </row>
    <row r="273" spans="1:10" ht="18" customHeight="1" x14ac:dyDescent="0.3">
      <c r="A273" s="82">
        <v>1703</v>
      </c>
      <c r="B273" s="93">
        <v>45920</v>
      </c>
      <c r="C273" s="83" t="s">
        <v>2756</v>
      </c>
      <c r="D273" s="113" t="s">
        <v>1126</v>
      </c>
      <c r="J273" s="80">
        <v>-250000</v>
      </c>
    </row>
    <row r="274" spans="1:10" ht="18" customHeight="1" x14ac:dyDescent="0.3">
      <c r="A274" s="82">
        <v>1704</v>
      </c>
      <c r="B274" s="93">
        <v>45920</v>
      </c>
      <c r="C274" s="83" t="s">
        <v>1938</v>
      </c>
      <c r="D274" s="113" t="s">
        <v>1126</v>
      </c>
      <c r="J274" s="80">
        <v>-1050000</v>
      </c>
    </row>
    <row r="275" spans="1:10" ht="18" customHeight="1" x14ac:dyDescent="0.3">
      <c r="A275" s="82">
        <v>1705</v>
      </c>
      <c r="B275" s="93">
        <v>45920</v>
      </c>
      <c r="C275" s="83" t="s">
        <v>1795</v>
      </c>
      <c r="D275" s="113" t="s">
        <v>1126</v>
      </c>
      <c r="J275" s="80">
        <v>-3875000</v>
      </c>
    </row>
    <row r="276" spans="1:10" ht="18" customHeight="1" x14ac:dyDescent="0.3">
      <c r="A276" s="82">
        <v>1706</v>
      </c>
      <c r="B276" s="93">
        <v>45920</v>
      </c>
      <c r="C276" s="83" t="s">
        <v>1814</v>
      </c>
      <c r="D276" s="113" t="s">
        <v>1500</v>
      </c>
      <c r="F276" s="120">
        <v>350000</v>
      </c>
      <c r="G276" s="85">
        <v>1</v>
      </c>
      <c r="I276" s="80">
        <v>350000</v>
      </c>
    </row>
    <row r="277" spans="1:10" ht="18" customHeight="1" x14ac:dyDescent="0.3">
      <c r="A277" s="82">
        <v>1707</v>
      </c>
      <c r="B277" s="93">
        <v>45922</v>
      </c>
      <c r="C277" s="83" t="s">
        <v>1675</v>
      </c>
      <c r="D277" s="113" t="s">
        <v>1126</v>
      </c>
      <c r="J277" s="80">
        <v>-1760000</v>
      </c>
    </row>
    <row r="278" spans="1:10" ht="18" customHeight="1" x14ac:dyDescent="0.3">
      <c r="A278" s="82">
        <v>1708</v>
      </c>
      <c r="B278" s="93">
        <v>45922</v>
      </c>
      <c r="C278" s="83" t="s">
        <v>1441</v>
      </c>
      <c r="D278" s="113" t="s">
        <v>1208</v>
      </c>
      <c r="F278" s="120">
        <v>1300000</v>
      </c>
      <c r="G278" s="85">
        <v>1</v>
      </c>
      <c r="H278" s="126" t="s">
        <v>3158</v>
      </c>
      <c r="I278" s="80">
        <v>1430000</v>
      </c>
    </row>
    <row r="279" spans="1:10" ht="18" customHeight="1" x14ac:dyDescent="0.3">
      <c r="A279" s="82">
        <v>1709</v>
      </c>
      <c r="B279" s="93">
        <v>45922</v>
      </c>
      <c r="C279" s="83" t="s">
        <v>1985</v>
      </c>
      <c r="D279" s="113" t="s">
        <v>2188</v>
      </c>
      <c r="F279" s="120">
        <v>1500000</v>
      </c>
      <c r="G279" s="85">
        <v>1</v>
      </c>
      <c r="H279" s="126">
        <v>150000</v>
      </c>
      <c r="I279" s="80">
        <v>1650000</v>
      </c>
    </row>
    <row r="280" spans="1:10" ht="18" customHeight="1" x14ac:dyDescent="0.3">
      <c r="A280" s="82">
        <v>1710</v>
      </c>
      <c r="B280" s="93">
        <v>45922</v>
      </c>
      <c r="C280" s="83" t="s">
        <v>1985</v>
      </c>
      <c r="D280" s="113" t="s">
        <v>2189</v>
      </c>
      <c r="F280" s="120">
        <v>0</v>
      </c>
      <c r="G280" s="85">
        <v>1</v>
      </c>
      <c r="I280" s="80">
        <v>0</v>
      </c>
    </row>
    <row r="281" spans="1:10" ht="18" customHeight="1" x14ac:dyDescent="0.3">
      <c r="A281" s="82">
        <v>1711</v>
      </c>
      <c r="B281" s="93">
        <v>45922</v>
      </c>
      <c r="C281" s="83" t="s">
        <v>1584</v>
      </c>
      <c r="D281" s="113" t="s">
        <v>2196</v>
      </c>
      <c r="F281" s="120">
        <v>130000</v>
      </c>
      <c r="G281" s="85">
        <v>1</v>
      </c>
      <c r="H281" s="126">
        <v>13000</v>
      </c>
      <c r="I281" s="80">
        <v>143000</v>
      </c>
    </row>
    <row r="282" spans="1:10" ht="18" customHeight="1" x14ac:dyDescent="0.3">
      <c r="A282" s="82">
        <v>1712</v>
      </c>
      <c r="B282" s="93">
        <v>45922</v>
      </c>
      <c r="C282" s="83" t="s">
        <v>1471</v>
      </c>
      <c r="D282" s="113" t="s">
        <v>1869</v>
      </c>
      <c r="F282" s="120">
        <v>3500000</v>
      </c>
      <c r="G282" s="85">
        <v>1</v>
      </c>
      <c r="H282" s="126">
        <v>350000</v>
      </c>
      <c r="I282" s="80">
        <v>3850000</v>
      </c>
    </row>
    <row r="283" spans="1:10" ht="18" customHeight="1" x14ac:dyDescent="0.3">
      <c r="A283" s="82">
        <v>1713</v>
      </c>
      <c r="B283" s="93">
        <v>45922</v>
      </c>
      <c r="C283" s="83" t="s">
        <v>1446</v>
      </c>
      <c r="D283" s="113" t="s">
        <v>1500</v>
      </c>
      <c r="F283" s="120">
        <v>350000</v>
      </c>
      <c r="G283" s="85">
        <v>1</v>
      </c>
      <c r="I283" s="80">
        <v>350000</v>
      </c>
    </row>
    <row r="284" spans="1:10" ht="18" customHeight="1" x14ac:dyDescent="0.3">
      <c r="A284" s="82">
        <v>1714</v>
      </c>
      <c r="B284" s="93">
        <v>45922</v>
      </c>
      <c r="C284" s="83" t="s">
        <v>2418</v>
      </c>
      <c r="D284" s="113" t="s">
        <v>1208</v>
      </c>
      <c r="F284" s="120">
        <v>1900000</v>
      </c>
      <c r="G284" s="85">
        <v>1</v>
      </c>
      <c r="H284" s="126">
        <v>190000</v>
      </c>
      <c r="I284" s="80">
        <v>2090000</v>
      </c>
    </row>
    <row r="285" spans="1:10" ht="18" customHeight="1" x14ac:dyDescent="0.3">
      <c r="A285" s="82">
        <v>1715</v>
      </c>
      <c r="B285" s="93">
        <v>45922</v>
      </c>
      <c r="C285" s="83" t="s">
        <v>2418</v>
      </c>
      <c r="D285" s="113" t="s">
        <v>2694</v>
      </c>
      <c r="F285" s="120">
        <v>100000</v>
      </c>
      <c r="G285" s="85">
        <v>1</v>
      </c>
      <c r="H285" s="126">
        <v>10000</v>
      </c>
      <c r="I285" s="80">
        <v>110000</v>
      </c>
    </row>
    <row r="286" spans="1:10" ht="18" customHeight="1" x14ac:dyDescent="0.3">
      <c r="A286" s="82">
        <v>1716</v>
      </c>
      <c r="B286" s="93">
        <v>45922</v>
      </c>
      <c r="C286" s="83" t="s">
        <v>2418</v>
      </c>
      <c r="D286" s="113" t="s">
        <v>1565</v>
      </c>
      <c r="F286" s="120">
        <v>1200000</v>
      </c>
      <c r="G286" s="85">
        <v>1</v>
      </c>
      <c r="H286" s="126">
        <v>120000</v>
      </c>
      <c r="I286" s="80">
        <v>1320000</v>
      </c>
    </row>
    <row r="287" spans="1:10" ht="18" customHeight="1" x14ac:dyDescent="0.3">
      <c r="A287" s="82">
        <v>1717</v>
      </c>
      <c r="B287" s="93">
        <v>45922</v>
      </c>
      <c r="C287" s="83" t="s">
        <v>1027</v>
      </c>
      <c r="D287" s="113" t="s">
        <v>2188</v>
      </c>
      <c r="F287" s="120">
        <v>1500000</v>
      </c>
      <c r="G287" s="85">
        <v>1</v>
      </c>
      <c r="I287" s="80">
        <v>1500000</v>
      </c>
    </row>
    <row r="288" spans="1:10" ht="18" customHeight="1" x14ac:dyDescent="0.3">
      <c r="A288" s="82">
        <v>1718</v>
      </c>
      <c r="B288" s="93">
        <v>45922</v>
      </c>
      <c r="C288" s="83" t="s">
        <v>1027</v>
      </c>
      <c r="D288" s="113" t="s">
        <v>2189</v>
      </c>
      <c r="F288" s="120">
        <v>50000</v>
      </c>
      <c r="G288" s="85">
        <v>1</v>
      </c>
      <c r="I288" s="80">
        <v>50000</v>
      </c>
    </row>
    <row r="289" spans="1:10" ht="18" customHeight="1" x14ac:dyDescent="0.3">
      <c r="A289" s="82">
        <v>1719</v>
      </c>
      <c r="B289" s="93">
        <v>45922</v>
      </c>
      <c r="C289" s="83" t="s">
        <v>1985</v>
      </c>
      <c r="D289" s="113" t="s">
        <v>1751</v>
      </c>
      <c r="J289" s="80">
        <v>-1650000</v>
      </c>
    </row>
    <row r="290" spans="1:10" ht="18" customHeight="1" x14ac:dyDescent="0.3">
      <c r="A290" s="82">
        <v>1720</v>
      </c>
      <c r="B290" s="93">
        <v>45922</v>
      </c>
      <c r="C290" s="83" t="s">
        <v>1446</v>
      </c>
      <c r="D290" s="113" t="s">
        <v>1751</v>
      </c>
      <c r="J290" s="80">
        <v>-350000</v>
      </c>
    </row>
    <row r="291" spans="1:10" ht="18" customHeight="1" x14ac:dyDescent="0.3">
      <c r="A291" s="82">
        <v>1721</v>
      </c>
      <c r="B291" s="93">
        <v>45922</v>
      </c>
      <c r="C291" s="83" t="s">
        <v>3012</v>
      </c>
      <c r="D291" s="113" t="s">
        <v>1751</v>
      </c>
      <c r="J291" s="80">
        <v>-1650000</v>
      </c>
    </row>
    <row r="292" spans="1:10" ht="18" customHeight="1" x14ac:dyDescent="0.3">
      <c r="A292" s="82">
        <v>1722</v>
      </c>
      <c r="B292" s="93">
        <v>45922</v>
      </c>
      <c r="C292" s="83" t="s">
        <v>1083</v>
      </c>
      <c r="D292" s="113" t="s">
        <v>1751</v>
      </c>
      <c r="J292" s="80">
        <v>-60000</v>
      </c>
    </row>
    <row r="293" spans="1:10" ht="18" customHeight="1" x14ac:dyDescent="0.3">
      <c r="A293" s="82">
        <v>1724</v>
      </c>
      <c r="B293" s="93">
        <v>45923</v>
      </c>
      <c r="C293" s="83" t="s">
        <v>2418</v>
      </c>
      <c r="D293" s="113" t="s">
        <v>1126</v>
      </c>
      <c r="J293" s="80">
        <v>-3520000</v>
      </c>
    </row>
    <row r="294" spans="1:10" ht="18" customHeight="1" x14ac:dyDescent="0.3">
      <c r="A294" s="82">
        <v>1725</v>
      </c>
      <c r="B294" s="93">
        <v>45923</v>
      </c>
      <c r="C294" s="83" t="s">
        <v>1054</v>
      </c>
      <c r="D294" s="113" t="s">
        <v>2210</v>
      </c>
      <c r="F294" s="120">
        <v>1800000</v>
      </c>
      <c r="G294" s="85">
        <v>1</v>
      </c>
      <c r="I294" s="80">
        <v>1800000</v>
      </c>
    </row>
    <row r="295" spans="1:10" ht="18" customHeight="1" x14ac:dyDescent="0.3">
      <c r="A295" s="82">
        <v>1726</v>
      </c>
      <c r="B295" s="93">
        <v>45923</v>
      </c>
      <c r="C295" s="83" t="s">
        <v>1054</v>
      </c>
      <c r="D295" s="113" t="s">
        <v>2189</v>
      </c>
      <c r="F295" s="120">
        <v>50000</v>
      </c>
      <c r="G295" s="85">
        <v>1</v>
      </c>
      <c r="I295" s="80">
        <v>50000</v>
      </c>
    </row>
    <row r="296" spans="1:10" ht="18" customHeight="1" x14ac:dyDescent="0.3">
      <c r="A296" s="82">
        <v>1727</v>
      </c>
      <c r="B296" s="93">
        <v>45923</v>
      </c>
      <c r="C296" s="83" t="s">
        <v>1019</v>
      </c>
      <c r="D296" s="113" t="s">
        <v>3610</v>
      </c>
      <c r="F296" s="120">
        <v>2200000</v>
      </c>
      <c r="G296" s="85">
        <v>1</v>
      </c>
      <c r="I296" s="80">
        <v>2200000</v>
      </c>
    </row>
    <row r="297" spans="1:10" ht="18" customHeight="1" x14ac:dyDescent="0.3">
      <c r="A297" s="82">
        <v>1728</v>
      </c>
      <c r="B297" s="93">
        <v>45923</v>
      </c>
      <c r="C297" s="83" t="s">
        <v>1008</v>
      </c>
      <c r="D297" s="113" t="s">
        <v>1539</v>
      </c>
      <c r="F297" s="120">
        <v>200000</v>
      </c>
      <c r="G297" s="85">
        <v>1</v>
      </c>
      <c r="I297" s="80">
        <v>200000</v>
      </c>
    </row>
    <row r="298" spans="1:10" ht="18" customHeight="1" x14ac:dyDescent="0.3">
      <c r="A298" s="82">
        <v>1729</v>
      </c>
      <c r="B298" s="93">
        <v>45923</v>
      </c>
      <c r="C298" s="83" t="s">
        <v>1868</v>
      </c>
      <c r="D298" s="113" t="s">
        <v>2204</v>
      </c>
      <c r="F298" s="120">
        <v>1600000</v>
      </c>
      <c r="G298" s="85">
        <v>1</v>
      </c>
      <c r="I298" s="80">
        <v>1600000</v>
      </c>
    </row>
    <row r="299" spans="1:10" ht="18" customHeight="1" x14ac:dyDescent="0.3">
      <c r="A299" s="82">
        <v>1730</v>
      </c>
      <c r="B299" s="93">
        <v>45923</v>
      </c>
      <c r="C299" s="83" t="s">
        <v>1456</v>
      </c>
      <c r="D299" s="113" t="s">
        <v>2426</v>
      </c>
      <c r="F299" s="120">
        <v>1100000</v>
      </c>
      <c r="G299" s="85">
        <v>1</v>
      </c>
      <c r="H299" s="126">
        <v>110000</v>
      </c>
      <c r="I299" s="80">
        <v>1210000</v>
      </c>
    </row>
    <row r="300" spans="1:10" ht="18" customHeight="1" x14ac:dyDescent="0.3">
      <c r="A300" s="82">
        <v>1731</v>
      </c>
      <c r="B300" s="93">
        <v>45923</v>
      </c>
      <c r="C300" s="83" t="s">
        <v>1662</v>
      </c>
      <c r="D300" s="113" t="s">
        <v>1208</v>
      </c>
      <c r="F300" s="120">
        <v>1200000</v>
      </c>
      <c r="G300" s="85">
        <v>1</v>
      </c>
      <c r="I300" s="80">
        <v>1200000</v>
      </c>
    </row>
    <row r="301" spans="1:10" ht="18" customHeight="1" x14ac:dyDescent="0.3">
      <c r="A301" s="82">
        <v>1732</v>
      </c>
      <c r="B301" s="93">
        <v>45923</v>
      </c>
      <c r="C301" s="83" t="s">
        <v>1016</v>
      </c>
      <c r="D301" s="113" t="s">
        <v>3486</v>
      </c>
      <c r="F301" s="120">
        <v>526364</v>
      </c>
      <c r="G301" s="85">
        <v>1</v>
      </c>
      <c r="H301" s="126">
        <v>52636</v>
      </c>
      <c r="I301" s="80">
        <v>579000</v>
      </c>
    </row>
    <row r="302" spans="1:10" ht="18" customHeight="1" x14ac:dyDescent="0.3">
      <c r="A302" s="82">
        <v>1733</v>
      </c>
      <c r="B302" s="93">
        <v>45923</v>
      </c>
      <c r="C302" s="83" t="s">
        <v>1016</v>
      </c>
      <c r="D302" s="113" t="s">
        <v>2198</v>
      </c>
      <c r="F302" s="120">
        <v>70000</v>
      </c>
      <c r="G302" s="85">
        <v>1</v>
      </c>
      <c r="H302" s="126">
        <v>7000</v>
      </c>
      <c r="I302" s="80">
        <v>77000</v>
      </c>
    </row>
    <row r="303" spans="1:10" ht="18" customHeight="1" x14ac:dyDescent="0.3">
      <c r="A303" s="82">
        <v>1734</v>
      </c>
      <c r="B303" s="93">
        <v>45923</v>
      </c>
      <c r="C303" s="83" t="s">
        <v>1016</v>
      </c>
      <c r="D303" s="113" t="s">
        <v>2196</v>
      </c>
      <c r="F303" s="120">
        <v>130000</v>
      </c>
      <c r="G303" s="85">
        <v>1</v>
      </c>
      <c r="H303" s="126">
        <v>13000</v>
      </c>
      <c r="I303" s="80">
        <v>143000</v>
      </c>
    </row>
    <row r="304" spans="1:10" ht="18" customHeight="1" x14ac:dyDescent="0.3">
      <c r="A304" s="82">
        <v>1735</v>
      </c>
      <c r="B304" s="93">
        <v>45923</v>
      </c>
      <c r="C304" s="83" t="s">
        <v>1016</v>
      </c>
      <c r="D304" s="113" t="s">
        <v>2200</v>
      </c>
      <c r="F304" s="120">
        <v>10000</v>
      </c>
      <c r="G304" s="85">
        <v>2</v>
      </c>
      <c r="H304" s="126">
        <v>2000</v>
      </c>
      <c r="I304" s="80">
        <v>22000</v>
      </c>
    </row>
    <row r="305" spans="1:10" ht="18" customHeight="1" x14ac:dyDescent="0.3">
      <c r="A305" s="82">
        <v>1736</v>
      </c>
      <c r="B305" s="93">
        <v>45923</v>
      </c>
      <c r="C305" s="83" t="s">
        <v>1016</v>
      </c>
      <c r="D305" s="113" t="s">
        <v>2199</v>
      </c>
      <c r="F305" s="120">
        <v>35000</v>
      </c>
      <c r="G305" s="85">
        <v>1</v>
      </c>
      <c r="H305" s="126">
        <v>3500</v>
      </c>
      <c r="I305" s="80">
        <v>38500</v>
      </c>
    </row>
    <row r="306" spans="1:10" ht="18" customHeight="1" x14ac:dyDescent="0.3">
      <c r="A306" s="82">
        <v>1737</v>
      </c>
      <c r="B306" s="93">
        <v>45923</v>
      </c>
      <c r="C306" s="83" t="s">
        <v>1054</v>
      </c>
      <c r="D306" s="113" t="s">
        <v>3682</v>
      </c>
      <c r="F306" s="120">
        <v>150000</v>
      </c>
      <c r="G306" s="85">
        <v>1</v>
      </c>
      <c r="I306" s="80">
        <v>150000</v>
      </c>
    </row>
    <row r="307" spans="1:10" ht="18" customHeight="1" x14ac:dyDescent="0.3">
      <c r="A307" s="82">
        <v>1738</v>
      </c>
      <c r="B307" s="93">
        <v>45923</v>
      </c>
      <c r="C307" s="83" t="s">
        <v>1008</v>
      </c>
      <c r="D307" s="113" t="s">
        <v>3684</v>
      </c>
      <c r="J307" s="80">
        <v>-350000</v>
      </c>
    </row>
    <row r="308" spans="1:10" ht="18" customHeight="1" x14ac:dyDescent="0.3">
      <c r="A308" s="82">
        <v>1739</v>
      </c>
      <c r="B308" s="93">
        <v>45923</v>
      </c>
      <c r="C308" s="83" t="s">
        <v>1662</v>
      </c>
      <c r="D308" s="113" t="s">
        <v>1126</v>
      </c>
      <c r="J308" s="80">
        <v>-1200000</v>
      </c>
    </row>
    <row r="309" spans="1:10" ht="18" customHeight="1" x14ac:dyDescent="0.3">
      <c r="A309" s="82">
        <v>1740</v>
      </c>
      <c r="B309" s="93">
        <v>45923</v>
      </c>
      <c r="C309" s="83" t="s">
        <v>1545</v>
      </c>
      <c r="D309" s="113" t="s">
        <v>1748</v>
      </c>
      <c r="F309" s="120">
        <v>1100000</v>
      </c>
      <c r="G309" s="85">
        <v>1</v>
      </c>
      <c r="I309" s="80">
        <v>1100000</v>
      </c>
    </row>
    <row r="310" spans="1:10" ht="18" customHeight="1" x14ac:dyDescent="0.3">
      <c r="A310" s="82">
        <v>1741</v>
      </c>
      <c r="B310" s="93">
        <v>45924</v>
      </c>
      <c r="C310" s="83" t="s">
        <v>1877</v>
      </c>
      <c r="D310" s="113" t="s">
        <v>3688</v>
      </c>
      <c r="J310" s="80">
        <v>-150000</v>
      </c>
    </row>
    <row r="311" spans="1:10" ht="18" customHeight="1" x14ac:dyDescent="0.3">
      <c r="A311" s="82">
        <v>1742</v>
      </c>
      <c r="B311" s="93">
        <v>45924</v>
      </c>
      <c r="C311" s="83" t="s">
        <v>1083</v>
      </c>
      <c r="D311" s="113" t="s">
        <v>3686</v>
      </c>
      <c r="F311" s="120">
        <v>1500000</v>
      </c>
      <c r="G311" s="85">
        <v>1</v>
      </c>
      <c r="J311" s="80">
        <v>-1550000</v>
      </c>
    </row>
    <row r="312" spans="1:10" ht="18" customHeight="1" x14ac:dyDescent="0.3">
      <c r="A312" s="82">
        <v>1743</v>
      </c>
      <c r="B312" s="93">
        <v>45924</v>
      </c>
      <c r="C312" s="83" t="s">
        <v>1395</v>
      </c>
      <c r="D312" s="113" t="s">
        <v>1866</v>
      </c>
      <c r="F312" s="120">
        <v>1100000</v>
      </c>
      <c r="G312" s="85">
        <v>1</v>
      </c>
      <c r="I312" s="80">
        <v>1100000</v>
      </c>
    </row>
    <row r="313" spans="1:10" ht="18" customHeight="1" x14ac:dyDescent="0.3">
      <c r="A313" s="82">
        <v>1744</v>
      </c>
      <c r="B313" s="93">
        <v>45924</v>
      </c>
      <c r="C313" s="83" t="s">
        <v>988</v>
      </c>
      <c r="D313" s="113" t="s">
        <v>3610</v>
      </c>
      <c r="F313" s="120">
        <v>2200000</v>
      </c>
      <c r="G313" s="85">
        <v>1</v>
      </c>
      <c r="I313" s="80">
        <v>2200000</v>
      </c>
    </row>
    <row r="314" spans="1:10" ht="18" customHeight="1" x14ac:dyDescent="0.3">
      <c r="A314" s="82">
        <v>1745</v>
      </c>
      <c r="B314" s="93">
        <v>45924</v>
      </c>
      <c r="C314" s="83" t="s">
        <v>1403</v>
      </c>
      <c r="D314" s="113" t="s">
        <v>2789</v>
      </c>
      <c r="F314" s="120">
        <v>1600000</v>
      </c>
      <c r="G314" s="85">
        <v>1</v>
      </c>
      <c r="I314" s="80">
        <v>1600000</v>
      </c>
    </row>
    <row r="315" spans="1:10" ht="18" customHeight="1" x14ac:dyDescent="0.3">
      <c r="A315" s="82">
        <v>1746</v>
      </c>
      <c r="B315" s="93">
        <v>45924</v>
      </c>
      <c r="C315" s="83" t="s">
        <v>2756</v>
      </c>
      <c r="D315" s="113" t="s">
        <v>1539</v>
      </c>
      <c r="F315" s="120">
        <v>450000</v>
      </c>
      <c r="G315" s="85">
        <v>1</v>
      </c>
      <c r="I315" s="80">
        <v>450000</v>
      </c>
    </row>
    <row r="316" spans="1:10" ht="18" customHeight="1" x14ac:dyDescent="0.3">
      <c r="A316" s="82">
        <v>1747</v>
      </c>
      <c r="B316" s="93">
        <v>45924</v>
      </c>
      <c r="C316" s="83" t="s">
        <v>1453</v>
      </c>
      <c r="D316" s="113" t="s">
        <v>1748</v>
      </c>
      <c r="F316" s="120">
        <v>650000</v>
      </c>
      <c r="G316" s="85">
        <v>1</v>
      </c>
      <c r="H316" s="126">
        <v>65000</v>
      </c>
      <c r="I316" s="80">
        <v>715000</v>
      </c>
    </row>
    <row r="317" spans="1:10" ht="18" customHeight="1" x14ac:dyDescent="0.3">
      <c r="A317" s="82">
        <v>1748</v>
      </c>
      <c r="B317" s="93">
        <v>45924</v>
      </c>
      <c r="C317" s="83" t="s">
        <v>988</v>
      </c>
      <c r="D317" s="113" t="s">
        <v>1126</v>
      </c>
      <c r="J317" s="80">
        <v>-2200000</v>
      </c>
    </row>
    <row r="318" spans="1:10" ht="18" customHeight="1" x14ac:dyDescent="0.3">
      <c r="A318" s="82">
        <v>1749</v>
      </c>
      <c r="B318" s="93">
        <v>45925</v>
      </c>
      <c r="C318" s="83" t="s">
        <v>1868</v>
      </c>
      <c r="D318" s="113" t="s">
        <v>1126</v>
      </c>
      <c r="J318" s="80">
        <v>-2600000</v>
      </c>
    </row>
    <row r="319" spans="1:10" ht="18" customHeight="1" x14ac:dyDescent="0.3">
      <c r="A319" s="82">
        <v>1750</v>
      </c>
      <c r="B319" s="93">
        <v>45925</v>
      </c>
      <c r="C319" s="83" t="s">
        <v>1453</v>
      </c>
      <c r="D319" s="113" t="s">
        <v>1126</v>
      </c>
      <c r="J319" s="80">
        <v>-715000</v>
      </c>
    </row>
    <row r="320" spans="1:10" ht="18" customHeight="1" x14ac:dyDescent="0.3">
      <c r="A320" s="82">
        <v>1751</v>
      </c>
      <c r="B320" s="93">
        <v>45925</v>
      </c>
      <c r="C320" s="83" t="s">
        <v>1027</v>
      </c>
      <c r="D320" s="113" t="s">
        <v>1126</v>
      </c>
      <c r="J320" s="80">
        <v>-2070000</v>
      </c>
    </row>
    <row r="321" spans="1:10" ht="18" customHeight="1" x14ac:dyDescent="0.3">
      <c r="A321" s="82">
        <v>1752</v>
      </c>
      <c r="B321" s="93">
        <v>45925</v>
      </c>
      <c r="C321" s="83" t="s">
        <v>1441</v>
      </c>
      <c r="D321" s="113" t="s">
        <v>1126</v>
      </c>
      <c r="J321" s="80">
        <v>-1430000</v>
      </c>
    </row>
    <row r="322" spans="1:10" ht="18" customHeight="1" x14ac:dyDescent="0.3">
      <c r="A322" s="82">
        <v>1753</v>
      </c>
      <c r="B322" s="93">
        <v>45925</v>
      </c>
      <c r="C322" s="83" t="s">
        <v>1814</v>
      </c>
      <c r="D322" s="113" t="s">
        <v>1126</v>
      </c>
      <c r="J322" s="80">
        <v>-350000</v>
      </c>
    </row>
    <row r="323" spans="1:10" ht="18" customHeight="1" x14ac:dyDescent="0.3">
      <c r="A323" s="82">
        <v>1754</v>
      </c>
      <c r="B323" s="93">
        <v>45925</v>
      </c>
      <c r="C323" s="83" t="s">
        <v>2756</v>
      </c>
      <c r="D323" s="113" t="s">
        <v>1126</v>
      </c>
      <c r="J323" s="80">
        <v>-450000</v>
      </c>
    </row>
    <row r="324" spans="1:10" ht="18" customHeight="1" x14ac:dyDescent="0.3">
      <c r="A324" s="82">
        <v>1755</v>
      </c>
      <c r="B324" s="93">
        <v>45925</v>
      </c>
      <c r="C324" s="83" t="s">
        <v>1403</v>
      </c>
      <c r="D324" s="113" t="s">
        <v>1748</v>
      </c>
      <c r="F324" s="120">
        <v>1100000</v>
      </c>
      <c r="G324" s="85">
        <v>1</v>
      </c>
      <c r="I324" s="80">
        <v>1100000</v>
      </c>
    </row>
    <row r="325" spans="1:10" ht="18" customHeight="1" x14ac:dyDescent="0.3">
      <c r="A325" s="82">
        <v>1756</v>
      </c>
      <c r="B325" s="93">
        <v>45925</v>
      </c>
      <c r="C325" s="83" t="s">
        <v>1545</v>
      </c>
      <c r="D325" s="113" t="s">
        <v>1206</v>
      </c>
      <c r="F325" s="120">
        <v>1200000</v>
      </c>
      <c r="G325" s="85">
        <v>1</v>
      </c>
      <c r="I325" s="80">
        <v>1200000</v>
      </c>
    </row>
    <row r="326" spans="1:10" ht="18" customHeight="1" x14ac:dyDescent="0.3">
      <c r="A326" s="82">
        <v>1757</v>
      </c>
      <c r="B326" s="93">
        <v>45925</v>
      </c>
      <c r="C326" s="83" t="s">
        <v>1545</v>
      </c>
      <c r="D326" s="113" t="s">
        <v>1500</v>
      </c>
      <c r="F326" s="120">
        <v>350000</v>
      </c>
      <c r="G326" s="85">
        <v>1</v>
      </c>
      <c r="I326" s="80">
        <v>350000</v>
      </c>
    </row>
    <row r="327" spans="1:10" ht="18" customHeight="1" x14ac:dyDescent="0.3">
      <c r="A327" s="82">
        <v>1758</v>
      </c>
      <c r="B327" s="93">
        <v>45925</v>
      </c>
      <c r="C327" s="83" t="s">
        <v>1471</v>
      </c>
      <c r="D327" s="113" t="s">
        <v>3057</v>
      </c>
      <c r="F327" s="120">
        <v>700000</v>
      </c>
      <c r="G327" s="85">
        <v>1</v>
      </c>
      <c r="H327" s="126">
        <v>70000</v>
      </c>
      <c r="I327" s="80">
        <v>770000</v>
      </c>
    </row>
    <row r="328" spans="1:10" ht="18" customHeight="1" x14ac:dyDescent="0.3">
      <c r="A328" s="82">
        <v>1759</v>
      </c>
      <c r="B328" s="93">
        <v>45925</v>
      </c>
      <c r="C328" s="83" t="s">
        <v>2418</v>
      </c>
      <c r="D328" s="113" t="s">
        <v>3399</v>
      </c>
      <c r="F328" s="120">
        <v>450000</v>
      </c>
      <c r="G328" s="85">
        <v>1</v>
      </c>
      <c r="H328" s="126">
        <v>45000</v>
      </c>
      <c r="I328" s="80">
        <v>495000</v>
      </c>
    </row>
    <row r="329" spans="1:10" ht="18" customHeight="1" x14ac:dyDescent="0.3">
      <c r="A329" s="82">
        <v>1760</v>
      </c>
      <c r="B329" s="93">
        <v>45925</v>
      </c>
      <c r="C329" s="83" t="s">
        <v>1382</v>
      </c>
      <c r="D329" s="113" t="s">
        <v>2188</v>
      </c>
      <c r="F329" s="120">
        <v>1500000</v>
      </c>
      <c r="G329" s="85">
        <v>1</v>
      </c>
      <c r="I329" s="80">
        <v>1500000</v>
      </c>
    </row>
    <row r="330" spans="1:10" ht="18" customHeight="1" x14ac:dyDescent="0.3">
      <c r="A330" s="82">
        <v>1761</v>
      </c>
      <c r="B330" s="93">
        <v>45925</v>
      </c>
      <c r="C330" s="83" t="s">
        <v>1382</v>
      </c>
      <c r="D330" s="113" t="s">
        <v>2189</v>
      </c>
      <c r="F330" s="120">
        <v>50000</v>
      </c>
      <c r="G330" s="85">
        <v>1</v>
      </c>
      <c r="I330" s="80">
        <v>50000</v>
      </c>
    </row>
    <row r="331" spans="1:10" ht="18" customHeight="1" x14ac:dyDescent="0.3">
      <c r="A331" s="82">
        <v>1762</v>
      </c>
      <c r="B331" s="93">
        <v>45925</v>
      </c>
      <c r="C331" s="83" t="s">
        <v>1382</v>
      </c>
      <c r="D331" s="113" t="s">
        <v>2190</v>
      </c>
      <c r="F331" s="120">
        <v>250000</v>
      </c>
      <c r="G331" s="85">
        <v>1</v>
      </c>
      <c r="I331" s="80">
        <v>250000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I224"/>
  <sheetViews>
    <sheetView topLeftCell="A15" workbookViewId="0">
      <selection activeCell="M29" sqref="M29"/>
    </sheetView>
  </sheetViews>
  <sheetFormatPr defaultRowHeight="16.5" x14ac:dyDescent="0.3"/>
  <cols>
    <col min="2" max="2" width="33.25" customWidth="1"/>
    <col min="3" max="3" width="24.25" customWidth="1"/>
    <col min="6" max="6" width="14" customWidth="1"/>
    <col min="8" max="8" width="12.375" customWidth="1"/>
  </cols>
  <sheetData>
    <row r="1" spans="1:6" ht="17.25" thickBot="1" x14ac:dyDescent="0.35">
      <c r="A1" s="60" t="s">
        <v>3699</v>
      </c>
      <c r="B1" s="283" t="s">
        <v>8</v>
      </c>
      <c r="C1" s="299" t="s">
        <v>2846</v>
      </c>
      <c r="D1" s="283" t="s">
        <v>2845</v>
      </c>
      <c r="E1" s="283"/>
      <c r="F1" s="282"/>
    </row>
    <row r="2" spans="1:6" x14ac:dyDescent="0.3">
      <c r="B2" s="269" t="s">
        <v>1305</v>
      </c>
      <c r="C2" s="268">
        <f>SUMIF(BTS_매출관리!C:C,B2,BTS_매출관리!I:I)</f>
        <v>9143000</v>
      </c>
      <c r="D2" s="269">
        <f t="shared" ref="D2:D65" si="0">RANK(C2,C:C,0)</f>
        <v>3</v>
      </c>
    </row>
    <row r="3" spans="1:6" x14ac:dyDescent="0.3">
      <c r="B3" s="269" t="s">
        <v>1339</v>
      </c>
      <c r="C3" s="268">
        <f>SUMIF(BTS_매출관리!C:C,B3,BTS_매출관리!I:I)</f>
        <v>6560000</v>
      </c>
      <c r="D3" s="269">
        <f t="shared" si="0"/>
        <v>6</v>
      </c>
    </row>
    <row r="4" spans="1:6" x14ac:dyDescent="0.3">
      <c r="B4" s="269" t="s">
        <v>1292</v>
      </c>
      <c r="C4" s="268">
        <f>SUMIF(BTS_매출관리!C:C,B4,BTS_매출관리!I:I)</f>
        <v>11630000</v>
      </c>
      <c r="D4" s="269">
        <f t="shared" si="0"/>
        <v>1</v>
      </c>
    </row>
    <row r="5" spans="1:6" x14ac:dyDescent="0.3">
      <c r="B5" s="269" t="s">
        <v>1336</v>
      </c>
      <c r="C5" s="268">
        <f>SUMIF(BTS_매출관리!C:C,B5,BTS_매출관리!I:I)</f>
        <v>3930000</v>
      </c>
      <c r="D5" s="269">
        <f t="shared" si="0"/>
        <v>13</v>
      </c>
    </row>
    <row r="6" spans="1:6" x14ac:dyDescent="0.3">
      <c r="B6" s="269" t="s">
        <v>1290</v>
      </c>
      <c r="C6" s="268">
        <f>SUMIF(BTS_매출관리!C:C,B6,BTS_매출관리!I:I)</f>
        <v>1957000</v>
      </c>
      <c r="D6" s="269">
        <f t="shared" si="0"/>
        <v>28</v>
      </c>
    </row>
    <row r="7" spans="1:6" x14ac:dyDescent="0.3">
      <c r="B7" s="269" t="s">
        <v>1789</v>
      </c>
      <c r="C7" s="268">
        <f>SUMIF(BTS_매출관리!C:C,B7,BTS_매출관리!I:I)</f>
        <v>5200000</v>
      </c>
      <c r="D7" s="269">
        <f t="shared" si="0"/>
        <v>9</v>
      </c>
    </row>
    <row r="8" spans="1:6" x14ac:dyDescent="0.3">
      <c r="B8" s="269" t="s">
        <v>1675</v>
      </c>
      <c r="C8" s="268">
        <f>SUMIF(BTS_매출관리!C:C,B8,BTS_매출관리!I:I)</f>
        <v>10230000</v>
      </c>
      <c r="D8" s="269">
        <f t="shared" si="0"/>
        <v>2</v>
      </c>
    </row>
    <row r="9" spans="1:6" x14ac:dyDescent="0.3">
      <c r="B9" s="269" t="s">
        <v>1277</v>
      </c>
      <c r="C9" s="268">
        <f>SUMIF(BTS_매출관리!C:C,B9,BTS_매출관리!I:I)</f>
        <v>715000</v>
      </c>
      <c r="D9" s="269">
        <f t="shared" si="0"/>
        <v>46</v>
      </c>
    </row>
    <row r="10" spans="1:6" x14ac:dyDescent="0.3">
      <c r="B10" s="269" t="s">
        <v>1337</v>
      </c>
      <c r="C10" s="268">
        <f>SUMIF(BTS_매출관리!C:C,B10,BTS_매출관리!I:I)</f>
        <v>5221000</v>
      </c>
      <c r="D10" s="269">
        <f t="shared" si="0"/>
        <v>8</v>
      </c>
    </row>
    <row r="11" spans="1:6" x14ac:dyDescent="0.3">
      <c r="B11" s="269" t="s">
        <v>1019</v>
      </c>
      <c r="C11" s="268">
        <f>SUMIF(BTS_매출관리!C:C,B11,BTS_매출관리!I:I)</f>
        <v>5400000</v>
      </c>
      <c r="D11" s="269">
        <f t="shared" si="0"/>
        <v>7</v>
      </c>
    </row>
    <row r="12" spans="1:6" x14ac:dyDescent="0.3">
      <c r="B12" s="269" t="s">
        <v>1344</v>
      </c>
      <c r="C12" s="268">
        <f>SUMIF(BTS_매출관리!C:C,B12,BTS_매출관리!I:I)</f>
        <v>6740000</v>
      </c>
      <c r="D12" s="269">
        <f t="shared" si="0"/>
        <v>5</v>
      </c>
      <c r="F12">
        <f>IF(D12 &lt; 10,,"")</f>
        <v>0</v>
      </c>
    </row>
    <row r="13" spans="1:6" x14ac:dyDescent="0.3">
      <c r="B13" s="269" t="s">
        <v>1293</v>
      </c>
      <c r="C13" s="268">
        <f>SUMIF(BTS_매출관리!C:C,B13,BTS_매출관리!I:I)</f>
        <v>7535000</v>
      </c>
      <c r="D13" s="269">
        <f t="shared" si="0"/>
        <v>4</v>
      </c>
      <c r="F13">
        <f>IF(D13 &lt; 10,,"")</f>
        <v>0</v>
      </c>
    </row>
    <row r="14" spans="1:6" x14ac:dyDescent="0.3">
      <c r="B14" s="269" t="s">
        <v>1279</v>
      </c>
      <c r="C14" s="268">
        <f>SUMIF(BTS_매출관리!C:C,B14,BTS_매출관리!I:I)</f>
        <v>5170000</v>
      </c>
      <c r="D14" s="269">
        <f t="shared" si="0"/>
        <v>10</v>
      </c>
      <c r="F14" t="str">
        <f>IF(D14 &lt; 10,,"")</f>
        <v/>
      </c>
    </row>
    <row r="15" spans="1:6" x14ac:dyDescent="0.3">
      <c r="B15" s="269" t="s">
        <v>1356</v>
      </c>
      <c r="C15" s="268">
        <f>SUMIF(BTS_매출관리!C:C,B15,BTS_매출관리!I:I)</f>
        <v>3212000</v>
      </c>
      <c r="D15" s="269">
        <f t="shared" si="0"/>
        <v>16</v>
      </c>
    </row>
    <row r="16" spans="1:6" x14ac:dyDescent="0.3">
      <c r="B16" s="269" t="s">
        <v>1316</v>
      </c>
      <c r="C16" s="268">
        <f>SUMIF(BTS_매출관리!C:C,B16,BTS_매출관리!I:I)</f>
        <v>0</v>
      </c>
      <c r="D16" s="269">
        <f t="shared" si="0"/>
        <v>62</v>
      </c>
    </row>
    <row r="17" spans="2:9" x14ac:dyDescent="0.3">
      <c r="B17" s="269" t="s">
        <v>1059</v>
      </c>
      <c r="C17" s="268">
        <f>SUMIF(BTS_매출관리!C:C,B17,BTS_매출관리!I:I)</f>
        <v>4215000</v>
      </c>
      <c r="D17" s="269">
        <f t="shared" si="0"/>
        <v>12</v>
      </c>
    </row>
    <row r="18" spans="2:9" x14ac:dyDescent="0.3">
      <c r="B18" s="269" t="s">
        <v>1149</v>
      </c>
      <c r="C18" s="268">
        <f>SUMIF(BTS_매출관리!C:C,B18,BTS_매출관리!I:I)</f>
        <v>320000</v>
      </c>
      <c r="D18" s="269">
        <f t="shared" si="0"/>
        <v>56</v>
      </c>
    </row>
    <row r="19" spans="2:9" x14ac:dyDescent="0.3">
      <c r="B19" s="269" t="s">
        <v>2480</v>
      </c>
      <c r="C19" s="268">
        <f>SUMIF(BTS_매출관리!C:C,B19,BTS_매출관리!I:I)</f>
        <v>2970000</v>
      </c>
      <c r="D19" s="269">
        <f t="shared" si="0"/>
        <v>17</v>
      </c>
    </row>
    <row r="20" spans="2:9" x14ac:dyDescent="0.3">
      <c r="B20" s="269" t="s">
        <v>2223</v>
      </c>
      <c r="C20" s="268">
        <f>SUMIF(BTS_매출관리!C:C,B20,BTS_매출관리!I:I)</f>
        <v>2949500</v>
      </c>
      <c r="D20" s="269">
        <f t="shared" si="0"/>
        <v>18</v>
      </c>
    </row>
    <row r="21" spans="2:9" x14ac:dyDescent="0.3">
      <c r="B21" s="269" t="s">
        <v>1320</v>
      </c>
      <c r="C21" s="268">
        <f>SUMIF(BTS_매출관리!C:C,B21,BTS_매출관리!I:I)</f>
        <v>2550000</v>
      </c>
      <c r="D21" s="269">
        <f t="shared" si="0"/>
        <v>20</v>
      </c>
      <c r="F21" t="s">
        <v>3725</v>
      </c>
    </row>
    <row r="22" spans="2:9" x14ac:dyDescent="0.3">
      <c r="B22" s="269" t="s">
        <v>2369</v>
      </c>
      <c r="C22" s="268">
        <f>SUMIF(BTS_매출관리!C:C,B22,BTS_매출관리!I:I)</f>
        <v>4345000</v>
      </c>
      <c r="D22" s="269">
        <f t="shared" si="0"/>
        <v>11</v>
      </c>
      <c r="F22" t="s">
        <v>3700</v>
      </c>
      <c r="H22" t="s">
        <v>3726</v>
      </c>
      <c r="I22">
        <v>2</v>
      </c>
    </row>
    <row r="23" spans="2:9" x14ac:dyDescent="0.3">
      <c r="B23" s="269" t="s">
        <v>1310</v>
      </c>
      <c r="C23" s="268">
        <f>SUMIF(BTS_매출관리!C:C,B23,BTS_매출관리!I:I)</f>
        <v>2255000</v>
      </c>
      <c r="D23" s="269">
        <f t="shared" si="0"/>
        <v>23</v>
      </c>
      <c r="F23" t="s">
        <v>3701</v>
      </c>
      <c r="H23" t="s">
        <v>3727</v>
      </c>
      <c r="I23">
        <v>3</v>
      </c>
    </row>
    <row r="24" spans="2:9" x14ac:dyDescent="0.3">
      <c r="B24" s="269" t="s">
        <v>1349</v>
      </c>
      <c r="C24" s="268">
        <f>SUMIF(BTS_매출관리!C:C,B24,BTS_매출관리!I:I)</f>
        <v>2530000</v>
      </c>
      <c r="D24" s="269">
        <f t="shared" si="0"/>
        <v>21</v>
      </c>
      <c r="F24" t="s">
        <v>3702</v>
      </c>
      <c r="H24" t="s">
        <v>3728</v>
      </c>
      <c r="I24">
        <v>2</v>
      </c>
    </row>
    <row r="25" spans="2:9" x14ac:dyDescent="0.3">
      <c r="B25" s="269" t="s">
        <v>981</v>
      </c>
      <c r="C25" s="268">
        <f>SUMIF(BTS_매출관리!C:C,B25,BTS_매출관리!I:I)</f>
        <v>1320000</v>
      </c>
      <c r="D25" s="269">
        <f t="shared" si="0"/>
        <v>37</v>
      </c>
      <c r="F25" t="s">
        <v>3703</v>
      </c>
      <c r="H25" t="s">
        <v>3729</v>
      </c>
      <c r="I25">
        <v>1</v>
      </c>
    </row>
    <row r="26" spans="2:9" x14ac:dyDescent="0.3">
      <c r="B26" s="269" t="s">
        <v>1274</v>
      </c>
      <c r="C26" s="268">
        <f>SUMIF(BTS_매출관리!C:C,B26,BTS_매출관리!I:I)</f>
        <v>2600000</v>
      </c>
      <c r="D26" s="269">
        <f t="shared" si="0"/>
        <v>19</v>
      </c>
      <c r="F26" t="s">
        <v>3704</v>
      </c>
      <c r="H26" t="s">
        <v>3730</v>
      </c>
      <c r="I26">
        <v>2</v>
      </c>
    </row>
    <row r="27" spans="2:9" x14ac:dyDescent="0.3">
      <c r="B27" s="269" t="s">
        <v>1282</v>
      </c>
      <c r="C27" s="268">
        <f>SUMIF(BTS_매출관리!C:C,B27,BTS_매출관리!I:I)</f>
        <v>3225000</v>
      </c>
      <c r="D27" s="269">
        <f t="shared" si="0"/>
        <v>15</v>
      </c>
      <c r="F27" t="s">
        <v>3705</v>
      </c>
      <c r="H27" t="s">
        <v>3731</v>
      </c>
      <c r="I27">
        <v>1</v>
      </c>
    </row>
    <row r="28" spans="2:9" x14ac:dyDescent="0.3">
      <c r="B28" s="269" t="s">
        <v>1492</v>
      </c>
      <c r="C28" s="268">
        <f>SUMIF(BTS_매출관리!C:C,B28,BTS_매출관리!I:I)</f>
        <v>0</v>
      </c>
      <c r="D28" s="269">
        <f t="shared" si="0"/>
        <v>62</v>
      </c>
      <c r="F28" t="s">
        <v>3706</v>
      </c>
      <c r="H28" t="s">
        <v>3732</v>
      </c>
      <c r="I28">
        <v>2</v>
      </c>
    </row>
    <row r="29" spans="2:9" x14ac:dyDescent="0.3">
      <c r="B29" s="269" t="s">
        <v>1036</v>
      </c>
      <c r="C29" s="268">
        <f>SUMIF(BTS_매출관리!C:C,B29,BTS_매출관리!I:I)</f>
        <v>800000</v>
      </c>
      <c r="D29" s="269">
        <f t="shared" si="0"/>
        <v>45</v>
      </c>
      <c r="F29" t="s">
        <v>3707</v>
      </c>
      <c r="H29" t="s">
        <v>3733</v>
      </c>
      <c r="I29">
        <v>2</v>
      </c>
    </row>
    <row r="30" spans="2:9" x14ac:dyDescent="0.3">
      <c r="B30" s="269" t="s">
        <v>1621</v>
      </c>
      <c r="C30" s="268">
        <f>SUMIF(BTS_매출관리!C:C,B30,BTS_매출관리!I:I)</f>
        <v>1610000</v>
      </c>
      <c r="D30" s="269">
        <f t="shared" si="0"/>
        <v>34</v>
      </c>
      <c r="F30" t="s">
        <v>3708</v>
      </c>
      <c r="H30" t="s">
        <v>3734</v>
      </c>
      <c r="I30">
        <v>2</v>
      </c>
    </row>
    <row r="31" spans="2:9" x14ac:dyDescent="0.3">
      <c r="B31" s="269" t="s">
        <v>1329</v>
      </c>
      <c r="C31" s="268">
        <f>SUMIF(BTS_매출관리!C:C,B31,BTS_매출관리!I:I)</f>
        <v>3350000</v>
      </c>
      <c r="D31" s="269">
        <f t="shared" si="0"/>
        <v>14</v>
      </c>
      <c r="F31" t="s">
        <v>3709</v>
      </c>
      <c r="H31" t="s">
        <v>3735</v>
      </c>
      <c r="I31">
        <v>1</v>
      </c>
    </row>
    <row r="32" spans="2:9" x14ac:dyDescent="0.3">
      <c r="B32" s="269" t="s">
        <v>1352</v>
      </c>
      <c r="C32" s="268">
        <f>SUMIF(BTS_매출관리!C:C,B32,BTS_매출관리!I:I)</f>
        <v>1844000</v>
      </c>
      <c r="D32" s="269">
        <f t="shared" si="0"/>
        <v>29</v>
      </c>
      <c r="F32" t="s">
        <v>3710</v>
      </c>
      <c r="H32" t="s">
        <v>3736</v>
      </c>
      <c r="I32">
        <v>1</v>
      </c>
    </row>
    <row r="33" spans="2:9" x14ac:dyDescent="0.3">
      <c r="B33" s="269" t="s">
        <v>2571</v>
      </c>
      <c r="C33" s="268">
        <f>SUMIF(BTS_매출관리!C:C,B33,BTS_매출관리!I:I)</f>
        <v>0</v>
      </c>
      <c r="D33" s="269">
        <f t="shared" si="0"/>
        <v>62</v>
      </c>
      <c r="F33" t="s">
        <v>3711</v>
      </c>
      <c r="H33" t="s">
        <v>3737</v>
      </c>
      <c r="I33">
        <v>1</v>
      </c>
    </row>
    <row r="34" spans="2:9" x14ac:dyDescent="0.3">
      <c r="B34" s="269" t="s">
        <v>1291</v>
      </c>
      <c r="C34" s="268">
        <f>SUMIF(BTS_매출관리!C:C,B34,BTS_매출관리!I:I)</f>
        <v>1210000</v>
      </c>
      <c r="D34" s="269">
        <f t="shared" si="0"/>
        <v>38</v>
      </c>
      <c r="F34" t="s">
        <v>3712</v>
      </c>
      <c r="H34" t="s">
        <v>3708</v>
      </c>
      <c r="I34">
        <v>2</v>
      </c>
    </row>
    <row r="35" spans="2:9" x14ac:dyDescent="0.3">
      <c r="B35" s="269" t="s">
        <v>1360</v>
      </c>
      <c r="C35" s="268">
        <f>SUMIF(BTS_매출관리!C:C,B35,BTS_매출관리!I:I)</f>
        <v>579000</v>
      </c>
      <c r="D35" s="269">
        <f t="shared" si="0"/>
        <v>48</v>
      </c>
      <c r="F35" t="s">
        <v>3713</v>
      </c>
      <c r="H35" t="s">
        <v>3738</v>
      </c>
      <c r="I35">
        <v>1</v>
      </c>
    </row>
    <row r="36" spans="2:9" x14ac:dyDescent="0.3">
      <c r="B36" s="269" t="s">
        <v>1160</v>
      </c>
      <c r="C36" s="268">
        <f>SUMIF(BTS_매출관리!C:C,B36,BTS_매출관리!I:I)</f>
        <v>150000</v>
      </c>
      <c r="D36" s="269">
        <f t="shared" si="0"/>
        <v>60</v>
      </c>
      <c r="F36" t="s">
        <v>3714</v>
      </c>
      <c r="H36" t="s">
        <v>3739</v>
      </c>
      <c r="I36">
        <v>1</v>
      </c>
    </row>
    <row r="37" spans="2:9" x14ac:dyDescent="0.3">
      <c r="B37" s="269" t="s">
        <v>1333</v>
      </c>
      <c r="C37" s="268">
        <f>SUMIF(BTS_매출관리!C:C,B37,BTS_매출관리!I:I)</f>
        <v>300000</v>
      </c>
      <c r="D37" s="269">
        <f t="shared" si="0"/>
        <v>58</v>
      </c>
      <c r="F37" t="s">
        <v>3715</v>
      </c>
    </row>
    <row r="38" spans="2:9" x14ac:dyDescent="0.3">
      <c r="B38" s="269" t="s">
        <v>1287</v>
      </c>
      <c r="C38" s="268">
        <f>SUMIF(BTS_매출관리!C:C,B38,BTS_매출관리!I:I)</f>
        <v>350000</v>
      </c>
      <c r="D38" s="269">
        <f t="shared" si="0"/>
        <v>53</v>
      </c>
      <c r="F38" t="s">
        <v>3716</v>
      </c>
    </row>
    <row r="39" spans="2:9" x14ac:dyDescent="0.3">
      <c r="B39" s="269" t="s">
        <v>1302</v>
      </c>
      <c r="C39" s="268">
        <f>SUMIF(BTS_매출관리!C:C,B39,BTS_매출관리!I:I)</f>
        <v>2150000</v>
      </c>
      <c r="D39" s="269">
        <f t="shared" si="0"/>
        <v>25</v>
      </c>
      <c r="F39" t="s">
        <v>3717</v>
      </c>
    </row>
    <row r="40" spans="2:9" x14ac:dyDescent="0.3">
      <c r="B40" s="269" t="s">
        <v>1027</v>
      </c>
      <c r="C40" s="268">
        <f>SUMIF(BTS_매출관리!C:C,B40,BTS_매출관리!I:I)</f>
        <v>2070000</v>
      </c>
      <c r="D40" s="269">
        <f t="shared" si="0"/>
        <v>27</v>
      </c>
      <c r="F40" t="s">
        <v>3718</v>
      </c>
    </row>
    <row r="41" spans="2:9" x14ac:dyDescent="0.3">
      <c r="B41" s="269" t="s">
        <v>1348</v>
      </c>
      <c r="C41" s="268">
        <f>SUMIF(BTS_매출관리!C:C,B41,BTS_매출관리!I:I)</f>
        <v>0</v>
      </c>
      <c r="D41" s="269">
        <f t="shared" si="0"/>
        <v>62</v>
      </c>
      <c r="F41" t="s">
        <v>3719</v>
      </c>
    </row>
    <row r="42" spans="2:9" x14ac:dyDescent="0.3">
      <c r="B42" s="269" t="s">
        <v>1024</v>
      </c>
      <c r="C42" s="268">
        <f>SUMIF(BTS_매출관리!C:C,B42,BTS_매출관리!I:I)</f>
        <v>1650000</v>
      </c>
      <c r="D42" s="269">
        <f t="shared" si="0"/>
        <v>33</v>
      </c>
      <c r="F42" t="s">
        <v>3720</v>
      </c>
    </row>
    <row r="43" spans="2:9" x14ac:dyDescent="0.3">
      <c r="B43" s="269" t="s">
        <v>1175</v>
      </c>
      <c r="C43" s="268">
        <f>SUMIF(BTS_매출관리!C:C,B43,BTS_매출관리!I:I)</f>
        <v>2100000</v>
      </c>
      <c r="D43" s="269">
        <f t="shared" si="0"/>
        <v>26</v>
      </c>
      <c r="F43" t="s">
        <v>3721</v>
      </c>
    </row>
    <row r="44" spans="2:9" x14ac:dyDescent="0.3">
      <c r="B44" s="269" t="s">
        <v>1306</v>
      </c>
      <c r="C44" s="268">
        <f>SUMIF(BTS_매출관리!C:C,B44,BTS_매출관리!I:I)</f>
        <v>1100000</v>
      </c>
      <c r="D44" s="269">
        <f t="shared" si="0"/>
        <v>42</v>
      </c>
      <c r="F44" t="s">
        <v>3722</v>
      </c>
    </row>
    <row r="45" spans="2:9" x14ac:dyDescent="0.3">
      <c r="B45" s="269" t="s">
        <v>1299</v>
      </c>
      <c r="C45" s="268">
        <f>SUMIF(BTS_매출관리!C:C,B45,BTS_매출관리!I:I)</f>
        <v>0</v>
      </c>
      <c r="D45" s="269">
        <f t="shared" si="0"/>
        <v>62</v>
      </c>
      <c r="F45" t="s">
        <v>3723</v>
      </c>
    </row>
    <row r="46" spans="2:9" x14ac:dyDescent="0.3">
      <c r="B46" s="269" t="s">
        <v>1301</v>
      </c>
      <c r="C46" s="268">
        <f>SUMIF(BTS_매출관리!C:C,B46,BTS_매출관리!I:I)</f>
        <v>1800000</v>
      </c>
      <c r="D46" s="269">
        <f t="shared" si="0"/>
        <v>30</v>
      </c>
      <c r="F46" t="s">
        <v>3724</v>
      </c>
    </row>
    <row r="47" spans="2:9" x14ac:dyDescent="0.3">
      <c r="B47" s="269" t="s">
        <v>2798</v>
      </c>
      <c r="C47" s="268">
        <f>SUMIF(BTS_매출관리!C:C,B47,BTS_매출관리!I:I)</f>
        <v>1760000</v>
      </c>
      <c r="D47" s="269">
        <f t="shared" si="0"/>
        <v>31</v>
      </c>
    </row>
    <row r="48" spans="2:9" x14ac:dyDescent="0.3">
      <c r="B48" s="269" t="s">
        <v>1359</v>
      </c>
      <c r="C48" s="268">
        <f>SUMIF(BTS_매출관리!C:C,B48,BTS_매출관리!I:I)</f>
        <v>0</v>
      </c>
      <c r="D48" s="269">
        <f t="shared" si="0"/>
        <v>62</v>
      </c>
    </row>
    <row r="49" spans="2:4" x14ac:dyDescent="0.3">
      <c r="B49" s="269" t="s">
        <v>1362</v>
      </c>
      <c r="C49" s="268">
        <f>SUMIF(BTS_매출관리!C:C,B49,BTS_매출관리!I:I)</f>
        <v>1750000</v>
      </c>
      <c r="D49" s="269">
        <f t="shared" si="0"/>
        <v>32</v>
      </c>
    </row>
    <row r="50" spans="2:4" x14ac:dyDescent="0.3">
      <c r="B50" s="269" t="s">
        <v>2291</v>
      </c>
      <c r="C50" s="268">
        <f>SUMIF(BTS_매출관리!C:C,B50,BTS_매출관리!I:I)</f>
        <v>0</v>
      </c>
      <c r="D50" s="269">
        <f t="shared" si="0"/>
        <v>62</v>
      </c>
    </row>
    <row r="51" spans="2:4" x14ac:dyDescent="0.3">
      <c r="B51" s="269" t="s">
        <v>1354</v>
      </c>
      <c r="C51" s="268">
        <f>SUMIF(BTS_매출관리!C:C,B51,BTS_매출관리!I:I)</f>
        <v>2410000</v>
      </c>
      <c r="D51" s="269">
        <f t="shared" si="0"/>
        <v>22</v>
      </c>
    </row>
    <row r="52" spans="2:4" x14ac:dyDescent="0.3">
      <c r="B52" t="s">
        <v>984</v>
      </c>
      <c r="C52" s="52">
        <f>SUMIF(BTS_매출관리!C:C,B52,BTS_매출관리!I:I)</f>
        <v>1210000</v>
      </c>
      <c r="D52">
        <f t="shared" si="0"/>
        <v>38</v>
      </c>
    </row>
    <row r="53" spans="2:4" x14ac:dyDescent="0.3">
      <c r="B53" t="s">
        <v>1324</v>
      </c>
      <c r="C53" s="52">
        <f>SUMIF(BTS_매출관리!C:C,B53,BTS_매출관리!I:I)</f>
        <v>0</v>
      </c>
      <c r="D53">
        <f t="shared" si="0"/>
        <v>62</v>
      </c>
    </row>
    <row r="54" spans="2:4" x14ac:dyDescent="0.3">
      <c r="B54" t="s">
        <v>2383</v>
      </c>
      <c r="C54" s="52">
        <f>SUMIF(BTS_매출관리!C:C,B54,BTS_매출관리!I:I)</f>
        <v>0</v>
      </c>
      <c r="D54">
        <f t="shared" si="0"/>
        <v>62</v>
      </c>
    </row>
    <row r="55" spans="2:4" x14ac:dyDescent="0.3">
      <c r="B55" t="s">
        <v>1615</v>
      </c>
      <c r="C55" s="52">
        <f>SUMIF(BTS_매출관리!C:C,B55,BTS_매출관리!I:I)</f>
        <v>0</v>
      </c>
      <c r="D55">
        <f t="shared" si="0"/>
        <v>62</v>
      </c>
    </row>
    <row r="56" spans="2:4" x14ac:dyDescent="0.3">
      <c r="B56" t="s">
        <v>2771</v>
      </c>
      <c r="C56" s="52">
        <f>SUMIF(BTS_매출관리!C:C,B56,BTS_매출관리!I:I)</f>
        <v>0</v>
      </c>
      <c r="D56">
        <f t="shared" si="0"/>
        <v>62</v>
      </c>
    </row>
    <row r="57" spans="2:4" x14ac:dyDescent="0.3">
      <c r="B57" t="s">
        <v>1575</v>
      </c>
      <c r="C57" s="52">
        <f>SUMIF(BTS_매출관리!C:C,B57,BTS_매출관리!I:I)</f>
        <v>0</v>
      </c>
      <c r="D57">
        <f t="shared" si="0"/>
        <v>62</v>
      </c>
    </row>
    <row r="58" spans="2:4" x14ac:dyDescent="0.3">
      <c r="B58" t="s">
        <v>1331</v>
      </c>
      <c r="C58" s="52">
        <f>SUMIF(BTS_매출관리!C:C,B58,BTS_매출관리!I:I)</f>
        <v>0</v>
      </c>
      <c r="D58">
        <f t="shared" si="0"/>
        <v>62</v>
      </c>
    </row>
    <row r="59" spans="2:4" x14ac:dyDescent="0.3">
      <c r="B59" t="s">
        <v>1911</v>
      </c>
      <c r="C59" s="52">
        <f>SUMIF(BTS_매출관리!C:C,B59,BTS_매출관리!I:I)</f>
        <v>0</v>
      </c>
      <c r="D59">
        <f t="shared" si="0"/>
        <v>62</v>
      </c>
    </row>
    <row r="60" spans="2:4" x14ac:dyDescent="0.3">
      <c r="B60" t="s">
        <v>2266</v>
      </c>
      <c r="C60" s="52">
        <f>SUMIF(BTS_매출관리!C:C,B60,BTS_매출관리!I:I)</f>
        <v>0</v>
      </c>
      <c r="D60">
        <f t="shared" si="0"/>
        <v>62</v>
      </c>
    </row>
    <row r="61" spans="2:4" x14ac:dyDescent="0.3">
      <c r="B61" t="s">
        <v>1345</v>
      </c>
      <c r="C61" s="52">
        <f>SUMIF(BTS_매출관리!C:C,B61,BTS_매출관리!I:I)</f>
        <v>1575000</v>
      </c>
      <c r="D61">
        <f t="shared" si="0"/>
        <v>36</v>
      </c>
    </row>
    <row r="62" spans="2:4" x14ac:dyDescent="0.3">
      <c r="B62" t="s">
        <v>1286</v>
      </c>
      <c r="C62" s="52">
        <f>SUMIF(BTS_매출관리!C:C,B62,BTS_매출관리!I:I)</f>
        <v>0</v>
      </c>
      <c r="D62">
        <f t="shared" si="0"/>
        <v>62</v>
      </c>
    </row>
    <row r="63" spans="2:4" x14ac:dyDescent="0.3">
      <c r="B63" t="s">
        <v>2373</v>
      </c>
      <c r="C63" s="52">
        <f>SUMIF(BTS_매출관리!C:C,B63,BTS_매출관리!I:I)</f>
        <v>0</v>
      </c>
      <c r="D63">
        <f t="shared" si="0"/>
        <v>62</v>
      </c>
    </row>
    <row r="64" spans="2:4" x14ac:dyDescent="0.3">
      <c r="B64" t="s">
        <v>1342</v>
      </c>
      <c r="C64" s="52">
        <f>SUMIF(BTS_매출관리!C:C,B64,BTS_매출관리!I:I)</f>
        <v>450000</v>
      </c>
      <c r="D64">
        <f t="shared" si="0"/>
        <v>50</v>
      </c>
    </row>
    <row r="65" spans="2:4" x14ac:dyDescent="0.3">
      <c r="B65" t="s">
        <v>1308</v>
      </c>
      <c r="C65" s="52">
        <f>SUMIF(BTS_매출관리!C:C,B65,BTS_매출관리!I:I)</f>
        <v>0</v>
      </c>
      <c r="D65">
        <f t="shared" si="0"/>
        <v>62</v>
      </c>
    </row>
    <row r="66" spans="2:4" x14ac:dyDescent="0.3">
      <c r="B66" t="s">
        <v>1377</v>
      </c>
      <c r="C66" s="52">
        <f>SUMIF(BTS_매출관리!C:C,B66,BTS_매출관리!I:I)</f>
        <v>0</v>
      </c>
      <c r="D66">
        <f t="shared" ref="D66:D129" si="1">RANK(C66,C:C,0)</f>
        <v>62</v>
      </c>
    </row>
    <row r="67" spans="2:4" x14ac:dyDescent="0.3">
      <c r="B67" t="s">
        <v>1231</v>
      </c>
      <c r="C67" s="52">
        <f>SUMIF(BTS_매출관리!C:C,B67,BTS_매출관리!I:I)</f>
        <v>0</v>
      </c>
      <c r="D67">
        <f t="shared" si="1"/>
        <v>62</v>
      </c>
    </row>
    <row r="68" spans="2:4" x14ac:dyDescent="0.3">
      <c r="B68" t="s">
        <v>1318</v>
      </c>
      <c r="C68" s="52">
        <f>SUMIF(BTS_매출관리!C:C,B68,BTS_매출관리!I:I)</f>
        <v>1100000</v>
      </c>
      <c r="D68">
        <f t="shared" si="1"/>
        <v>42</v>
      </c>
    </row>
    <row r="69" spans="2:4" x14ac:dyDescent="0.3">
      <c r="B69" t="s">
        <v>1295</v>
      </c>
      <c r="C69" s="52">
        <f>SUMIF(BTS_매출관리!C:C,B69,BTS_매출관리!I:I)</f>
        <v>0</v>
      </c>
      <c r="D69">
        <f t="shared" si="1"/>
        <v>62</v>
      </c>
    </row>
    <row r="70" spans="2:4" x14ac:dyDescent="0.3">
      <c r="B70" t="s">
        <v>2315</v>
      </c>
      <c r="C70" s="52">
        <f>SUMIF(BTS_매출관리!C:C,B70,BTS_매출관리!I:I)</f>
        <v>0</v>
      </c>
      <c r="D70">
        <f t="shared" si="1"/>
        <v>62</v>
      </c>
    </row>
    <row r="71" spans="2:4" x14ac:dyDescent="0.3">
      <c r="B71" t="s">
        <v>2025</v>
      </c>
      <c r="C71" s="52">
        <f>SUMIF(BTS_매출관리!C:C,B71,BTS_매출관리!I:I)</f>
        <v>0</v>
      </c>
      <c r="D71">
        <f t="shared" si="1"/>
        <v>62</v>
      </c>
    </row>
    <row r="72" spans="2:4" x14ac:dyDescent="0.3">
      <c r="B72" t="s">
        <v>1278</v>
      </c>
      <c r="C72" s="52">
        <f>SUMIF(BTS_매출관리!C:C,B72,BTS_매출관리!I:I)</f>
        <v>350000</v>
      </c>
      <c r="D72">
        <f t="shared" si="1"/>
        <v>53</v>
      </c>
    </row>
    <row r="73" spans="2:4" x14ac:dyDescent="0.3">
      <c r="B73" t="s">
        <v>1298</v>
      </c>
      <c r="C73" s="52">
        <f>SUMIF(BTS_매출관리!C:C,B73,BTS_매출관리!I:I)</f>
        <v>1150000</v>
      </c>
      <c r="D73">
        <f t="shared" si="1"/>
        <v>41</v>
      </c>
    </row>
    <row r="74" spans="2:4" x14ac:dyDescent="0.3">
      <c r="B74" t="s">
        <v>2803</v>
      </c>
      <c r="C74" s="52">
        <f>SUMIF(BTS_매출관리!C:C,B74,BTS_매출관리!I:I)</f>
        <v>0</v>
      </c>
      <c r="D74">
        <f t="shared" si="1"/>
        <v>62</v>
      </c>
    </row>
    <row r="75" spans="2:4" x14ac:dyDescent="0.3">
      <c r="B75" t="s">
        <v>1297</v>
      </c>
      <c r="C75" s="52">
        <f>SUMIF(BTS_매출관리!C:C,B75,BTS_매출관리!I:I)</f>
        <v>2255000</v>
      </c>
      <c r="D75">
        <f t="shared" si="1"/>
        <v>23</v>
      </c>
    </row>
    <row r="76" spans="2:4" x14ac:dyDescent="0.3">
      <c r="B76" t="s">
        <v>1355</v>
      </c>
      <c r="C76" s="52">
        <f>SUMIF(BTS_매출관리!C:C,B76,BTS_매출관리!I:I)</f>
        <v>1050000</v>
      </c>
      <c r="D76">
        <f t="shared" si="1"/>
        <v>44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62</v>
      </c>
    </row>
    <row r="78" spans="2:4" x14ac:dyDescent="0.3">
      <c r="B78" t="s">
        <v>2776</v>
      </c>
      <c r="C78" s="52">
        <f>SUMIF(BTS_매출관리!C:C,B78,BTS_매출관리!I:I)</f>
        <v>462000</v>
      </c>
      <c r="D78">
        <f t="shared" si="1"/>
        <v>49</v>
      </c>
    </row>
    <row r="79" spans="2:4" x14ac:dyDescent="0.3">
      <c r="B79" t="s">
        <v>2718</v>
      </c>
      <c r="C79" s="52">
        <f>SUMIF(BTS_매출관리!C:C,B79,BTS_매출관리!I:I)</f>
        <v>1595000</v>
      </c>
      <c r="D79">
        <f t="shared" si="1"/>
        <v>35</v>
      </c>
    </row>
    <row r="80" spans="2:4" x14ac:dyDescent="0.3">
      <c r="B80" t="s">
        <v>1008</v>
      </c>
      <c r="C80" s="52">
        <f>SUMIF(BTS_매출관리!C:C,B80,BTS_매출관리!I:I)</f>
        <v>350000</v>
      </c>
      <c r="D80">
        <f t="shared" si="1"/>
        <v>53</v>
      </c>
    </row>
    <row r="81" spans="2:4" x14ac:dyDescent="0.3">
      <c r="B81" t="s">
        <v>2756</v>
      </c>
      <c r="C81" s="52">
        <f>SUMIF(BTS_매출관리!C:C,B81,BTS_매출관리!I:I)</f>
        <v>700000</v>
      </c>
      <c r="D81">
        <f t="shared" si="1"/>
        <v>47</v>
      </c>
    </row>
    <row r="82" spans="2:4" x14ac:dyDescent="0.3">
      <c r="B82" t="s">
        <v>2103</v>
      </c>
      <c r="C82" s="52">
        <f>SUMIF(BTS_매출관리!C:C,B82,BTS_매출관리!I:I)</f>
        <v>0</v>
      </c>
      <c r="D82">
        <f t="shared" si="1"/>
        <v>62</v>
      </c>
    </row>
    <row r="83" spans="2:4" x14ac:dyDescent="0.3">
      <c r="B83" t="s">
        <v>2783</v>
      </c>
      <c r="C83" s="52">
        <f>SUMIF(BTS_매출관리!C:C,B83,BTS_매출관리!I:I)</f>
        <v>0</v>
      </c>
      <c r="D83">
        <f t="shared" si="1"/>
        <v>62</v>
      </c>
    </row>
    <row r="84" spans="2:4" x14ac:dyDescent="0.3">
      <c r="B84" t="s">
        <v>1288</v>
      </c>
      <c r="C84" s="52">
        <f>SUMIF(BTS_매출관리!C:C,B84,BTS_매출관리!I:I)</f>
        <v>0</v>
      </c>
      <c r="D84">
        <f t="shared" si="1"/>
        <v>62</v>
      </c>
    </row>
    <row r="85" spans="2:4" x14ac:dyDescent="0.3">
      <c r="B85" t="s">
        <v>1237</v>
      </c>
      <c r="C85" s="52">
        <f>SUMIF(BTS_매출관리!C:C,B85,BTS_매출관리!I:I)</f>
        <v>0</v>
      </c>
      <c r="D85">
        <f t="shared" si="1"/>
        <v>62</v>
      </c>
    </row>
    <row r="86" spans="2:4" x14ac:dyDescent="0.3">
      <c r="B86" t="s">
        <v>2141</v>
      </c>
      <c r="C86" s="52">
        <f>SUMIF(BTS_매출관리!C:C,B86,BTS_매출관리!I:I)</f>
        <v>0</v>
      </c>
      <c r="D86">
        <f t="shared" si="1"/>
        <v>62</v>
      </c>
    </row>
    <row r="87" spans="2:4" x14ac:dyDescent="0.3">
      <c r="B87" t="s">
        <v>2047</v>
      </c>
      <c r="C87" s="52">
        <f>SUMIF(BTS_매출관리!C:C,B87,BTS_매출관리!I:I)</f>
        <v>0</v>
      </c>
      <c r="D87">
        <f t="shared" si="1"/>
        <v>62</v>
      </c>
    </row>
    <row r="88" spans="2:4" x14ac:dyDescent="0.3">
      <c r="B88" t="s">
        <v>1241</v>
      </c>
      <c r="C88" s="52">
        <f>SUMIF(BTS_매출관리!C:C,B88,BTS_매출관리!I:I)</f>
        <v>0</v>
      </c>
      <c r="D88">
        <f t="shared" si="1"/>
        <v>62</v>
      </c>
    </row>
    <row r="89" spans="2:4" x14ac:dyDescent="0.3">
      <c r="B89" t="s">
        <v>1193</v>
      </c>
      <c r="C89" s="52">
        <f>SUMIF(BTS_매출관리!C:C,B89,BTS_매출관리!I:I)</f>
        <v>0</v>
      </c>
      <c r="D89">
        <f t="shared" si="1"/>
        <v>62</v>
      </c>
    </row>
    <row r="90" spans="2:4" x14ac:dyDescent="0.3">
      <c r="B90" t="s">
        <v>1363</v>
      </c>
      <c r="C90" s="52">
        <f>SUMIF(BTS_매출관리!C:C,B90,BTS_매출관리!I:I)</f>
        <v>0</v>
      </c>
      <c r="D90">
        <f t="shared" si="1"/>
        <v>62</v>
      </c>
    </row>
    <row r="91" spans="2:4" x14ac:dyDescent="0.3">
      <c r="B91" t="s">
        <v>1332</v>
      </c>
      <c r="C91" s="52">
        <f>SUMIF(BTS_매출관리!C:C,B91,BTS_매출관리!I:I)</f>
        <v>0</v>
      </c>
      <c r="D91">
        <f t="shared" si="1"/>
        <v>62</v>
      </c>
    </row>
    <row r="92" spans="2:4" x14ac:dyDescent="0.3">
      <c r="B92" t="s">
        <v>2156</v>
      </c>
      <c r="C92" s="52">
        <f>SUMIF(BTS_매출관리!C:C,B92,BTS_매출관리!I:I)</f>
        <v>450000</v>
      </c>
      <c r="D92">
        <f t="shared" si="1"/>
        <v>50</v>
      </c>
    </row>
    <row r="93" spans="2:4" x14ac:dyDescent="0.3">
      <c r="B93" t="s">
        <v>1662</v>
      </c>
      <c r="C93" s="52">
        <f>SUMIF(BTS_매출관리!C:C,B93,BTS_매출관리!I:I)</f>
        <v>1200000</v>
      </c>
      <c r="D93">
        <f t="shared" si="1"/>
        <v>40</v>
      </c>
    </row>
    <row r="94" spans="2:4" x14ac:dyDescent="0.3">
      <c r="B94" t="s">
        <v>1319</v>
      </c>
      <c r="C94" s="52">
        <f>SUMIF(BTS_매출관리!C:C,B94,BTS_매출관리!I:I)</f>
        <v>0</v>
      </c>
      <c r="D94">
        <f t="shared" si="1"/>
        <v>62</v>
      </c>
    </row>
    <row r="95" spans="2:4" x14ac:dyDescent="0.3">
      <c r="B95" t="s">
        <v>1281</v>
      </c>
      <c r="C95" s="52">
        <f>SUMIF(BTS_매출관리!C:C,B95,BTS_매출관리!I:I)</f>
        <v>0</v>
      </c>
      <c r="D95">
        <f t="shared" si="1"/>
        <v>62</v>
      </c>
    </row>
    <row r="96" spans="2:4" x14ac:dyDescent="0.3">
      <c r="B96" t="s">
        <v>1322</v>
      </c>
      <c r="C96" s="52">
        <f>SUMIF(BTS_매출관리!C:C,B96,BTS_매출관리!I:I)</f>
        <v>0</v>
      </c>
      <c r="D96">
        <f t="shared" si="1"/>
        <v>62</v>
      </c>
    </row>
    <row r="97" spans="2:4" x14ac:dyDescent="0.3">
      <c r="B97" t="s">
        <v>2604</v>
      </c>
      <c r="C97" s="52">
        <f>SUMIF(BTS_매출관리!C:C,B97,BTS_매출관리!I:I)</f>
        <v>0</v>
      </c>
      <c r="D97">
        <f t="shared" si="1"/>
        <v>62</v>
      </c>
    </row>
    <row r="98" spans="2:4" x14ac:dyDescent="0.3">
      <c r="B98" t="s">
        <v>1311</v>
      </c>
      <c r="C98" s="52">
        <f>SUMIF(BTS_매출관리!C:C,B98,BTS_매출관리!I:I)</f>
        <v>0</v>
      </c>
      <c r="D98">
        <f t="shared" si="1"/>
        <v>62</v>
      </c>
    </row>
    <row r="99" spans="2:4" x14ac:dyDescent="0.3">
      <c r="B99" t="s">
        <v>1351</v>
      </c>
      <c r="C99" s="52">
        <f>SUMIF(BTS_매출관리!C:C,B99,BTS_매출관리!I:I)</f>
        <v>0</v>
      </c>
      <c r="D99">
        <f t="shared" si="1"/>
        <v>62</v>
      </c>
    </row>
    <row r="100" spans="2:4" x14ac:dyDescent="0.3">
      <c r="B100" t="s">
        <v>1325</v>
      </c>
      <c r="C100" s="52">
        <f>SUMIF(BTS_매출관리!C:C,B100,BTS_매출관리!I:I)</f>
        <v>0</v>
      </c>
      <c r="D100">
        <f t="shared" si="1"/>
        <v>62</v>
      </c>
    </row>
    <row r="101" spans="2:4" x14ac:dyDescent="0.3">
      <c r="B101" t="s">
        <v>1157</v>
      </c>
      <c r="C101" s="52">
        <f>SUMIF(BTS_매출관리!C:C,B101,BTS_매출관리!I:I)</f>
        <v>0</v>
      </c>
      <c r="D101">
        <f t="shared" si="1"/>
        <v>62</v>
      </c>
    </row>
    <row r="102" spans="2:4" x14ac:dyDescent="0.3">
      <c r="B102" t="s">
        <v>2042</v>
      </c>
      <c r="C102" s="52">
        <f>SUMIF(BTS_매출관리!C:C,B102,BTS_매출관리!I:I)</f>
        <v>0</v>
      </c>
      <c r="D102">
        <f t="shared" si="1"/>
        <v>62</v>
      </c>
    </row>
    <row r="103" spans="2:4" x14ac:dyDescent="0.3">
      <c r="B103" t="s">
        <v>1190</v>
      </c>
      <c r="C103" s="52">
        <f>SUMIF(BTS_매출관리!C:C,B103,BTS_매출관리!I:I)</f>
        <v>0</v>
      </c>
      <c r="D103">
        <f t="shared" si="1"/>
        <v>62</v>
      </c>
    </row>
    <row r="104" spans="2:4" x14ac:dyDescent="0.3">
      <c r="B104" t="s">
        <v>2823</v>
      </c>
      <c r="C104" s="52">
        <f>SUMIF(BTS_매출관리!C:C,B104,BTS_매출관리!I:I)</f>
        <v>450000</v>
      </c>
      <c r="D104">
        <f t="shared" si="1"/>
        <v>50</v>
      </c>
    </row>
    <row r="105" spans="2:4" x14ac:dyDescent="0.3">
      <c r="B105" t="s">
        <v>2389</v>
      </c>
      <c r="C105" s="52">
        <f>SUMIF(BTS_매출관리!C:C,B105,BTS_매출관리!I:I)</f>
        <v>0</v>
      </c>
      <c r="D105">
        <f t="shared" si="1"/>
        <v>62</v>
      </c>
    </row>
    <row r="106" spans="2:4" x14ac:dyDescent="0.3">
      <c r="B106" t="s">
        <v>1304</v>
      </c>
      <c r="C106" s="52">
        <f>SUMIF(BTS_매출관리!C:C,B106,BTS_매출관리!I:I)</f>
        <v>0</v>
      </c>
      <c r="D106">
        <f t="shared" si="1"/>
        <v>62</v>
      </c>
    </row>
    <row r="107" spans="2:4" x14ac:dyDescent="0.3">
      <c r="B107" t="s">
        <v>2499</v>
      </c>
      <c r="C107" s="52">
        <f>SUMIF(BTS_매출관리!C:C,B107,BTS_매출관리!I:I)</f>
        <v>0</v>
      </c>
      <c r="D107">
        <f t="shared" si="1"/>
        <v>62</v>
      </c>
    </row>
    <row r="108" spans="2:4" x14ac:dyDescent="0.3">
      <c r="B108" t="s">
        <v>1300</v>
      </c>
      <c r="C108" s="52">
        <f>SUMIF(BTS_매출관리!C:C,B108,BTS_매출관리!I:I)</f>
        <v>315000</v>
      </c>
      <c r="D108">
        <f t="shared" si="1"/>
        <v>57</v>
      </c>
    </row>
    <row r="109" spans="2:4" x14ac:dyDescent="0.3">
      <c r="B109" t="s">
        <v>2476</v>
      </c>
      <c r="C109" s="52">
        <f>SUMIF(BTS_매출관리!C:C,B109,BTS_매출관리!I:I)</f>
        <v>220000</v>
      </c>
      <c r="D109">
        <f t="shared" si="1"/>
        <v>59</v>
      </c>
    </row>
    <row r="110" spans="2:4" x14ac:dyDescent="0.3">
      <c r="B110" t="s">
        <v>1317</v>
      </c>
      <c r="C110" s="52">
        <f>SUMIF(BTS_매출관리!C:C,B110,BTS_매출관리!I:I)</f>
        <v>0</v>
      </c>
      <c r="D110">
        <f t="shared" si="1"/>
        <v>62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62</v>
      </c>
    </row>
    <row r="112" spans="2:4" x14ac:dyDescent="0.3">
      <c r="B112" t="s">
        <v>1347</v>
      </c>
      <c r="C112" s="52">
        <f>SUMIF(BTS_매출관리!C:C,B112,BTS_매출관리!I:I)</f>
        <v>0</v>
      </c>
      <c r="D112">
        <f t="shared" si="1"/>
        <v>62</v>
      </c>
    </row>
    <row r="113" spans="2:4" x14ac:dyDescent="0.3">
      <c r="B113" t="s">
        <v>1357</v>
      </c>
      <c r="C113" s="52">
        <f>SUMIF(BTS_매출관리!C:C,B113,BTS_매출관리!I:I)</f>
        <v>0</v>
      </c>
      <c r="D113">
        <f t="shared" si="1"/>
        <v>62</v>
      </c>
    </row>
    <row r="114" spans="2:4" x14ac:dyDescent="0.3">
      <c r="B114" t="s">
        <v>1327</v>
      </c>
      <c r="C114" s="52">
        <f>SUMIF(BTS_매출관리!C:C,B114,BTS_매출관리!I:I)</f>
        <v>0</v>
      </c>
      <c r="D114">
        <f t="shared" si="1"/>
        <v>62</v>
      </c>
    </row>
    <row r="115" spans="2:4" x14ac:dyDescent="0.3">
      <c r="B115" t="s">
        <v>1284</v>
      </c>
      <c r="C115" s="52">
        <f>SUMIF(BTS_매출관리!C:C,B115,BTS_매출관리!I:I)</f>
        <v>0</v>
      </c>
      <c r="D115">
        <f t="shared" si="1"/>
        <v>62</v>
      </c>
    </row>
    <row r="116" spans="2:4" x14ac:dyDescent="0.3">
      <c r="B116" t="s">
        <v>2061</v>
      </c>
      <c r="C116" s="52">
        <f>SUMIF(BTS_매출관리!C:C,B116,BTS_매출관리!I:I)</f>
        <v>0</v>
      </c>
      <c r="D116">
        <f t="shared" si="1"/>
        <v>62</v>
      </c>
    </row>
    <row r="117" spans="2:4" x14ac:dyDescent="0.3">
      <c r="B117" t="s">
        <v>2647</v>
      </c>
      <c r="C117" s="52">
        <f>SUMIF(BTS_매출관리!C:C,B117,BTS_매출관리!I:I)</f>
        <v>0</v>
      </c>
      <c r="D117">
        <f t="shared" si="1"/>
        <v>62</v>
      </c>
    </row>
    <row r="118" spans="2:4" x14ac:dyDescent="0.3">
      <c r="B118" t="s">
        <v>2285</v>
      </c>
      <c r="C118" s="52">
        <f>SUMIF(BTS_매출관리!C:C,B118,BTS_매출관리!I:I)</f>
        <v>0</v>
      </c>
      <c r="D118">
        <f t="shared" si="1"/>
        <v>62</v>
      </c>
    </row>
    <row r="119" spans="2:4" x14ac:dyDescent="0.3">
      <c r="B119" t="s">
        <v>1897</v>
      </c>
      <c r="C119" s="52">
        <f>SUMIF(BTS_매출관리!C:C,B119,BTS_매출관리!I:I)</f>
        <v>0</v>
      </c>
      <c r="D119">
        <f t="shared" si="1"/>
        <v>62</v>
      </c>
    </row>
    <row r="120" spans="2:4" x14ac:dyDescent="0.3">
      <c r="B120" t="s">
        <v>1313</v>
      </c>
      <c r="C120" s="52">
        <f>SUMIF(BTS_매출관리!C:C,B120,BTS_매출관리!I:I)</f>
        <v>0</v>
      </c>
      <c r="D120">
        <f t="shared" si="1"/>
        <v>62</v>
      </c>
    </row>
    <row r="121" spans="2:4" x14ac:dyDescent="0.3">
      <c r="B121" t="s">
        <v>1280</v>
      </c>
      <c r="C121" s="52">
        <f>SUMIF(BTS_매출관리!C:C,B121,BTS_매출관리!I:I)</f>
        <v>0</v>
      </c>
      <c r="D121">
        <f t="shared" si="1"/>
        <v>62</v>
      </c>
    </row>
    <row r="122" spans="2:4" x14ac:dyDescent="0.3">
      <c r="B122" t="s">
        <v>2746</v>
      </c>
      <c r="C122" s="52">
        <f>SUMIF(BTS_매출관리!C:C,B122,BTS_매출관리!I:I)</f>
        <v>0</v>
      </c>
      <c r="D122">
        <f t="shared" si="1"/>
        <v>62</v>
      </c>
    </row>
    <row r="123" spans="2:4" x14ac:dyDescent="0.3">
      <c r="B123" t="s">
        <v>2495</v>
      </c>
      <c r="C123" s="52">
        <f>SUMIF(BTS_매출관리!C:C,B123,BTS_매출관리!I:I)</f>
        <v>0</v>
      </c>
      <c r="D123">
        <f t="shared" si="1"/>
        <v>62</v>
      </c>
    </row>
    <row r="124" spans="2:4" x14ac:dyDescent="0.3">
      <c r="B124" t="s">
        <v>1845</v>
      </c>
      <c r="C124" s="52">
        <f>SUMIF(BTS_매출관리!C:C,B124,BTS_매출관리!I:I)</f>
        <v>0</v>
      </c>
      <c r="D124">
        <f t="shared" si="1"/>
        <v>62</v>
      </c>
    </row>
    <row r="125" spans="2:4" x14ac:dyDescent="0.3">
      <c r="B125" t="s">
        <v>1338</v>
      </c>
      <c r="C125" s="52">
        <f>SUMIF(BTS_매출관리!C:C,B125,BTS_매출관리!I:I)</f>
        <v>85000</v>
      </c>
      <c r="D125">
        <f t="shared" si="1"/>
        <v>61</v>
      </c>
    </row>
    <row r="126" spans="2:4" x14ac:dyDescent="0.3">
      <c r="B126" t="s">
        <v>1312</v>
      </c>
      <c r="C126" s="52">
        <f>SUMIF(BTS_매출관리!C:C,B126,BTS_매출관리!I:I)</f>
        <v>0</v>
      </c>
      <c r="D126">
        <f t="shared" si="1"/>
        <v>62</v>
      </c>
    </row>
    <row r="127" spans="2:4" x14ac:dyDescent="0.3">
      <c r="B127" t="s">
        <v>1294</v>
      </c>
      <c r="C127" s="52">
        <f>SUMIF(BTS_매출관리!C:C,B127,BTS_매출관리!I:I)</f>
        <v>0</v>
      </c>
      <c r="D127">
        <f t="shared" si="1"/>
        <v>62</v>
      </c>
    </row>
    <row r="128" spans="2:4" x14ac:dyDescent="0.3">
      <c r="B128" t="s">
        <v>1285</v>
      </c>
      <c r="C128" s="52">
        <f>SUMIF(BTS_매출관리!C:C,B128,BTS_매출관리!I:I)</f>
        <v>0</v>
      </c>
      <c r="D128">
        <f t="shared" si="1"/>
        <v>62</v>
      </c>
    </row>
    <row r="129" spans="2:4" x14ac:dyDescent="0.3">
      <c r="B129" t="s">
        <v>1289</v>
      </c>
      <c r="C129" s="52">
        <f>SUMIF(BTS_매출관리!C:C,B129,BTS_매출관리!I:I)</f>
        <v>0</v>
      </c>
      <c r="D129">
        <f t="shared" si="1"/>
        <v>62</v>
      </c>
    </row>
    <row r="130" spans="2:4" x14ac:dyDescent="0.3">
      <c r="B130" t="s">
        <v>1296</v>
      </c>
      <c r="C130" s="52">
        <f>SUMIF(BTS_매출관리!C:C,B130,BTS_매출관리!I:I)</f>
        <v>0</v>
      </c>
      <c r="D130">
        <f t="shared" ref="D130:D193" si="2">RANK(C130,C:C,0)</f>
        <v>62</v>
      </c>
    </row>
    <row r="131" spans="2:4" x14ac:dyDescent="0.3">
      <c r="B131" t="s">
        <v>1078</v>
      </c>
      <c r="C131" s="52">
        <f>SUMIF(BTS_매출관리!C:C,B131,BTS_매출관리!I:I)</f>
        <v>0</v>
      </c>
      <c r="D131">
        <f t="shared" si="2"/>
        <v>62</v>
      </c>
    </row>
    <row r="132" spans="2:4" x14ac:dyDescent="0.3">
      <c r="B132" t="s">
        <v>1303</v>
      </c>
      <c r="C132" s="52">
        <f>SUMIF(BTS_매출관리!C:C,B132,BTS_매출관리!I:I)</f>
        <v>0</v>
      </c>
      <c r="D132">
        <f t="shared" si="2"/>
        <v>62</v>
      </c>
    </row>
    <row r="133" spans="2:4" x14ac:dyDescent="0.3">
      <c r="B133" t="s">
        <v>1307</v>
      </c>
      <c r="C133" s="52">
        <f>SUMIF(BTS_매출관리!C:C,B133,BTS_매출관리!I:I)</f>
        <v>0</v>
      </c>
      <c r="D133">
        <f t="shared" si="2"/>
        <v>62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62</v>
      </c>
    </row>
    <row r="135" spans="2:4" x14ac:dyDescent="0.3">
      <c r="B135" t="s">
        <v>1314</v>
      </c>
      <c r="C135" s="52">
        <f>SUMIF(BTS_매출관리!C:C,B135,BTS_매출관리!I:I)</f>
        <v>0</v>
      </c>
      <c r="D135">
        <f t="shared" si="2"/>
        <v>62</v>
      </c>
    </row>
    <row r="136" spans="2:4" x14ac:dyDescent="0.3">
      <c r="B136" t="s">
        <v>1315</v>
      </c>
      <c r="C136" s="52">
        <f>SUMIF(BTS_매출관리!C:C,B136,BTS_매출관리!I:I)</f>
        <v>0</v>
      </c>
      <c r="D136">
        <f t="shared" si="2"/>
        <v>62</v>
      </c>
    </row>
    <row r="137" spans="2:4" x14ac:dyDescent="0.3">
      <c r="B137" t="s">
        <v>1090</v>
      </c>
      <c r="C137" s="52">
        <f>SUMIF(BTS_매출관리!C:C,B137,BTS_매출관리!I:I)</f>
        <v>0</v>
      </c>
      <c r="D137">
        <f t="shared" si="2"/>
        <v>62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62</v>
      </c>
    </row>
    <row r="139" spans="2:4" x14ac:dyDescent="0.3">
      <c r="B139" t="s">
        <v>1323</v>
      </c>
      <c r="C139" s="52">
        <f>SUMIF(BTS_매출관리!C:C,B139,BTS_매출관리!I:I)</f>
        <v>0</v>
      </c>
      <c r="D139">
        <f t="shared" si="2"/>
        <v>62</v>
      </c>
    </row>
    <row r="140" spans="2:4" x14ac:dyDescent="0.3">
      <c r="B140" t="s">
        <v>1326</v>
      </c>
      <c r="C140" s="52">
        <f>SUMIF(BTS_매출관리!C:C,B140,BTS_매출관리!I:I)</f>
        <v>0</v>
      </c>
      <c r="D140">
        <f t="shared" si="2"/>
        <v>62</v>
      </c>
    </row>
    <row r="141" spans="2:4" x14ac:dyDescent="0.3">
      <c r="B141" t="s">
        <v>1328</v>
      </c>
      <c r="C141" s="52">
        <f>SUMIF(BTS_매출관리!C:C,B141,BTS_매출관리!I:I)</f>
        <v>0</v>
      </c>
      <c r="D141">
        <f t="shared" si="2"/>
        <v>62</v>
      </c>
    </row>
    <row r="142" spans="2:4" x14ac:dyDescent="0.3">
      <c r="B142" t="s">
        <v>1330</v>
      </c>
      <c r="C142" s="52">
        <f>SUMIF(BTS_매출관리!C:C,B142,BTS_매출관리!I:I)</f>
        <v>0</v>
      </c>
      <c r="D142">
        <f t="shared" si="2"/>
        <v>62</v>
      </c>
    </row>
    <row r="143" spans="2:4" x14ac:dyDescent="0.3">
      <c r="B143" t="s">
        <v>1334</v>
      </c>
      <c r="C143" s="52">
        <f>SUMIF(BTS_매출관리!C:C,B143,BTS_매출관리!I:I)</f>
        <v>0</v>
      </c>
      <c r="D143">
        <f t="shared" si="2"/>
        <v>62</v>
      </c>
    </row>
    <row r="144" spans="2:4" x14ac:dyDescent="0.3">
      <c r="B144" t="s">
        <v>1340</v>
      </c>
      <c r="C144" s="52">
        <f>SUMIF(BTS_매출관리!C:C,B144,BTS_매출관리!I:I)</f>
        <v>0</v>
      </c>
      <c r="D144">
        <f t="shared" si="2"/>
        <v>62</v>
      </c>
    </row>
    <row r="145" spans="2:4" x14ac:dyDescent="0.3">
      <c r="B145" t="s">
        <v>1341</v>
      </c>
      <c r="C145" s="52">
        <f>SUMIF(BTS_매출관리!C:C,B145,BTS_매출관리!I:I)</f>
        <v>0</v>
      </c>
      <c r="D145">
        <f t="shared" si="2"/>
        <v>62</v>
      </c>
    </row>
    <row r="146" spans="2:4" x14ac:dyDescent="0.3">
      <c r="B146" t="s">
        <v>1343</v>
      </c>
      <c r="C146" s="52">
        <f>SUMIF(BTS_매출관리!C:C,B146,BTS_매출관리!I:I)</f>
        <v>0</v>
      </c>
      <c r="D146">
        <f t="shared" si="2"/>
        <v>62</v>
      </c>
    </row>
    <row r="147" spans="2:4" x14ac:dyDescent="0.3">
      <c r="B147" t="s">
        <v>1346</v>
      </c>
      <c r="C147" s="52">
        <f>SUMIF(BTS_매출관리!C:C,B147,BTS_매출관리!I:I)</f>
        <v>0</v>
      </c>
      <c r="D147">
        <f t="shared" si="2"/>
        <v>62</v>
      </c>
    </row>
    <row r="148" spans="2:4" x14ac:dyDescent="0.3">
      <c r="B148" t="s">
        <v>1350</v>
      </c>
      <c r="C148" s="52">
        <f>SUMIF(BTS_매출관리!C:C,B148,BTS_매출관리!I:I)</f>
        <v>0</v>
      </c>
      <c r="D148">
        <f t="shared" si="2"/>
        <v>62</v>
      </c>
    </row>
    <row r="149" spans="2:4" x14ac:dyDescent="0.3">
      <c r="B149" t="s">
        <v>1353</v>
      </c>
      <c r="C149" s="52">
        <f>SUMIF(BTS_매출관리!C:C,B149,BTS_매출관리!I:I)</f>
        <v>0</v>
      </c>
      <c r="D149">
        <f t="shared" si="2"/>
        <v>62</v>
      </c>
    </row>
    <row r="150" spans="2:4" x14ac:dyDescent="0.3">
      <c r="B150" t="s">
        <v>1358</v>
      </c>
      <c r="C150" s="52">
        <f>SUMIF(BTS_매출관리!C:C,B150,BTS_매출관리!I:I)</f>
        <v>0</v>
      </c>
      <c r="D150">
        <f t="shared" si="2"/>
        <v>62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62</v>
      </c>
    </row>
    <row r="152" spans="2:4" x14ac:dyDescent="0.3">
      <c r="B152" t="s">
        <v>1095</v>
      </c>
      <c r="C152" s="52">
        <f>SUMIF(BTS_매출관리!C:C,B152,BTS_매출관리!I:I)</f>
        <v>0</v>
      </c>
      <c r="D152">
        <f t="shared" si="2"/>
        <v>62</v>
      </c>
    </row>
    <row r="153" spans="2:4" x14ac:dyDescent="0.3">
      <c r="B153" t="s">
        <v>1361</v>
      </c>
      <c r="C153" s="52">
        <f>SUMIF(BTS_매출관리!C:C,B153,BTS_매출관리!I:I)</f>
        <v>0</v>
      </c>
      <c r="D153">
        <f t="shared" si="2"/>
        <v>62</v>
      </c>
    </row>
    <row r="154" spans="2:4" x14ac:dyDescent="0.3">
      <c r="B154" t="s">
        <v>1569</v>
      </c>
      <c r="C154" s="52">
        <f>SUMIF(BTS_매출관리!C:C,B154,BTS_매출관리!I:I)</f>
        <v>0</v>
      </c>
      <c r="D154">
        <f t="shared" si="2"/>
        <v>62</v>
      </c>
    </row>
    <row r="155" spans="2:4" x14ac:dyDescent="0.3">
      <c r="B155" t="s">
        <v>2379</v>
      </c>
      <c r="C155" s="52">
        <f>SUMIF(BTS_매출관리!C:C,B155,BTS_매출관리!I:I)</f>
        <v>0</v>
      </c>
      <c r="D155">
        <f t="shared" si="2"/>
        <v>62</v>
      </c>
    </row>
    <row r="156" spans="2:4" x14ac:dyDescent="0.3">
      <c r="B156" t="s">
        <v>2691</v>
      </c>
      <c r="C156" s="52">
        <f>SUMIF(BTS_매출관리!C:C,B156,BTS_매출관리!I:I)</f>
        <v>0</v>
      </c>
      <c r="D156">
        <f t="shared" si="2"/>
        <v>62</v>
      </c>
    </row>
    <row r="157" spans="2:4" x14ac:dyDescent="0.3">
      <c r="C157" s="52">
        <f>SUMIF(BTS_매출관리!C:C,B157,BTS_매출관리!I:I)</f>
        <v>0</v>
      </c>
      <c r="D157">
        <f t="shared" si="2"/>
        <v>62</v>
      </c>
    </row>
    <row r="158" spans="2:4" x14ac:dyDescent="0.3">
      <c r="C158" s="52">
        <f>SUMIF(BTS_매출관리!C:C,B158,BTS_매출관리!I:I)</f>
        <v>0</v>
      </c>
      <c r="D158">
        <f t="shared" si="2"/>
        <v>62</v>
      </c>
    </row>
    <row r="159" spans="2:4" x14ac:dyDescent="0.3">
      <c r="C159" s="52">
        <f>SUMIF(BTS_매출관리!C:C,B159,BTS_매출관리!I:I)</f>
        <v>0</v>
      </c>
      <c r="D159">
        <f t="shared" si="2"/>
        <v>62</v>
      </c>
    </row>
    <row r="160" spans="2:4" x14ac:dyDescent="0.3">
      <c r="C160" s="52">
        <f>SUMIF(BTS_매출관리!C:C,B160,BTS_매출관리!I:I)</f>
        <v>0</v>
      </c>
      <c r="D160">
        <f t="shared" si="2"/>
        <v>62</v>
      </c>
    </row>
    <row r="161" spans="3:4" x14ac:dyDescent="0.3">
      <c r="C161" s="52">
        <f>SUMIF(BTS_매출관리!C:C,B161,BTS_매출관리!I:I)</f>
        <v>0</v>
      </c>
      <c r="D161">
        <f t="shared" si="2"/>
        <v>62</v>
      </c>
    </row>
    <row r="162" spans="3:4" x14ac:dyDescent="0.3">
      <c r="C162" s="52">
        <f>SUMIF(BTS_매출관리!C:C,B162,BTS_매출관리!I:I)</f>
        <v>0</v>
      </c>
      <c r="D162">
        <f t="shared" si="2"/>
        <v>62</v>
      </c>
    </row>
    <row r="163" spans="3:4" x14ac:dyDescent="0.3">
      <c r="C163" s="52">
        <f>SUMIF(BTS_매출관리!C:C,B163,BTS_매출관리!I:I)</f>
        <v>0</v>
      </c>
      <c r="D163">
        <f t="shared" si="2"/>
        <v>62</v>
      </c>
    </row>
    <row r="164" spans="3:4" x14ac:dyDescent="0.3">
      <c r="C164" s="52">
        <f>SUMIF(BTS_매출관리!C:C,B164,BTS_매출관리!I:I)</f>
        <v>0</v>
      </c>
      <c r="D164">
        <f t="shared" si="2"/>
        <v>62</v>
      </c>
    </row>
    <row r="165" spans="3:4" x14ac:dyDescent="0.3">
      <c r="C165" s="52">
        <f>SUMIF(BTS_매출관리!C:C,B165,BTS_매출관리!I:I)</f>
        <v>0</v>
      </c>
      <c r="D165">
        <f t="shared" si="2"/>
        <v>62</v>
      </c>
    </row>
    <row r="166" spans="3:4" x14ac:dyDescent="0.3">
      <c r="C166" s="52">
        <f>SUMIF(BTS_매출관리!C:C,B166,BTS_매출관리!I:I)</f>
        <v>0</v>
      </c>
      <c r="D166">
        <f t="shared" si="2"/>
        <v>62</v>
      </c>
    </row>
    <row r="167" spans="3:4" x14ac:dyDescent="0.3">
      <c r="C167" s="52">
        <f>SUMIF(BTS_매출관리!C:C,B167,BTS_매출관리!I:I)</f>
        <v>0</v>
      </c>
      <c r="D167">
        <f t="shared" si="2"/>
        <v>62</v>
      </c>
    </row>
    <row r="168" spans="3:4" x14ac:dyDescent="0.3">
      <c r="C168" s="52">
        <f>SUMIF(BTS_매출관리!C:C,B168,BTS_매출관리!I:I)</f>
        <v>0</v>
      </c>
      <c r="D168">
        <f t="shared" si="2"/>
        <v>62</v>
      </c>
    </row>
    <row r="169" spans="3:4" x14ac:dyDescent="0.3">
      <c r="C169" s="52">
        <f>SUMIF(BTS_매출관리!C:C,B169,BTS_매출관리!I:I)</f>
        <v>0</v>
      </c>
      <c r="D169">
        <f t="shared" si="2"/>
        <v>62</v>
      </c>
    </row>
    <row r="170" spans="3:4" x14ac:dyDescent="0.3">
      <c r="C170" s="52">
        <f>SUMIF(BTS_매출관리!C:C,B170,BTS_매출관리!I:I)</f>
        <v>0</v>
      </c>
      <c r="D170">
        <f t="shared" si="2"/>
        <v>62</v>
      </c>
    </row>
    <row r="171" spans="3:4" x14ac:dyDescent="0.3">
      <c r="C171" s="52">
        <f>SUMIF(BTS_매출관리!C:C,B171,BTS_매출관리!I:I)</f>
        <v>0</v>
      </c>
      <c r="D171">
        <f t="shared" si="2"/>
        <v>62</v>
      </c>
    </row>
    <row r="172" spans="3:4" x14ac:dyDescent="0.3">
      <c r="C172" s="52">
        <f>SUMIF(BTS_매출관리!C:C,B172,BTS_매출관리!I:I)</f>
        <v>0</v>
      </c>
      <c r="D172">
        <f t="shared" si="2"/>
        <v>62</v>
      </c>
    </row>
    <row r="173" spans="3:4" x14ac:dyDescent="0.3">
      <c r="C173" s="52">
        <f>SUMIF(BTS_매출관리!C:C,B173,BTS_매출관리!I:I)</f>
        <v>0</v>
      </c>
      <c r="D173">
        <f t="shared" si="2"/>
        <v>62</v>
      </c>
    </row>
    <row r="174" spans="3:4" x14ac:dyDescent="0.3">
      <c r="C174" s="52">
        <f>SUMIF(BTS_매출관리!C:C,B174,BTS_매출관리!I:I)</f>
        <v>0</v>
      </c>
      <c r="D174">
        <f t="shared" si="2"/>
        <v>62</v>
      </c>
    </row>
    <row r="175" spans="3:4" x14ac:dyDescent="0.3">
      <c r="C175" s="52">
        <f>SUMIF(BTS_매출관리!C:C,B175,BTS_매출관리!I:I)</f>
        <v>0</v>
      </c>
      <c r="D175">
        <f t="shared" si="2"/>
        <v>62</v>
      </c>
    </row>
    <row r="176" spans="3:4" x14ac:dyDescent="0.3">
      <c r="C176" s="52">
        <f>SUMIF(BTS_매출관리!C:C,B176,BTS_매출관리!I:I)</f>
        <v>0</v>
      </c>
      <c r="D176">
        <f t="shared" si="2"/>
        <v>62</v>
      </c>
    </row>
    <row r="177" spans="3:4" x14ac:dyDescent="0.3">
      <c r="C177" s="52">
        <f>SUMIF(BTS_매출관리!C:C,B177,BTS_매출관리!I:I)</f>
        <v>0</v>
      </c>
      <c r="D177">
        <f t="shared" si="2"/>
        <v>62</v>
      </c>
    </row>
    <row r="178" spans="3:4" x14ac:dyDescent="0.3">
      <c r="C178" s="52">
        <f>SUMIF(BTS_매출관리!C:C,B178,BTS_매출관리!I:I)</f>
        <v>0</v>
      </c>
      <c r="D178">
        <f t="shared" si="2"/>
        <v>62</v>
      </c>
    </row>
    <row r="179" spans="3:4" x14ac:dyDescent="0.3">
      <c r="C179" s="52">
        <f>SUMIF(BTS_매출관리!C:C,B179,BTS_매출관리!I:I)</f>
        <v>0</v>
      </c>
      <c r="D179">
        <f t="shared" si="2"/>
        <v>62</v>
      </c>
    </row>
    <row r="180" spans="3:4" x14ac:dyDescent="0.3">
      <c r="C180" s="52">
        <f>SUMIF(BTS_매출관리!C:C,B180,BTS_매출관리!I:I)</f>
        <v>0</v>
      </c>
      <c r="D180">
        <f t="shared" si="2"/>
        <v>62</v>
      </c>
    </row>
    <row r="181" spans="3:4" x14ac:dyDescent="0.3">
      <c r="C181" s="52">
        <f>SUMIF(BTS_매출관리!C:C,B181,BTS_매출관리!I:I)</f>
        <v>0</v>
      </c>
      <c r="D181">
        <f t="shared" si="2"/>
        <v>62</v>
      </c>
    </row>
    <row r="182" spans="3:4" x14ac:dyDescent="0.3">
      <c r="C182" s="52">
        <f>SUMIF(BTS_매출관리!C:C,B182,BTS_매출관리!I:I)</f>
        <v>0</v>
      </c>
      <c r="D182">
        <f t="shared" si="2"/>
        <v>62</v>
      </c>
    </row>
    <row r="183" spans="3:4" x14ac:dyDescent="0.3">
      <c r="C183" s="52">
        <f>SUMIF(BTS_매출관리!C:C,B183,BTS_매출관리!I:I)</f>
        <v>0</v>
      </c>
      <c r="D183">
        <f t="shared" si="2"/>
        <v>62</v>
      </c>
    </row>
    <row r="184" spans="3:4" x14ac:dyDescent="0.3">
      <c r="C184" s="52">
        <f>SUMIF(BTS_매출관리!C:C,B184,BTS_매출관리!I:I)</f>
        <v>0</v>
      </c>
      <c r="D184">
        <f t="shared" si="2"/>
        <v>62</v>
      </c>
    </row>
    <row r="185" spans="3:4" x14ac:dyDescent="0.3">
      <c r="C185" s="52">
        <f>SUMIF(BTS_매출관리!C:C,B185,BTS_매출관리!I:I)</f>
        <v>0</v>
      </c>
      <c r="D185">
        <f t="shared" si="2"/>
        <v>62</v>
      </c>
    </row>
    <row r="186" spans="3:4" x14ac:dyDescent="0.3">
      <c r="C186" s="52">
        <f>SUMIF(BTS_매출관리!C:C,B186,BTS_매출관리!I:I)</f>
        <v>0</v>
      </c>
      <c r="D186">
        <f t="shared" si="2"/>
        <v>62</v>
      </c>
    </row>
    <row r="187" spans="3:4" x14ac:dyDescent="0.3">
      <c r="C187" s="52">
        <f>SUMIF(BTS_매출관리!C:C,B187,BTS_매출관리!I:I)</f>
        <v>0</v>
      </c>
      <c r="D187">
        <f t="shared" si="2"/>
        <v>62</v>
      </c>
    </row>
    <row r="188" spans="3:4" x14ac:dyDescent="0.3">
      <c r="C188" s="52">
        <f>SUMIF(BTS_매출관리!C:C,B188,BTS_매출관리!I:I)</f>
        <v>0</v>
      </c>
      <c r="D188">
        <f t="shared" si="2"/>
        <v>62</v>
      </c>
    </row>
    <row r="189" spans="3:4" x14ac:dyDescent="0.3">
      <c r="C189" s="52">
        <f>SUMIF(BTS_매출관리!C:C,B189,BTS_매출관리!I:I)</f>
        <v>0</v>
      </c>
      <c r="D189">
        <f t="shared" si="2"/>
        <v>62</v>
      </c>
    </row>
    <row r="190" spans="3:4" x14ac:dyDescent="0.3">
      <c r="C190" s="52">
        <f>SUMIF(BTS_매출관리!C:C,B190,BTS_매출관리!I:I)</f>
        <v>0</v>
      </c>
      <c r="D190">
        <f t="shared" si="2"/>
        <v>62</v>
      </c>
    </row>
    <row r="191" spans="3:4" x14ac:dyDescent="0.3">
      <c r="C191" s="52">
        <f>SUMIF(BTS_매출관리!C:C,B191,BTS_매출관리!I:I)</f>
        <v>0</v>
      </c>
      <c r="D191">
        <f t="shared" si="2"/>
        <v>62</v>
      </c>
    </row>
    <row r="192" spans="3:4" x14ac:dyDescent="0.3">
      <c r="C192" s="52">
        <f>SUMIF(BTS_매출관리!C:C,B192,BTS_매출관리!I:I)</f>
        <v>0</v>
      </c>
      <c r="D192">
        <f t="shared" si="2"/>
        <v>62</v>
      </c>
    </row>
    <row r="193" spans="3:4" x14ac:dyDescent="0.3">
      <c r="C193" s="52">
        <f>SUMIF(BTS_매출관리!C:C,B193,BTS_매출관리!I:I)</f>
        <v>0</v>
      </c>
      <c r="D193">
        <f t="shared" si="2"/>
        <v>62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62</v>
      </c>
    </row>
    <row r="195" spans="3:4" x14ac:dyDescent="0.3">
      <c r="C195" s="52">
        <f>SUMIF(BTS_매출관리!C:C,B195,BTS_매출관리!I:I)</f>
        <v>0</v>
      </c>
      <c r="D195">
        <f t="shared" si="3"/>
        <v>62</v>
      </c>
    </row>
    <row r="196" spans="3:4" x14ac:dyDescent="0.3">
      <c r="C196" s="52">
        <f>SUMIF(BTS_매출관리!C:C,B196,BTS_매출관리!I:I)</f>
        <v>0</v>
      </c>
      <c r="D196">
        <f t="shared" si="3"/>
        <v>62</v>
      </c>
    </row>
    <row r="197" spans="3:4" x14ac:dyDescent="0.3">
      <c r="C197" s="52">
        <f>SUMIF(BTS_매출관리!C:C,B197,BTS_매출관리!I:I)</f>
        <v>0</v>
      </c>
      <c r="D197">
        <f t="shared" si="3"/>
        <v>62</v>
      </c>
    </row>
    <row r="198" spans="3:4" x14ac:dyDescent="0.3">
      <c r="C198" s="52">
        <f>SUMIF(BTS_매출관리!C:C,B198,BTS_매출관리!I:I)</f>
        <v>0</v>
      </c>
      <c r="D198">
        <f t="shared" si="3"/>
        <v>62</v>
      </c>
    </row>
    <row r="199" spans="3:4" x14ac:dyDescent="0.3">
      <c r="C199" s="52">
        <f>SUMIF(BTS_매출관리!C:C,B199,BTS_매출관리!I:I)</f>
        <v>0</v>
      </c>
      <c r="D199">
        <f t="shared" si="3"/>
        <v>62</v>
      </c>
    </row>
    <row r="200" spans="3:4" x14ac:dyDescent="0.3">
      <c r="C200" s="52">
        <f>SUMIF(BTS_매출관리!C:C,B200,BTS_매출관리!I:I)</f>
        <v>0</v>
      </c>
      <c r="D200">
        <f t="shared" si="3"/>
        <v>62</v>
      </c>
    </row>
    <row r="201" spans="3:4" x14ac:dyDescent="0.3">
      <c r="C201" s="52">
        <f>SUMIF(BTS_매출관리!C:C,B201,BTS_매출관리!I:I)</f>
        <v>0</v>
      </c>
      <c r="D201">
        <f t="shared" si="3"/>
        <v>62</v>
      </c>
    </row>
    <row r="202" spans="3:4" x14ac:dyDescent="0.3">
      <c r="C202" s="52">
        <f>SUMIF(BTS_매출관리!C:C,B202,BTS_매출관리!I:I)</f>
        <v>0</v>
      </c>
      <c r="D202">
        <f t="shared" si="3"/>
        <v>62</v>
      </c>
    </row>
    <row r="203" spans="3:4" x14ac:dyDescent="0.3">
      <c r="C203" s="52">
        <f>SUMIF(BTS_매출관리!C:C,B203,BTS_매출관리!I:I)</f>
        <v>0</v>
      </c>
      <c r="D203">
        <f t="shared" si="3"/>
        <v>62</v>
      </c>
    </row>
    <row r="204" spans="3:4" x14ac:dyDescent="0.3">
      <c r="C204" s="52">
        <f>SUMIF(BTS_매출관리!C:C,B204,BTS_매출관리!I:I)</f>
        <v>0</v>
      </c>
      <c r="D204">
        <f t="shared" si="3"/>
        <v>62</v>
      </c>
    </row>
    <row r="205" spans="3:4" x14ac:dyDescent="0.3">
      <c r="C205" s="52">
        <f>SUMIF(BTS_매출관리!C:C,B205,BTS_매출관리!I:I)</f>
        <v>0</v>
      </c>
      <c r="D205">
        <f t="shared" si="3"/>
        <v>62</v>
      </c>
    </row>
    <row r="206" spans="3:4" x14ac:dyDescent="0.3">
      <c r="C206" s="52">
        <f>SUMIF(BTS_매출관리!C:C,B206,BTS_매출관리!I:I)</f>
        <v>0</v>
      </c>
      <c r="D206">
        <f t="shared" si="3"/>
        <v>62</v>
      </c>
    </row>
    <row r="207" spans="3:4" x14ac:dyDescent="0.3">
      <c r="C207" s="52">
        <f>SUMIF(BTS_매출관리!C:C,B207,BTS_매출관리!I:I)</f>
        <v>0</v>
      </c>
      <c r="D207">
        <f t="shared" si="3"/>
        <v>62</v>
      </c>
    </row>
    <row r="208" spans="3:4" x14ac:dyDescent="0.3">
      <c r="C208" s="52">
        <f>SUMIF(BTS_매출관리!C:C,B208,BTS_매출관리!I:I)</f>
        <v>0</v>
      </c>
      <c r="D208">
        <f t="shared" si="3"/>
        <v>62</v>
      </c>
    </row>
    <row r="209" spans="3:4" x14ac:dyDescent="0.3">
      <c r="C209" s="52">
        <f>SUMIF(BTS_매출관리!C:C,B209,BTS_매출관리!I:I)</f>
        <v>0</v>
      </c>
      <c r="D209">
        <f t="shared" si="3"/>
        <v>62</v>
      </c>
    </row>
    <row r="210" spans="3:4" x14ac:dyDescent="0.3">
      <c r="C210" s="52">
        <f>SUMIF(BTS_매출관리!C:C,B210,BTS_매출관리!I:I)</f>
        <v>0</v>
      </c>
      <c r="D210">
        <f t="shared" si="3"/>
        <v>62</v>
      </c>
    </row>
    <row r="211" spans="3:4" x14ac:dyDescent="0.3">
      <c r="C211" s="52">
        <f>SUMIF(BTS_매출관리!C:C,B211,BTS_매출관리!I:I)</f>
        <v>0</v>
      </c>
      <c r="D211">
        <f t="shared" si="3"/>
        <v>62</v>
      </c>
    </row>
    <row r="212" spans="3:4" x14ac:dyDescent="0.3">
      <c r="C212" s="52">
        <f>SUMIF(BTS_매출관리!C:C,B212,BTS_매출관리!I:I)</f>
        <v>0</v>
      </c>
      <c r="D212">
        <f t="shared" si="3"/>
        <v>62</v>
      </c>
    </row>
    <row r="213" spans="3:4" x14ac:dyDescent="0.3">
      <c r="C213" s="52">
        <f>SUMIF(BTS_매출관리!C:C,B213,BTS_매출관리!I:I)</f>
        <v>0</v>
      </c>
      <c r="D213">
        <f t="shared" si="3"/>
        <v>62</v>
      </c>
    </row>
    <row r="214" spans="3:4" x14ac:dyDescent="0.3">
      <c r="C214" s="52">
        <f>SUMIF(BTS_매출관리!C:C,B214,BTS_매출관리!I:I)</f>
        <v>0</v>
      </c>
      <c r="D214">
        <f t="shared" si="3"/>
        <v>62</v>
      </c>
    </row>
    <row r="215" spans="3:4" x14ac:dyDescent="0.3">
      <c r="C215" s="52">
        <f>SUMIF(BTS_매출관리!C:C,B215,BTS_매출관리!I:I)</f>
        <v>0</v>
      </c>
      <c r="D215">
        <f t="shared" si="3"/>
        <v>62</v>
      </c>
    </row>
    <row r="216" spans="3:4" x14ac:dyDescent="0.3">
      <c r="C216" s="52">
        <f>SUMIF(BTS_매출관리!C:C,B216,BTS_매출관리!I:I)</f>
        <v>0</v>
      </c>
      <c r="D216">
        <f t="shared" si="3"/>
        <v>62</v>
      </c>
    </row>
    <row r="217" spans="3:4" x14ac:dyDescent="0.3">
      <c r="C217" s="52">
        <f>SUMIF(BTS_매출관리!C:C,B217,BTS_매출관리!I:I)</f>
        <v>0</v>
      </c>
      <c r="D217">
        <f t="shared" si="3"/>
        <v>62</v>
      </c>
    </row>
    <row r="218" spans="3:4" x14ac:dyDescent="0.3">
      <c r="C218" s="52">
        <f>SUMIF(BTS_매출관리!C:C,B218,BTS_매출관리!I:I)</f>
        <v>0</v>
      </c>
      <c r="D218">
        <f t="shared" si="3"/>
        <v>62</v>
      </c>
    </row>
    <row r="219" spans="3:4" x14ac:dyDescent="0.3">
      <c r="C219" s="52">
        <f>SUMIF(BTS_매출관리!C:C,B219,BTS_매출관리!I:I)</f>
        <v>0</v>
      </c>
      <c r="D219">
        <f t="shared" si="3"/>
        <v>62</v>
      </c>
    </row>
    <row r="220" spans="3:4" x14ac:dyDescent="0.3">
      <c r="C220" s="52">
        <f>SUMIF(BTS_매출관리!C:C,B220,BTS_매출관리!I:I)</f>
        <v>0</v>
      </c>
      <c r="D220">
        <f t="shared" si="3"/>
        <v>62</v>
      </c>
    </row>
    <row r="221" spans="3:4" x14ac:dyDescent="0.3">
      <c r="C221" s="52">
        <f>SUMIF(BTS_매출관리!C:C,B221,BTS_매출관리!I:I)</f>
        <v>0</v>
      </c>
      <c r="D221">
        <f t="shared" si="3"/>
        <v>62</v>
      </c>
    </row>
    <row r="222" spans="3:4" x14ac:dyDescent="0.3">
      <c r="C222" s="52">
        <f>SUMIF(BTS_매출관리!C:C,B222,BTS_매출관리!I:I)</f>
        <v>0</v>
      </c>
      <c r="D222">
        <f t="shared" si="3"/>
        <v>62</v>
      </c>
    </row>
    <row r="223" spans="3:4" x14ac:dyDescent="0.3">
      <c r="C223" s="52">
        <f>SUMIF(BTS_매출관리!C:C,B223,BTS_매출관리!I:I)</f>
        <v>0</v>
      </c>
      <c r="D223">
        <f t="shared" si="3"/>
        <v>62</v>
      </c>
    </row>
    <row r="224" spans="3:4" x14ac:dyDescent="0.3">
      <c r="C224" s="52">
        <f>SUMIF(BTS_매출관리!C:C,B224,BTS_매출관리!I:I)</f>
        <v>0</v>
      </c>
      <c r="D224">
        <f t="shared" si="3"/>
        <v>62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3" t="s">
        <v>2</v>
      </c>
      <c r="B1" s="448" t="s">
        <v>2330</v>
      </c>
      <c r="C1" s="446" t="s">
        <v>2534</v>
      </c>
      <c r="D1" s="443" t="s">
        <v>2563</v>
      </c>
      <c r="E1" s="443" t="s">
        <v>36</v>
      </c>
      <c r="F1" s="443" t="s">
        <v>2722</v>
      </c>
      <c r="G1" s="443"/>
      <c r="H1" s="443" t="s">
        <v>2723</v>
      </c>
      <c r="I1" s="443"/>
      <c r="J1" s="443" t="s">
        <v>2724</v>
      </c>
      <c r="K1" s="443"/>
      <c r="L1" s="275"/>
    </row>
    <row r="2" spans="1:15" ht="17.25" thickBot="1" x14ac:dyDescent="0.35">
      <c r="A2" s="444"/>
      <c r="B2" s="449"/>
      <c r="C2" s="447"/>
      <c r="D2" s="444"/>
      <c r="E2" s="444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5" t="s">
        <v>2562</v>
      </c>
      <c r="C149" s="445"/>
      <c r="D149" s="445"/>
      <c r="E149" s="445"/>
      <c r="F149" s="445"/>
      <c r="G149" s="445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76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45804</v>
      </c>
      <c r="U2" s="313"/>
    </row>
    <row r="3" spans="1:21" ht="24" customHeight="1" x14ac:dyDescent="0.3">
      <c r="A3" s="323" t="s">
        <v>1168</v>
      </c>
      <c r="B3" s="37" t="s">
        <v>59</v>
      </c>
      <c r="C3" s="481" t="s">
        <v>1545</v>
      </c>
      <c r="D3" s="482"/>
      <c r="E3" s="482"/>
      <c r="F3" s="482"/>
      <c r="G3" s="482"/>
      <c r="H3" s="482"/>
      <c r="I3" s="482"/>
      <c r="J3" s="483"/>
      <c r="K3" s="329" t="s">
        <v>1169</v>
      </c>
      <c r="L3" s="37" t="s">
        <v>59</v>
      </c>
      <c r="M3" s="478" t="s">
        <v>964</v>
      </c>
      <c r="N3" s="479"/>
      <c r="O3" s="479"/>
      <c r="P3" s="479"/>
      <c r="Q3" s="479"/>
      <c r="R3" s="479"/>
      <c r="S3" s="479"/>
      <c r="T3" s="479"/>
      <c r="U3" s="480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484" t="s">
        <v>73</v>
      </c>
      <c r="U4" s="485"/>
    </row>
    <row r="5" spans="1:21" ht="15.75" customHeight="1" x14ac:dyDescent="0.3">
      <c r="A5" s="324"/>
      <c r="B5" s="38" t="s">
        <v>60</v>
      </c>
      <c r="C5" s="314" t="s">
        <v>1094</v>
      </c>
      <c r="D5" s="315"/>
      <c r="E5" s="315"/>
      <c r="F5" s="315"/>
      <c r="G5" s="315"/>
      <c r="H5" s="315"/>
      <c r="I5" s="315"/>
      <c r="J5" s="316"/>
      <c r="K5" s="330"/>
      <c r="L5" s="38" t="s">
        <v>60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15.75" customHeight="1" x14ac:dyDescent="0.3">
      <c r="A6" s="325"/>
      <c r="B6" s="38" t="s">
        <v>75</v>
      </c>
      <c r="C6" s="314" t="s">
        <v>1093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974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78</v>
      </c>
      <c r="G7" s="319"/>
      <c r="H7" s="319"/>
      <c r="I7" s="320"/>
      <c r="J7" s="321" t="s">
        <v>67</v>
      </c>
      <c r="K7" s="320"/>
      <c r="L7" s="321" t="s">
        <v>42</v>
      </c>
      <c r="M7" s="319"/>
      <c r="N7" s="319"/>
      <c r="O7" s="319"/>
      <c r="P7" s="320"/>
      <c r="Q7" s="321" t="s">
        <v>68</v>
      </c>
      <c r="R7" s="319"/>
      <c r="S7" s="320"/>
      <c r="T7" s="321" t="s">
        <v>69</v>
      </c>
      <c r="U7" s="322"/>
    </row>
    <row r="8" spans="1:21" ht="15" customHeight="1" x14ac:dyDescent="0.3">
      <c r="A8" s="486" t="s">
        <v>1132</v>
      </c>
      <c r="B8" s="487"/>
      <c r="C8" s="487"/>
      <c r="D8" s="487"/>
      <c r="E8" s="488"/>
      <c r="F8" s="489"/>
      <c r="G8" s="487"/>
      <c r="H8" s="487"/>
      <c r="I8" s="488"/>
      <c r="J8" s="350">
        <v>1</v>
      </c>
      <c r="K8" s="349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354"/>
      <c r="U8" s="355"/>
    </row>
    <row r="9" spans="1:21" ht="15" customHeight="1" x14ac:dyDescent="0.3">
      <c r="A9" s="471"/>
      <c r="B9" s="472"/>
      <c r="C9" s="472"/>
      <c r="D9" s="472"/>
      <c r="E9" s="473"/>
      <c r="F9" s="474"/>
      <c r="G9" s="472"/>
      <c r="H9" s="472"/>
      <c r="I9" s="473"/>
      <c r="J9" s="341"/>
      <c r="K9" s="340"/>
      <c r="L9" s="475"/>
      <c r="M9" s="476"/>
      <c r="N9" s="476"/>
      <c r="O9" s="476"/>
      <c r="P9" s="477"/>
      <c r="Q9" s="475"/>
      <c r="R9" s="476"/>
      <c r="S9" s="477"/>
      <c r="T9" s="345"/>
      <c r="U9" s="346"/>
    </row>
    <row r="10" spans="1:21" ht="15" customHeight="1" x14ac:dyDescent="0.3">
      <c r="A10" s="471"/>
      <c r="B10" s="472"/>
      <c r="C10" s="472"/>
      <c r="D10" s="472"/>
      <c r="E10" s="473"/>
      <c r="F10" s="474"/>
      <c r="G10" s="472"/>
      <c r="H10" s="472"/>
      <c r="I10" s="473"/>
      <c r="J10" s="341"/>
      <c r="K10" s="340"/>
      <c r="L10" s="475"/>
      <c r="M10" s="476"/>
      <c r="N10" s="476"/>
      <c r="O10" s="476"/>
      <c r="P10" s="477"/>
      <c r="Q10" s="475"/>
      <c r="R10" s="476"/>
      <c r="S10" s="477"/>
      <c r="T10" s="345"/>
      <c r="U10" s="346"/>
    </row>
    <row r="11" spans="1:21" ht="15" customHeight="1" x14ac:dyDescent="0.3">
      <c r="A11" s="471"/>
      <c r="B11" s="472"/>
      <c r="C11" s="472"/>
      <c r="D11" s="472"/>
      <c r="E11" s="473"/>
      <c r="F11" s="474"/>
      <c r="G11" s="472"/>
      <c r="H11" s="472"/>
      <c r="I11" s="473"/>
      <c r="J11" s="341"/>
      <c r="K11" s="340"/>
      <c r="L11" s="475"/>
      <c r="M11" s="476"/>
      <c r="N11" s="476"/>
      <c r="O11" s="476"/>
      <c r="P11" s="477"/>
      <c r="Q11" s="475"/>
      <c r="R11" s="476"/>
      <c r="S11" s="477"/>
      <c r="T11" s="345"/>
      <c r="U11" s="346"/>
    </row>
    <row r="12" spans="1:21" ht="15" customHeight="1" x14ac:dyDescent="0.3">
      <c r="A12" s="471"/>
      <c r="B12" s="472"/>
      <c r="C12" s="472"/>
      <c r="D12" s="472"/>
      <c r="E12" s="473"/>
      <c r="F12" s="474"/>
      <c r="G12" s="472"/>
      <c r="H12" s="472"/>
      <c r="I12" s="473"/>
      <c r="J12" s="341"/>
      <c r="K12" s="340"/>
      <c r="L12" s="475"/>
      <c r="M12" s="476"/>
      <c r="N12" s="476"/>
      <c r="O12" s="476"/>
      <c r="P12" s="477"/>
      <c r="Q12" s="475"/>
      <c r="R12" s="476"/>
      <c r="S12" s="477"/>
      <c r="T12" s="345"/>
      <c r="U12" s="346"/>
    </row>
    <row r="13" spans="1:21" ht="15" customHeight="1" x14ac:dyDescent="0.3">
      <c r="A13" s="471"/>
      <c r="B13" s="472"/>
      <c r="C13" s="472"/>
      <c r="D13" s="472"/>
      <c r="E13" s="473"/>
      <c r="F13" s="490"/>
      <c r="G13" s="491"/>
      <c r="H13" s="491"/>
      <c r="I13" s="492"/>
      <c r="J13" s="341"/>
      <c r="K13" s="340"/>
      <c r="L13" s="475"/>
      <c r="M13" s="476"/>
      <c r="N13" s="476"/>
      <c r="O13" s="476"/>
      <c r="P13" s="477"/>
      <c r="Q13" s="475"/>
      <c r="R13" s="476"/>
      <c r="S13" s="477"/>
      <c r="T13" s="345"/>
      <c r="U13" s="346"/>
    </row>
    <row r="14" spans="1:21" ht="15" customHeight="1" x14ac:dyDescent="0.3">
      <c r="A14" s="471"/>
      <c r="B14" s="472"/>
      <c r="C14" s="472"/>
      <c r="D14" s="472"/>
      <c r="E14" s="473"/>
      <c r="F14" s="474"/>
      <c r="G14" s="472"/>
      <c r="H14" s="472"/>
      <c r="I14" s="473"/>
      <c r="J14" s="341"/>
      <c r="K14" s="340"/>
      <c r="L14" s="475"/>
      <c r="M14" s="476"/>
      <c r="N14" s="476"/>
      <c r="O14" s="476"/>
      <c r="P14" s="477"/>
      <c r="Q14" s="475"/>
      <c r="R14" s="476"/>
      <c r="S14" s="477"/>
      <c r="T14" s="345"/>
      <c r="U14" s="346"/>
    </row>
    <row r="15" spans="1:21" ht="15" customHeight="1" x14ac:dyDescent="0.3">
      <c r="A15" s="338"/>
      <c r="B15" s="339"/>
      <c r="C15" s="339"/>
      <c r="D15" s="339"/>
      <c r="E15" s="340"/>
      <c r="F15" s="341"/>
      <c r="G15" s="339"/>
      <c r="H15" s="339"/>
      <c r="I15" s="340"/>
      <c r="J15" s="341"/>
      <c r="K15" s="340"/>
      <c r="L15" s="493"/>
      <c r="M15" s="494"/>
      <c r="N15" s="494"/>
      <c r="O15" s="494"/>
      <c r="P15" s="495"/>
      <c r="Q15" s="493"/>
      <c r="R15" s="494"/>
      <c r="S15" s="495"/>
      <c r="T15" s="345"/>
      <c r="U15" s="346"/>
    </row>
    <row r="16" spans="1:21" ht="15" customHeight="1" x14ac:dyDescent="0.3">
      <c r="A16" s="338"/>
      <c r="B16" s="339"/>
      <c r="C16" s="339"/>
      <c r="D16" s="339"/>
      <c r="E16" s="340"/>
      <c r="F16" s="341"/>
      <c r="G16" s="339"/>
      <c r="H16" s="339"/>
      <c r="I16" s="340"/>
      <c r="J16" s="341"/>
      <c r="K16" s="340"/>
      <c r="L16" s="493"/>
      <c r="M16" s="494"/>
      <c r="N16" s="494"/>
      <c r="O16" s="494"/>
      <c r="P16" s="495"/>
      <c r="Q16" s="493"/>
      <c r="R16" s="494"/>
      <c r="S16" s="495"/>
      <c r="T16" s="345"/>
      <c r="U16" s="346"/>
    </row>
    <row r="17" spans="1:21" ht="15" customHeight="1" x14ac:dyDescent="0.3">
      <c r="A17" s="338"/>
      <c r="B17" s="339"/>
      <c r="C17" s="339"/>
      <c r="D17" s="339"/>
      <c r="E17" s="340"/>
      <c r="F17" s="341"/>
      <c r="G17" s="339"/>
      <c r="H17" s="339"/>
      <c r="I17" s="340"/>
      <c r="J17" s="341"/>
      <c r="K17" s="340"/>
      <c r="L17" s="493"/>
      <c r="M17" s="494"/>
      <c r="N17" s="494"/>
      <c r="O17" s="494"/>
      <c r="P17" s="495"/>
      <c r="Q17" s="493"/>
      <c r="R17" s="494"/>
      <c r="S17" s="495"/>
      <c r="T17" s="345"/>
      <c r="U17" s="346"/>
    </row>
    <row r="18" spans="1:21" ht="15" customHeight="1" x14ac:dyDescent="0.3">
      <c r="A18" s="338"/>
      <c r="B18" s="339"/>
      <c r="C18" s="339"/>
      <c r="D18" s="339"/>
      <c r="E18" s="340"/>
      <c r="F18" s="341"/>
      <c r="G18" s="339"/>
      <c r="H18" s="339"/>
      <c r="I18" s="340"/>
      <c r="J18" s="341"/>
      <c r="K18" s="340"/>
      <c r="L18" s="493"/>
      <c r="M18" s="494"/>
      <c r="N18" s="494"/>
      <c r="O18" s="494"/>
      <c r="P18" s="495"/>
      <c r="Q18" s="493"/>
      <c r="R18" s="494"/>
      <c r="S18" s="495"/>
      <c r="T18" s="345"/>
      <c r="U18" s="346"/>
    </row>
    <row r="19" spans="1:21" ht="15" customHeight="1" x14ac:dyDescent="0.3">
      <c r="A19" s="516"/>
      <c r="B19" s="517"/>
      <c r="C19" s="517"/>
      <c r="D19" s="517"/>
      <c r="E19" s="513"/>
      <c r="F19" s="512"/>
      <c r="G19" s="517"/>
      <c r="H19" s="517"/>
      <c r="I19" s="513"/>
      <c r="J19" s="512"/>
      <c r="K19" s="513"/>
      <c r="L19" s="464"/>
      <c r="M19" s="465"/>
      <c r="N19" s="465"/>
      <c r="O19" s="465"/>
      <c r="P19" s="466"/>
      <c r="Q19" s="464"/>
      <c r="R19" s="465"/>
      <c r="S19" s="466"/>
      <c r="T19" s="514"/>
      <c r="U19" s="515"/>
    </row>
    <row r="20" spans="1:21" x14ac:dyDescent="0.3">
      <c r="A20" s="318" t="s">
        <v>80</v>
      </c>
      <c r="B20" s="319"/>
      <c r="C20" s="319"/>
      <c r="D20" s="319"/>
      <c r="E20" s="319"/>
      <c r="F20" s="395">
        <v>2450000</v>
      </c>
      <c r="G20" s="395"/>
      <c r="H20" s="395"/>
      <c r="I20" s="396"/>
      <c r="J20" s="467">
        <f>SUM(J8:K19)</f>
        <v>1</v>
      </c>
      <c r="K20" s="467"/>
      <c r="L20" s="450" t="s">
        <v>959</v>
      </c>
      <c r="M20" s="451"/>
      <c r="N20" s="451"/>
      <c r="O20" s="451"/>
      <c r="P20" s="452"/>
      <c r="Q20" s="394">
        <f>SUM(Q8:S19)</f>
        <v>1000000</v>
      </c>
      <c r="R20" s="395"/>
      <c r="S20" s="395"/>
      <c r="T20" s="395"/>
      <c r="U20" s="397"/>
    </row>
    <row r="21" spans="1:21" ht="17.25" thickBot="1" x14ac:dyDescent="0.35">
      <c r="A21" s="419" t="s">
        <v>90</v>
      </c>
      <c r="B21" s="420"/>
      <c r="C21" s="420"/>
      <c r="D21" s="420"/>
      <c r="E21" s="420"/>
      <c r="F21" s="421">
        <f>F20+Q20</f>
        <v>3450000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5"/>
      <c r="Q21" s="456" t="str">
        <f>C3</f>
        <v>제이오토(대구)</v>
      </c>
      <c r="R21" s="457"/>
      <c r="S21" s="457"/>
      <c r="T21" s="457"/>
      <c r="U21" s="458"/>
    </row>
    <row r="22" spans="1:21" ht="9" customHeight="1" x14ac:dyDescent="0.3">
      <c r="A22" s="439"/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11.25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5">
      <c r="A24" s="509" t="s">
        <v>71</v>
      </c>
      <c r="B24" s="510"/>
      <c r="C24" s="510"/>
      <c r="D24" s="510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1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77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45804</v>
      </c>
      <c r="U25" s="313"/>
    </row>
    <row r="26" spans="1:21" ht="27" customHeight="1" x14ac:dyDescent="0.3">
      <c r="A26" s="323" t="s">
        <v>1168</v>
      </c>
      <c r="B26" s="37" t="s">
        <v>59</v>
      </c>
      <c r="C26" s="499" t="str">
        <f>C3</f>
        <v>제이오토(대구)</v>
      </c>
      <c r="D26" s="500"/>
      <c r="E26" s="500"/>
      <c r="F26" s="500"/>
      <c r="G26" s="500"/>
      <c r="H26" s="500"/>
      <c r="I26" s="500"/>
      <c r="J26" s="501"/>
      <c r="K26" s="329" t="s">
        <v>1169</v>
      </c>
      <c r="L26" s="37" t="s">
        <v>59</v>
      </c>
      <c r="M26" s="478" t="str">
        <f>M3</f>
        <v>BTS&amp;P</v>
      </c>
      <c r="N26" s="479"/>
      <c r="O26" s="479"/>
      <c r="P26" s="479"/>
      <c r="Q26" s="479"/>
      <c r="R26" s="479"/>
      <c r="S26" s="479"/>
      <c r="T26" s="479"/>
      <c r="U26" s="480"/>
    </row>
    <row r="27" spans="1:21" ht="24.95" customHeight="1" x14ac:dyDescent="0.3">
      <c r="A27" s="324"/>
      <c r="B27" s="37" t="s">
        <v>61</v>
      </c>
      <c r="C27" s="461">
        <f>C4</f>
        <v>0</v>
      </c>
      <c r="D27" s="462"/>
      <c r="E27" s="462"/>
      <c r="F27" s="462"/>
      <c r="G27" s="462"/>
      <c r="H27" s="462"/>
      <c r="I27" s="462"/>
      <c r="J27" s="463"/>
      <c r="K27" s="330"/>
      <c r="L27" s="37" t="s">
        <v>61</v>
      </c>
      <c r="M27" s="314" t="str">
        <f>M4</f>
        <v>259-12-01768</v>
      </c>
      <c r="N27" s="315"/>
      <c r="O27" s="315"/>
      <c r="P27" s="315"/>
      <c r="Q27" s="315"/>
      <c r="R27" s="316"/>
      <c r="S27" s="38" t="s">
        <v>62</v>
      </c>
      <c r="T27" s="484" t="str">
        <f>T4</f>
        <v>장효주</v>
      </c>
      <c r="U27" s="485"/>
    </row>
    <row r="28" spans="1:21" ht="15.75" customHeight="1" x14ac:dyDescent="0.3">
      <c r="A28" s="324"/>
      <c r="B28" s="38" t="s">
        <v>10</v>
      </c>
      <c r="C28" s="314" t="str">
        <f>C5</f>
        <v>대구광역시 서구 가르뱅이로 53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tr">
        <f>M5</f>
        <v>대구 달서구 용산로 28(본리동)</v>
      </c>
      <c r="N28" s="315"/>
      <c r="O28" s="315"/>
      <c r="P28" s="315"/>
      <c r="Q28" s="315"/>
      <c r="R28" s="315"/>
      <c r="S28" s="315"/>
      <c r="T28" s="315"/>
      <c r="U28" s="317"/>
    </row>
    <row r="29" spans="1:21" ht="15.75" customHeight="1" x14ac:dyDescent="0.3">
      <c r="A29" s="325"/>
      <c r="B29" s="38" t="s">
        <v>75</v>
      </c>
      <c r="C29" s="314" t="str">
        <f>C6</f>
        <v>010-5102-8176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tr">
        <f>M6</f>
        <v>010-5168-3542</v>
      </c>
      <c r="N29" s="315"/>
      <c r="O29" s="315"/>
      <c r="P29" s="315"/>
      <c r="Q29" s="315"/>
      <c r="R29" s="316"/>
      <c r="S29" s="38" t="s">
        <v>22</v>
      </c>
      <c r="T29" s="314"/>
      <c r="U29" s="317"/>
    </row>
    <row r="30" spans="1:21" ht="15.75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67</v>
      </c>
      <c r="K30" s="320"/>
      <c r="L30" s="321" t="s">
        <v>42</v>
      </c>
      <c r="M30" s="319"/>
      <c r="N30" s="319"/>
      <c r="O30" s="319"/>
      <c r="P30" s="320"/>
      <c r="Q30" s="321" t="s">
        <v>68</v>
      </c>
      <c r="R30" s="319"/>
      <c r="S30" s="320"/>
      <c r="T30" s="321" t="s">
        <v>69</v>
      </c>
      <c r="U30" s="322"/>
    </row>
    <row r="31" spans="1:21" ht="15" customHeight="1" x14ac:dyDescent="0.3">
      <c r="A31" s="504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459">
        <f>L8</f>
        <v>1000000</v>
      </c>
      <c r="M31" s="459"/>
      <c r="N31" s="459"/>
      <c r="O31" s="459"/>
      <c r="P31" s="459"/>
      <c r="Q31" s="459">
        <f>Q8</f>
        <v>1000000</v>
      </c>
      <c r="R31" s="459"/>
      <c r="S31" s="459"/>
      <c r="T31" s="502">
        <f>T8</f>
        <v>0</v>
      </c>
      <c r="U31" s="503"/>
    </row>
    <row r="32" spans="1:21" ht="15" customHeight="1" x14ac:dyDescent="0.3">
      <c r="A32" s="498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60">
        <f t="shared" ref="L32:L42" si="3">L9</f>
        <v>0</v>
      </c>
      <c r="M32" s="460"/>
      <c r="N32" s="460"/>
      <c r="O32" s="460"/>
      <c r="P32" s="460"/>
      <c r="Q32" s="460">
        <f t="shared" ref="Q32:Q42" si="4">Q9</f>
        <v>0</v>
      </c>
      <c r="R32" s="460"/>
      <c r="S32" s="460"/>
      <c r="T32" s="496">
        <f t="shared" ref="T32:T42" si="5">T9</f>
        <v>0</v>
      </c>
      <c r="U32" s="497"/>
    </row>
    <row r="33" spans="1:21" ht="15" customHeight="1" x14ac:dyDescent="0.3">
      <c r="A33" s="498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60">
        <f t="shared" si="3"/>
        <v>0</v>
      </c>
      <c r="M33" s="460"/>
      <c r="N33" s="460"/>
      <c r="O33" s="460"/>
      <c r="P33" s="460"/>
      <c r="Q33" s="460">
        <f t="shared" si="4"/>
        <v>0</v>
      </c>
      <c r="R33" s="460"/>
      <c r="S33" s="460"/>
      <c r="T33" s="496">
        <f t="shared" si="5"/>
        <v>0</v>
      </c>
      <c r="U33" s="497"/>
    </row>
    <row r="34" spans="1:21" ht="15" customHeight="1" x14ac:dyDescent="0.3">
      <c r="A34" s="498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60">
        <f t="shared" si="3"/>
        <v>0</v>
      </c>
      <c r="M34" s="460"/>
      <c r="N34" s="460"/>
      <c r="O34" s="460"/>
      <c r="P34" s="460"/>
      <c r="Q34" s="460">
        <f t="shared" si="4"/>
        <v>0</v>
      </c>
      <c r="R34" s="460"/>
      <c r="S34" s="460"/>
      <c r="T34" s="496">
        <f t="shared" si="5"/>
        <v>0</v>
      </c>
      <c r="U34" s="497"/>
    </row>
    <row r="35" spans="1:21" ht="15" customHeight="1" x14ac:dyDescent="0.3">
      <c r="A35" s="498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60">
        <f t="shared" si="3"/>
        <v>0</v>
      </c>
      <c r="M35" s="460"/>
      <c r="N35" s="460"/>
      <c r="O35" s="460"/>
      <c r="P35" s="460"/>
      <c r="Q35" s="460">
        <f t="shared" si="4"/>
        <v>0</v>
      </c>
      <c r="R35" s="460"/>
      <c r="S35" s="460"/>
      <c r="T35" s="496">
        <f t="shared" si="5"/>
        <v>0</v>
      </c>
      <c r="U35" s="497"/>
    </row>
    <row r="36" spans="1:21" ht="15" customHeight="1" x14ac:dyDescent="0.3">
      <c r="A36" s="498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60">
        <f t="shared" si="3"/>
        <v>0</v>
      </c>
      <c r="M36" s="460"/>
      <c r="N36" s="460"/>
      <c r="O36" s="460"/>
      <c r="P36" s="460"/>
      <c r="Q36" s="460">
        <f t="shared" si="4"/>
        <v>0</v>
      </c>
      <c r="R36" s="460"/>
      <c r="S36" s="460"/>
      <c r="T36" s="496">
        <f t="shared" si="5"/>
        <v>0</v>
      </c>
      <c r="U36" s="497"/>
    </row>
    <row r="37" spans="1:21" ht="15" customHeight="1" x14ac:dyDescent="0.3">
      <c r="A37" s="498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60">
        <f t="shared" si="3"/>
        <v>0</v>
      </c>
      <c r="M37" s="460"/>
      <c r="N37" s="460"/>
      <c r="O37" s="460"/>
      <c r="P37" s="460"/>
      <c r="Q37" s="460">
        <f t="shared" si="4"/>
        <v>0</v>
      </c>
      <c r="R37" s="460"/>
      <c r="S37" s="460"/>
      <c r="T37" s="496">
        <f t="shared" si="5"/>
        <v>0</v>
      </c>
      <c r="U37" s="497"/>
    </row>
    <row r="38" spans="1:21" ht="15" customHeight="1" x14ac:dyDescent="0.3">
      <c r="A38" s="498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60">
        <f t="shared" si="3"/>
        <v>0</v>
      </c>
      <c r="M38" s="460"/>
      <c r="N38" s="460"/>
      <c r="O38" s="460"/>
      <c r="P38" s="460"/>
      <c r="Q38" s="460">
        <f t="shared" si="4"/>
        <v>0</v>
      </c>
      <c r="R38" s="460"/>
      <c r="S38" s="460"/>
      <c r="T38" s="496">
        <f t="shared" si="5"/>
        <v>0</v>
      </c>
      <c r="U38" s="497"/>
    </row>
    <row r="39" spans="1:21" ht="15" customHeight="1" x14ac:dyDescent="0.3">
      <c r="A39" s="498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60">
        <f t="shared" si="3"/>
        <v>0</v>
      </c>
      <c r="M39" s="460"/>
      <c r="N39" s="460"/>
      <c r="O39" s="460"/>
      <c r="P39" s="460"/>
      <c r="Q39" s="460">
        <f t="shared" si="4"/>
        <v>0</v>
      </c>
      <c r="R39" s="460"/>
      <c r="S39" s="460"/>
      <c r="T39" s="496">
        <f t="shared" si="5"/>
        <v>0</v>
      </c>
      <c r="U39" s="497"/>
    </row>
    <row r="40" spans="1:21" ht="15" customHeight="1" x14ac:dyDescent="0.3">
      <c r="A40" s="498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60">
        <f t="shared" si="3"/>
        <v>0</v>
      </c>
      <c r="M40" s="460"/>
      <c r="N40" s="460"/>
      <c r="O40" s="460"/>
      <c r="P40" s="460"/>
      <c r="Q40" s="460">
        <f t="shared" si="4"/>
        <v>0</v>
      </c>
      <c r="R40" s="460"/>
      <c r="S40" s="460"/>
      <c r="T40" s="496">
        <f t="shared" si="5"/>
        <v>0</v>
      </c>
      <c r="U40" s="497"/>
    </row>
    <row r="41" spans="1:21" ht="15" customHeight="1" x14ac:dyDescent="0.3">
      <c r="A41" s="498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60">
        <f t="shared" si="3"/>
        <v>0</v>
      </c>
      <c r="M41" s="460"/>
      <c r="N41" s="460"/>
      <c r="O41" s="460"/>
      <c r="P41" s="460"/>
      <c r="Q41" s="460">
        <f t="shared" si="4"/>
        <v>0</v>
      </c>
      <c r="R41" s="460"/>
      <c r="S41" s="460"/>
      <c r="T41" s="496">
        <f t="shared" si="5"/>
        <v>0</v>
      </c>
      <c r="U41" s="497"/>
    </row>
    <row r="42" spans="1:21" ht="15" customHeight="1" x14ac:dyDescent="0.3">
      <c r="A42" s="505">
        <f t="shared" si="0"/>
        <v>0</v>
      </c>
      <c r="B42" s="506"/>
      <c r="C42" s="506"/>
      <c r="D42" s="506"/>
      <c r="E42" s="506"/>
      <c r="F42" s="506">
        <f t="shared" si="1"/>
        <v>0</v>
      </c>
      <c r="G42" s="506"/>
      <c r="H42" s="506"/>
      <c r="I42" s="506"/>
      <c r="J42" s="506">
        <f t="shared" si="2"/>
        <v>0</v>
      </c>
      <c r="K42" s="506"/>
      <c r="L42" s="507">
        <f t="shared" si="3"/>
        <v>0</v>
      </c>
      <c r="M42" s="507"/>
      <c r="N42" s="507"/>
      <c r="O42" s="507"/>
      <c r="P42" s="507"/>
      <c r="Q42" s="507">
        <f t="shared" si="4"/>
        <v>0</v>
      </c>
      <c r="R42" s="507"/>
      <c r="S42" s="507"/>
      <c r="T42" s="506">
        <f t="shared" si="5"/>
        <v>0</v>
      </c>
      <c r="U42" s="508"/>
    </row>
    <row r="43" spans="1:21" x14ac:dyDescent="0.3">
      <c r="A43" s="318" t="s">
        <v>80</v>
      </c>
      <c r="B43" s="319"/>
      <c r="C43" s="319"/>
      <c r="D43" s="319"/>
      <c r="E43" s="319"/>
      <c r="F43" s="395">
        <f>F20</f>
        <v>2450000</v>
      </c>
      <c r="G43" s="395"/>
      <c r="H43" s="395"/>
      <c r="I43" s="396"/>
      <c r="J43" s="467">
        <f>J20</f>
        <v>1</v>
      </c>
      <c r="K43" s="467"/>
      <c r="L43" s="450" t="s">
        <v>959</v>
      </c>
      <c r="M43" s="451"/>
      <c r="N43" s="451"/>
      <c r="O43" s="451"/>
      <c r="P43" s="452"/>
      <c r="Q43" s="453">
        <f>Q20</f>
        <v>1000000</v>
      </c>
      <c r="R43" s="454"/>
      <c r="S43" s="454"/>
      <c r="T43" s="454"/>
      <c r="U43" s="455"/>
    </row>
    <row r="44" spans="1:21" ht="17.25" thickBot="1" x14ac:dyDescent="0.35">
      <c r="A44" s="419" t="s">
        <v>90</v>
      </c>
      <c r="B44" s="420"/>
      <c r="C44" s="420"/>
      <c r="D44" s="420"/>
      <c r="E44" s="420"/>
      <c r="F44" s="421">
        <f>F21</f>
        <v>3450000</v>
      </c>
      <c r="G44" s="421"/>
      <c r="H44" s="421"/>
      <c r="I44" s="422"/>
      <c r="J44" s="423" t="s">
        <v>965</v>
      </c>
      <c r="K44" s="420"/>
      <c r="L44" s="389" t="str">
        <f>L21</f>
        <v>장효주</v>
      </c>
      <c r="M44" s="389"/>
      <c r="N44" s="389"/>
      <c r="O44" s="423" t="s">
        <v>64</v>
      </c>
      <c r="P44" s="425"/>
      <c r="Q44" s="456" t="str">
        <f>Q21</f>
        <v>제이오토(대구)</v>
      </c>
      <c r="R44" s="457"/>
      <c r="S44" s="457"/>
      <c r="T44" s="457"/>
      <c r="U44" s="45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38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963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3290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3292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3297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3298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3299</v>
      </c>
    </row>
    <row r="725" spans="1:4" x14ac:dyDescent="0.3">
      <c r="A725">
        <v>749</v>
      </c>
      <c r="B725" s="13">
        <v>45894</v>
      </c>
      <c r="C725" t="s">
        <v>1810</v>
      </c>
      <c r="D725" t="s">
        <v>3300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3304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3305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3306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3307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3308</v>
      </c>
    </row>
    <row r="731" spans="1:4" x14ac:dyDescent="0.3">
      <c r="A731">
        <v>755</v>
      </c>
      <c r="B731" s="13">
        <v>45894</v>
      </c>
      <c r="C731" t="s">
        <v>3309</v>
      </c>
      <c r="D731" t="s">
        <v>3313</v>
      </c>
    </row>
    <row r="732" spans="1:4" x14ac:dyDescent="0.3">
      <c r="A732">
        <v>756</v>
      </c>
      <c r="B732" s="13">
        <v>45894</v>
      </c>
      <c r="C732" t="s">
        <v>3309</v>
      </c>
      <c r="D732" t="s">
        <v>3314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3315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3317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3318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3319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3320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3321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3325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3326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3327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3329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3330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3333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3334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3338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3340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3341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3342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3343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3351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3352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3353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3354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3355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3356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3357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3362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3363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3364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3365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3366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3367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3374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3375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3376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3377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3378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3379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3380</v>
      </c>
    </row>
    <row r="771" spans="1:4" x14ac:dyDescent="0.3">
      <c r="A771">
        <v>795</v>
      </c>
      <c r="B771" s="13">
        <v>45901</v>
      </c>
      <c r="C771" t="s">
        <v>3368</v>
      </c>
      <c r="D771" t="s">
        <v>3381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3382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3386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3387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3388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3389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3390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3392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3393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3394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3395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3396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3398</v>
      </c>
    </row>
    <row r="784" spans="1:4" x14ac:dyDescent="0.3">
      <c r="A784">
        <v>808</v>
      </c>
      <c r="B784" s="13">
        <v>45903</v>
      </c>
      <c r="C784" t="s">
        <v>1502</v>
      </c>
      <c r="D784" t="s">
        <v>3400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3403</v>
      </c>
    </row>
    <row r="786" spans="1:4" x14ac:dyDescent="0.3">
      <c r="A786">
        <v>810</v>
      </c>
      <c r="B786" s="13">
        <v>45903</v>
      </c>
      <c r="C786" t="s">
        <v>3309</v>
      </c>
      <c r="D786" t="s">
        <v>3404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3408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3409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3413</v>
      </c>
    </row>
    <row r="790" spans="1:4" x14ac:dyDescent="0.3">
      <c r="A790">
        <v>814</v>
      </c>
      <c r="B790" s="13">
        <v>45903</v>
      </c>
      <c r="C790" t="s">
        <v>3410</v>
      </c>
      <c r="D790" t="s">
        <v>3414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3415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3416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3418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3420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3421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3430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3431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3432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3433</v>
      </c>
    </row>
    <row r="800" spans="1:4" x14ac:dyDescent="0.3">
      <c r="A800">
        <v>824</v>
      </c>
      <c r="B800" s="13">
        <v>45904</v>
      </c>
      <c r="C800" t="s">
        <v>3426</v>
      </c>
      <c r="D800" t="s">
        <v>3434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3437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3438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3439</v>
      </c>
    </row>
    <row r="804" spans="1:4" x14ac:dyDescent="0.3">
      <c r="A804">
        <v>828</v>
      </c>
      <c r="B804" s="13">
        <v>45904</v>
      </c>
      <c r="C804" t="s">
        <v>3419</v>
      </c>
      <c r="D804" t="s">
        <v>3440</v>
      </c>
    </row>
    <row r="805" spans="1:4" x14ac:dyDescent="0.3">
      <c r="A805">
        <v>829</v>
      </c>
      <c r="B805" s="13">
        <v>45904</v>
      </c>
      <c r="C805" t="s">
        <v>3419</v>
      </c>
      <c r="D805" t="s">
        <v>3441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3442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3443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3444</v>
      </c>
    </row>
    <row r="809" spans="1:4" x14ac:dyDescent="0.3">
      <c r="A809">
        <v>833</v>
      </c>
      <c r="B809" s="13">
        <v>45904</v>
      </c>
      <c r="C809" t="s">
        <v>3426</v>
      </c>
      <c r="D809" t="s">
        <v>3445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3446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3447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3448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3449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3456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3457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3459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3460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3462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3463</v>
      </c>
    </row>
    <row r="820" spans="1:4" x14ac:dyDescent="0.3">
      <c r="A820">
        <v>844</v>
      </c>
      <c r="B820" s="13">
        <v>45905</v>
      </c>
      <c r="C820" t="s">
        <v>3464</v>
      </c>
      <c r="D820" t="s">
        <v>3465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3466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3478</v>
      </c>
    </row>
    <row r="823" spans="1:4" x14ac:dyDescent="0.3">
      <c r="A823">
        <v>847</v>
      </c>
      <c r="B823" s="13">
        <v>45906</v>
      </c>
      <c r="C823" t="s">
        <v>3479</v>
      </c>
      <c r="D823" t="s">
        <v>3488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3490</v>
      </c>
    </row>
    <row r="825" spans="1:4" x14ac:dyDescent="0.3">
      <c r="A825">
        <v>849</v>
      </c>
      <c r="B825" s="13">
        <v>45906</v>
      </c>
      <c r="C825" t="s">
        <v>3482</v>
      </c>
      <c r="D825" t="s">
        <v>3492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3494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3495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3496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3497</v>
      </c>
    </row>
    <row r="830" spans="1:4" x14ac:dyDescent="0.3">
      <c r="A830">
        <v>854</v>
      </c>
      <c r="B830" s="13">
        <v>45908</v>
      </c>
      <c r="C830" t="s">
        <v>1675</v>
      </c>
      <c r="D830" t="s">
        <v>3500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3501</v>
      </c>
    </row>
    <row r="832" spans="1:4" x14ac:dyDescent="0.3">
      <c r="A832">
        <v>856</v>
      </c>
      <c r="B832" s="13">
        <v>45908</v>
      </c>
      <c r="C832" t="s">
        <v>1483</v>
      </c>
      <c r="D832" t="s">
        <v>3502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3503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3517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3518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3519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3520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3521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3522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3523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3524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3527</v>
      </c>
    </row>
    <row r="843" spans="1:4" x14ac:dyDescent="0.3">
      <c r="A843">
        <v>867</v>
      </c>
      <c r="B843" s="13">
        <v>45910</v>
      </c>
      <c r="C843" t="s">
        <v>3525</v>
      </c>
      <c r="D843" t="s">
        <v>3531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3532</v>
      </c>
    </row>
    <row r="845" spans="1:4" x14ac:dyDescent="0.3">
      <c r="A845">
        <v>869</v>
      </c>
      <c r="B845" s="13">
        <v>45910</v>
      </c>
      <c r="C845" t="s">
        <v>3410</v>
      </c>
      <c r="D845" t="s">
        <v>3533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3534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3535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3536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3537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3538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3539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3540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3547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3548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3549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3550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3551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3554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3555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3556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3557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3558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3560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3561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3562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3563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3565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3566</v>
      </c>
    </row>
    <row r="869" spans="1:4" x14ac:dyDescent="0.3">
      <c r="A869">
        <v>893</v>
      </c>
      <c r="B869" s="13">
        <v>45912</v>
      </c>
      <c r="C869" t="s">
        <v>3567</v>
      </c>
      <c r="D869" t="s">
        <v>3570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3573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3576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3577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3578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3579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3580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3581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3583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3585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3586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3588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3589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3590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3591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3592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3593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3594</v>
      </c>
    </row>
    <row r="887" spans="1:4" x14ac:dyDescent="0.3">
      <c r="A887">
        <v>911</v>
      </c>
      <c r="B887" s="13">
        <v>45917</v>
      </c>
      <c r="C887" t="s">
        <v>3600</v>
      </c>
      <c r="D887" t="s">
        <v>3607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3608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3609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3611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3612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3613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3614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3626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3627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3628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3629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3631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3632</v>
      </c>
    </row>
    <row r="900" spans="1:4" x14ac:dyDescent="0.3">
      <c r="A900">
        <v>924</v>
      </c>
      <c r="B900" s="13">
        <v>45918</v>
      </c>
      <c r="C900" t="s">
        <v>3471</v>
      </c>
      <c r="D900" t="s">
        <v>3633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3634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3635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3636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3637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3638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3639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3646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3647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3648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3650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3658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3663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3664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3665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3666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3667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3668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3669</v>
      </c>
    </row>
    <row r="919" spans="1:4" x14ac:dyDescent="0.3">
      <c r="A919">
        <v>943</v>
      </c>
      <c r="B919" s="13">
        <v>45923</v>
      </c>
      <c r="C919" t="s">
        <v>1054</v>
      </c>
      <c r="D919" t="s">
        <v>3674</v>
      </c>
    </row>
    <row r="920" spans="1:4" x14ac:dyDescent="0.3">
      <c r="A920">
        <v>944</v>
      </c>
      <c r="B920" s="13">
        <v>45923</v>
      </c>
      <c r="C920" t="s">
        <v>1019</v>
      </c>
      <c r="D920" t="s">
        <v>3676</v>
      </c>
    </row>
    <row r="921" spans="1:4" x14ac:dyDescent="0.3">
      <c r="A921">
        <v>945</v>
      </c>
      <c r="B921" s="13">
        <v>45923</v>
      </c>
      <c r="C921" t="s">
        <v>1008</v>
      </c>
      <c r="D921" t="s">
        <v>3677</v>
      </c>
    </row>
    <row r="922" spans="1:4" x14ac:dyDescent="0.3">
      <c r="A922">
        <v>946</v>
      </c>
      <c r="B922" s="13">
        <v>45923</v>
      </c>
      <c r="C922" t="s">
        <v>1868</v>
      </c>
      <c r="D922" t="s">
        <v>3678</v>
      </c>
    </row>
    <row r="923" spans="1:4" x14ac:dyDescent="0.3">
      <c r="A923">
        <v>947</v>
      </c>
      <c r="B923" s="13">
        <v>45923</v>
      </c>
      <c r="C923" t="s">
        <v>1456</v>
      </c>
      <c r="D923" t="s">
        <v>3679</v>
      </c>
    </row>
    <row r="924" spans="1:4" x14ac:dyDescent="0.3">
      <c r="A924">
        <v>948</v>
      </c>
      <c r="B924" s="13">
        <v>45923</v>
      </c>
      <c r="C924" t="s">
        <v>1662</v>
      </c>
      <c r="D924" t="s">
        <v>3680</v>
      </c>
    </row>
    <row r="925" spans="1:4" x14ac:dyDescent="0.3">
      <c r="A925">
        <v>949</v>
      </c>
      <c r="B925" s="13">
        <v>45923</v>
      </c>
      <c r="C925" t="s">
        <v>1016</v>
      </c>
      <c r="D925" t="s">
        <v>3681</v>
      </c>
    </row>
    <row r="926" spans="1:4" x14ac:dyDescent="0.3">
      <c r="A926">
        <v>950</v>
      </c>
      <c r="B926" s="13">
        <v>45923</v>
      </c>
      <c r="C926" t="s">
        <v>1054</v>
      </c>
      <c r="D926" t="s">
        <v>3683</v>
      </c>
    </row>
    <row r="927" spans="1:4" x14ac:dyDescent="0.3">
      <c r="A927">
        <v>951</v>
      </c>
      <c r="B927" s="13">
        <v>45923</v>
      </c>
      <c r="C927" t="s">
        <v>1545</v>
      </c>
      <c r="D927" t="s">
        <v>3685</v>
      </c>
    </row>
    <row r="928" spans="1:4" x14ac:dyDescent="0.3">
      <c r="A928">
        <v>952</v>
      </c>
      <c r="B928" s="13">
        <v>45924</v>
      </c>
      <c r="C928" t="s">
        <v>1395</v>
      </c>
      <c r="D928" t="s">
        <v>3693</v>
      </c>
    </row>
    <row r="929" spans="1:4" x14ac:dyDescent="0.3">
      <c r="A929">
        <v>953</v>
      </c>
      <c r="B929" s="13">
        <v>45924</v>
      </c>
      <c r="C929" t="s">
        <v>988</v>
      </c>
      <c r="D929" t="s">
        <v>3695</v>
      </c>
    </row>
    <row r="930" spans="1:4" x14ac:dyDescent="0.3">
      <c r="A930">
        <v>954</v>
      </c>
      <c r="B930" s="13">
        <v>45924</v>
      </c>
      <c r="C930" t="s">
        <v>1403</v>
      </c>
      <c r="D930" t="s">
        <v>3696</v>
      </c>
    </row>
    <row r="931" spans="1:4" x14ac:dyDescent="0.3">
      <c r="A931">
        <v>955</v>
      </c>
      <c r="B931" s="13">
        <v>45924</v>
      </c>
      <c r="C931" t="s">
        <v>2756</v>
      </c>
      <c r="D931" t="s">
        <v>3697</v>
      </c>
    </row>
    <row r="932" spans="1:4" x14ac:dyDescent="0.3">
      <c r="A932">
        <v>956</v>
      </c>
      <c r="B932" s="13">
        <v>45924</v>
      </c>
      <c r="C932" t="s">
        <v>1453</v>
      </c>
      <c r="D932" t="s">
        <v>3698</v>
      </c>
    </row>
    <row r="933" spans="1:4" x14ac:dyDescent="0.3">
      <c r="A933">
        <v>957</v>
      </c>
      <c r="B933" s="13">
        <v>45925</v>
      </c>
      <c r="C933" t="s">
        <v>1403</v>
      </c>
      <c r="D933" t="s">
        <v>3748</v>
      </c>
    </row>
    <row r="934" spans="1:4" x14ac:dyDescent="0.3">
      <c r="A934">
        <v>958</v>
      </c>
      <c r="B934" s="13">
        <v>45925</v>
      </c>
      <c r="C934" t="s">
        <v>1545</v>
      </c>
      <c r="D934" t="s">
        <v>3749</v>
      </c>
    </row>
    <row r="935" spans="1:4" x14ac:dyDescent="0.3">
      <c r="A935">
        <v>959</v>
      </c>
      <c r="B935" s="13">
        <v>45925</v>
      </c>
      <c r="C935" t="s">
        <v>1471</v>
      </c>
      <c r="D935" t="s">
        <v>3750</v>
      </c>
    </row>
    <row r="936" spans="1:4" x14ac:dyDescent="0.3">
      <c r="A936">
        <v>960</v>
      </c>
      <c r="B936" s="13">
        <v>45925</v>
      </c>
      <c r="C936" t="s">
        <v>2418</v>
      </c>
      <c r="D936" t="s">
        <v>3751</v>
      </c>
    </row>
    <row r="937" spans="1:4" x14ac:dyDescent="0.3">
      <c r="A937">
        <v>961</v>
      </c>
      <c r="B937" s="13">
        <v>45925</v>
      </c>
      <c r="C937" t="s">
        <v>1382</v>
      </c>
      <c r="D937" t="s">
        <v>3752</v>
      </c>
    </row>
    <row r="938" spans="1:4" x14ac:dyDescent="0.3">
      <c r="A938">
        <v>962</v>
      </c>
      <c r="B938" s="13">
        <v>45925</v>
      </c>
      <c r="C938" t="s">
        <v>1382</v>
      </c>
      <c r="D938" t="s">
        <v>3753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187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1278</v>
      </c>
      <c r="C4" t="s">
        <v>3670</v>
      </c>
      <c r="E4" t="s">
        <v>3671</v>
      </c>
      <c r="F4" t="s">
        <v>963</v>
      </c>
      <c r="G4" t="s">
        <v>3672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1286</v>
      </c>
      <c r="C13" t="s">
        <v>1214</v>
      </c>
      <c r="E13" t="s">
        <v>3345</v>
      </c>
      <c r="F13" t="s">
        <v>32</v>
      </c>
      <c r="G13" t="s">
        <v>3335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</row>
    <row r="18" spans="1:13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1210000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7534999.6999999993</v>
      </c>
    </row>
    <row r="21" spans="1:13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1297</v>
      </c>
      <c r="C24" t="s">
        <v>3411</v>
      </c>
      <c r="E24" t="s">
        <v>3412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3545</v>
      </c>
    </row>
    <row r="25" spans="1:13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1800000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1302</v>
      </c>
      <c r="C33" t="s">
        <v>3346</v>
      </c>
      <c r="E33" t="s">
        <v>3347</v>
      </c>
      <c r="F33" t="s">
        <v>3348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3645</v>
      </c>
      <c r="J33" t="s">
        <v>3645</v>
      </c>
    </row>
    <row r="34" spans="1:10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9143000</v>
      </c>
    </row>
    <row r="38" spans="1:10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3504</v>
      </c>
    </row>
    <row r="39" spans="1:10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1100000</v>
      </c>
    </row>
    <row r="40" spans="1:10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3545</v>
      </c>
    </row>
    <row r="44" spans="1:10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320000</v>
      </c>
    </row>
    <row r="55" spans="1:9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3291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3595</v>
      </c>
    </row>
    <row r="69" spans="1:10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3595</v>
      </c>
    </row>
    <row r="73" spans="1:10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3360</v>
      </c>
      <c r="J73" t="s">
        <v>3385</v>
      </c>
    </row>
    <row r="74" spans="1:10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3930000</v>
      </c>
    </row>
    <row r="77" spans="1:10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1338</v>
      </c>
      <c r="C78" t="s">
        <v>3427</v>
      </c>
      <c r="E78" t="s">
        <v>3428</v>
      </c>
      <c r="F78" t="s">
        <v>963</v>
      </c>
      <c r="G78" t="s">
        <v>3429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</row>
    <row r="80" spans="1:10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1342</v>
      </c>
      <c r="C82" t="s">
        <v>3401</v>
      </c>
      <c r="E82" t="s">
        <v>3402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3422</v>
      </c>
    </row>
    <row r="83" spans="1:1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1844000.0999999996</v>
      </c>
    </row>
    <row r="93" spans="1:1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2949500</v>
      </c>
    </row>
    <row r="95" spans="1:1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3595</v>
      </c>
    </row>
    <row r="96" spans="1:11" x14ac:dyDescent="0.3">
      <c r="A96" s="47">
        <v>95</v>
      </c>
      <c r="B96" t="s">
        <v>1355</v>
      </c>
      <c r="C96" t="s">
        <v>3623</v>
      </c>
      <c r="E96" t="s">
        <v>3624</v>
      </c>
      <c r="F96" t="s">
        <v>963</v>
      </c>
      <c r="G96" t="s">
        <v>3625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</row>
    <row r="98" spans="1:9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3516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3595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3545</v>
      </c>
    </row>
    <row r="102" spans="1:9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0</v>
      </c>
      <c r="I110" s="52" t="s">
        <v>3673</v>
      </c>
    </row>
    <row r="111" spans="1:9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-1550000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3645</v>
      </c>
    </row>
    <row r="115" spans="1:10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0</v>
      </c>
      <c r="I116" s="52" t="s">
        <v>3504</v>
      </c>
    </row>
    <row r="117" spans="1:10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3545</v>
      </c>
    </row>
    <row r="133" spans="1:10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3324</v>
      </c>
    </row>
    <row r="135" spans="1:10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3645</v>
      </c>
      <c r="J136">
        <v>45</v>
      </c>
    </row>
    <row r="137" spans="1:10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900000</v>
      </c>
    </row>
    <row r="163" spans="1:9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9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9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3284</v>
      </c>
      <c r="C176" t="s">
        <v>3285</v>
      </c>
      <c r="E176" t="s">
        <v>3286</v>
      </c>
      <c r="F176" t="s">
        <v>1183</v>
      </c>
      <c r="G176" t="s">
        <v>3287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3309</v>
      </c>
      <c r="C177" t="s">
        <v>3310</v>
      </c>
      <c r="E177" t="s">
        <v>3311</v>
      </c>
      <c r="F177" t="s">
        <v>977</v>
      </c>
      <c r="G177" t="s">
        <v>3312</v>
      </c>
      <c r="H177" s="194">
        <f>SUMIF(주문_리스트!C:C,거래처!B177,주문_리스트!K:K)+SUMIF(주문_리스트!C:C,거래처!B177,주문_리스트!L:L)</f>
        <v>0</v>
      </c>
      <c r="K177" t="s">
        <v>3422</v>
      </c>
    </row>
    <row r="178" spans="1:11" x14ac:dyDescent="0.3">
      <c r="A178" s="47">
        <v>177</v>
      </c>
      <c r="B178" t="s">
        <v>3369</v>
      </c>
      <c r="C178" t="s">
        <v>3370</v>
      </c>
      <c r="E178" t="s">
        <v>3371</v>
      </c>
      <c r="F178" t="s">
        <v>3372</v>
      </c>
      <c r="G178" t="s">
        <v>3373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3423</v>
      </c>
      <c r="C179" t="s">
        <v>3424</v>
      </c>
      <c r="E179" t="s">
        <v>3425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3472</v>
      </c>
      <c r="C180" t="s">
        <v>3473</v>
      </c>
      <c r="E180" t="s">
        <v>3474</v>
      </c>
      <c r="F180" t="s">
        <v>3475</v>
      </c>
      <c r="G180" t="s">
        <v>3476</v>
      </c>
      <c r="H180" s="194">
        <f>SUMIF(주문_리스트!C:C,거래처!B180,주문_리스트!K:K)+SUMIF(주문_리스트!C:C,거래처!B180,주문_리스트!L:L)</f>
        <v>0</v>
      </c>
      <c r="J180" t="s">
        <v>3645</v>
      </c>
    </row>
    <row r="181" spans="1:11" x14ac:dyDescent="0.3">
      <c r="A181" s="47">
        <v>180</v>
      </c>
      <c r="B181" t="s">
        <v>3479</v>
      </c>
      <c r="C181" t="s">
        <v>3480</v>
      </c>
      <c r="E181" t="s">
        <v>3481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3483</v>
      </c>
      <c r="C182" t="s">
        <v>3484</v>
      </c>
      <c r="E182" t="s">
        <v>3485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3525</v>
      </c>
      <c r="C183" t="s">
        <v>3526</v>
      </c>
      <c r="E183" t="s">
        <v>3530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3545</v>
      </c>
    </row>
    <row r="184" spans="1:11" x14ac:dyDescent="0.3">
      <c r="A184" s="47">
        <v>184</v>
      </c>
      <c r="B184" t="s">
        <v>3567</v>
      </c>
      <c r="C184" t="s">
        <v>3568</v>
      </c>
      <c r="E184" t="s">
        <v>3569</v>
      </c>
      <c r="F184" t="s">
        <v>1183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A185" s="47">
        <v>185</v>
      </c>
      <c r="B185" t="s">
        <v>3601</v>
      </c>
      <c r="C185" t="s">
        <v>3602</v>
      </c>
      <c r="E185" t="s">
        <v>3603</v>
      </c>
      <c r="F185" t="s">
        <v>963</v>
      </c>
      <c r="G185" t="s">
        <v>3604</v>
      </c>
      <c r="H185" s="194">
        <f>SUMIF(주문_리스트!C:C,거래처!B185,주문_리스트!K:K)+SUMIF(주문_리스트!C:C,거래처!B185,주문_리스트!L:L)</f>
        <v>0</v>
      </c>
      <c r="J185" t="s">
        <v>3645</v>
      </c>
    </row>
    <row r="186" spans="1:11" x14ac:dyDescent="0.3">
      <c r="A186" s="47">
        <v>186</v>
      </c>
      <c r="B186" t="s">
        <v>3660</v>
      </c>
      <c r="C186" t="s">
        <v>3661</v>
      </c>
      <c r="E186" t="s">
        <v>3662</v>
      </c>
      <c r="F186" t="s">
        <v>1183</v>
      </c>
      <c r="G186" t="s">
        <v>3659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D2" sqref="D2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 t="s">
        <v>3694</v>
      </c>
      <c r="D15" s="288" t="s">
        <v>1658</v>
      </c>
      <c r="E15" s="288" t="s">
        <v>3694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-20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-90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-29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-29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3487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-10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-25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-43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-14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-29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-10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-10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-37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-37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-29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-36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-90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-10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-29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3605</v>
      </c>
      <c r="D142" s="288" t="s">
        <v>2697</v>
      </c>
      <c r="E142" s="288" t="s">
        <v>3605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2051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3606</v>
      </c>
      <c r="D154" s="288" t="s">
        <v>2528</v>
      </c>
      <c r="E154" s="288" t="s">
        <v>3606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3559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3596</v>
      </c>
      <c r="D218" s="288" t="s">
        <v>3597</v>
      </c>
      <c r="E218" s="288" t="s">
        <v>3596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3295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3296</v>
      </c>
      <c r="D221" s="288" t="s">
        <v>3293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3294</v>
      </c>
    </row>
    <row r="222" spans="1:9" x14ac:dyDescent="0.3">
      <c r="A222">
        <v>221</v>
      </c>
      <c r="B222">
        <v>4</v>
      </c>
      <c r="C222" s="288" t="s">
        <v>3302</v>
      </c>
      <c r="D222" s="288" t="s">
        <v>3303</v>
      </c>
      <c r="E222" s="288" t="s">
        <v>3302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3331</v>
      </c>
      <c r="D223" s="288" t="s">
        <v>3332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3405</v>
      </c>
      <c r="D224" s="288" t="s">
        <v>3406</v>
      </c>
      <c r="E224" s="288" t="s">
        <v>3405</v>
      </c>
      <c r="H224">
        <f>SUMIF(재고!D:D,제품!D224,재고!G:G)-SUMIF(주문_리스트!E:E,제품!D224,주문_리스트!H:H)</f>
        <v>-1</v>
      </c>
      <c r="I224" s="52" t="s">
        <v>3407</v>
      </c>
    </row>
    <row r="225" spans="1:8" x14ac:dyDescent="0.3">
      <c r="A225">
        <v>224</v>
      </c>
      <c r="B225">
        <v>1</v>
      </c>
      <c r="C225" s="288" t="s">
        <v>3435</v>
      </c>
      <c r="D225" s="288" t="s">
        <v>3436</v>
      </c>
      <c r="E225" s="288" t="s">
        <v>3435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3461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3498</v>
      </c>
      <c r="D227" s="288" t="s">
        <v>3499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3546</v>
      </c>
      <c r="D228" s="288" t="s">
        <v>3237</v>
      </c>
      <c r="E228" s="288" t="s">
        <v>3546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3574</v>
      </c>
      <c r="D229" s="288" t="s">
        <v>3575</v>
      </c>
      <c r="E229" s="288" t="s">
        <v>3574</v>
      </c>
    </row>
    <row r="230" spans="1:8" x14ac:dyDescent="0.3">
      <c r="A230">
        <v>230</v>
      </c>
      <c r="B230">
        <v>3</v>
      </c>
      <c r="C230" s="288" t="s">
        <v>3746</v>
      </c>
      <c r="D230" s="288" t="s">
        <v>3582</v>
      </c>
      <c r="E230" s="288" t="s">
        <v>3746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3598</v>
      </c>
      <c r="D231" s="288" t="s">
        <v>3599</v>
      </c>
      <c r="E231" s="288" t="s">
        <v>3598</v>
      </c>
      <c r="H231" s="52">
        <v>0</v>
      </c>
    </row>
    <row r="232" spans="1:8" x14ac:dyDescent="0.3">
      <c r="A232">
        <v>232</v>
      </c>
      <c r="B232">
        <v>3</v>
      </c>
      <c r="D232" s="288" t="s">
        <v>3610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3615</v>
      </c>
      <c r="D233" s="288" t="s">
        <v>3616</v>
      </c>
      <c r="E233" s="288" t="s">
        <v>3615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3618</v>
      </c>
      <c r="D234" s="288" t="s">
        <v>3619</v>
      </c>
      <c r="E234" s="288" t="s">
        <v>3618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3620</v>
      </c>
      <c r="D235" s="288" t="s">
        <v>3610</v>
      </c>
      <c r="E235" s="288" t="s">
        <v>3620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3621</v>
      </c>
      <c r="D236" s="288" t="s">
        <v>3622</v>
      </c>
      <c r="E236" s="288" t="s">
        <v>3621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3656</v>
      </c>
      <c r="D237" s="288" t="s">
        <v>3657</v>
      </c>
      <c r="E237" s="288" t="s">
        <v>3656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2" activePane="bottomLeft" state="frozen"/>
      <selection activeCell="N26" sqref="N26"/>
      <selection pane="bottomLeft" activeCell="E208" sqref="E208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8" t="s">
        <v>12</v>
      </c>
      <c r="C4" s="51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2025-09-25T09:18:33Z</cp:lastPrinted>
  <dcterms:created xsi:type="dcterms:W3CDTF">2020-10-02T11:51:16Z</dcterms:created>
  <dcterms:modified xsi:type="dcterms:W3CDTF">2025-09-30T23:36:57Z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