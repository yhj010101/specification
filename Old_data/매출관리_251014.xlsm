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BD65BA-5248-41FC-A57C-D887F7E91DE5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<sst xmlns="http://schemas.openxmlformats.org/spreadsheetml/2006/main" count="11711" uniqueCount="3941">
  <si>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</si>
  <si>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</si>
  <si>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</si>
  <si>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</si>
  <si>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</si>
  <si>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</si>
  <si>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</si>
  <si>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</si>
  <si>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</si>
  <si>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</si>
  <si>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</si>
  <si>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</si>
  <si>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</si>
  <si>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</si>
  <si>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</si>
  <si>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</si>
  <si>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</si>
  <si>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</si>
  <si>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</si>
  <si>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</si>
  <si>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</si>
  <si>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</si>
  <si>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</si>
  <si>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</si>
  <si>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</si>
  <si>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</si>
  <si>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</si>
  <si>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</si>
  <si>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</si>
  <si>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</si>
  <si>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</si>
  <si>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</si>
  <si>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</si>
  <si>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</si>
  <si>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</si>
  <si>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</si>
  <si>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</si>
  <si>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</si>
  <si>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</si>
  <si>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</si>
  <si>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</si>
  <si>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</si>
  <si>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</si>
  <si>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</si>
  <si>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</si>
  <si>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</si>
  <si>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</si>
  <si>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</si>
  <si>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</si>
  <si>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</si>
  <si>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</si>
  <si>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</si>
  <si>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</si>
  <si>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</si>
  <si>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</si>
  <si>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</si>
  <si>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</si>
  <si>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</si>
  <si>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</si>
  <si>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</si>
  <si>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</si>
  <si>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</si>
  <si>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</si>
  <si>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</si>
  <si>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</si>
  <si>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</si>
  <si>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</si>
  <si>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</si>
  <si>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</si>
  <si>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</si>
  <si>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</si>
  <si>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</si>
  <si>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</si>
  <si>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</si>
  <si>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</si>
  <si>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</si>
  <si>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</si>
  <si>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</si>
  <si>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</si>
  <si>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</si>
  <si>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</si>
  <si>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</si>
  <si>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</si>
  <si>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</si>
  <si>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</si>
  <si>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</si>
  <si>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</si>
  <si>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</si>
  <si>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</si>
  <si>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</si>
  <si>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</si>
  <si>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</si>
  <si>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</si>
  <si>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</si>
  <si>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</si>
  <si>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</si>
  <si>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</si>
  <si>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</si>
  <si>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</si>
  <si>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</si>
  <si>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</si>
  <si>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</si>
  <si>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</si>
  <si>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</si>
  <si>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</si>
  <si>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</si>
  <si>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</si>
  <si>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</si>
  <si>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</si>
  <si>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</si>
  <si>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</si>
  <si>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</si>
  <si>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</si>
  <si>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</si>
  <si>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</si>
  <si>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</si>
  <si>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</si>
  <si>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</si>
  <si>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</si>
  <si>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</si>
  <si>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</si>
  <si>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</si>
  <si>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</si>
  <si>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</si>
  <si>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</si>
  <si>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</si>
  <si>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</si>
  <si>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</si>
  <si>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</si>
  <si>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</si>
  <si>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</si>
  <si>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</si>
  <si>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</si>
  <si>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</si>
  <si>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</si>
  <si>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</si>
  <si>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</si>
  <si>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</si>
  <si>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</si>
  <si>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</si>
  <si>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</si>
  <si>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</si>
  <si>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</si>
  <si>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</si>
  <si>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</si>
  <si>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</si>
  <si>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</si>
  <si>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</si>
  <si>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</si>
  <si>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</si>
  <si>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</si>
  <si>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</si>
  <si>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</si>
  <si>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</si>
  <si>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</si>
  <si>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</si>
  <si>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</si>
  <si>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</si>
  <si>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</si>
  <si>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</si>
  <si>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</si>
  <si>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</si>
  <si>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</si>
  <si>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</si>
  <si>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</si>
  <si>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</si>
  <si>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</si>
  <si>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</si>
  <si>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</si>
  <si>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</si>
  <si>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</si>
  <si>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</si>
  <si>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</si>
  <si>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</si>
  <si>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</si>
  <si>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</si>
  <si>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</si>
  <si>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</si>
  <si>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</si>
  <si>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</si>
  <si>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</si>
  <si>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</si>
  <si>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</si>
  <si>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</si>
  <si>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</si>
  <si>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</si>
  <si>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</si>
  <si>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</si>
  <si>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</si>
  <si>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</si>
  <si>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</si>
  <si>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</si>
  <si>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</si>
  <si>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</si>
  <si>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</si>
  <si>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</si>
  <si>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</si>
  <si>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</si>
  <si>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</si>
  <si>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</si>
  <si>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</si>
  <si>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</si>
  <si>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</si>
  <si>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</si>
  <si>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</si>
  <si>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</si>
  <si>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</si>
  <si>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</si>
  <si>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</si>
  <si>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</si>
  <si>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</si>
  <si>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</si>
  <si>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</si>
  <si>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</si>
  <si>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</si>
  <si>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</si>
  <si>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</si>
  <si>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</si>
  <si>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</si>
  <si>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</si>
  <si>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</si>
  <si>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</si>
  <si>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</si>
  <si>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</si>
  <si>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</si>
  <si>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</si>
  <si>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</si>
  <si>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</si>
  <si>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</si>
  <si>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</si>
  <si>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</si>
  <si>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</si>
  <si>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</si>
  <si>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</si>
  <si>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</si>
  <si>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</si>
  <si>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</si>
  <si>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</si>
  <si>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</si>
  <si>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</si>
  <si>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</si>
  <si>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</si>
  <si>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</si>
  <si>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</si>
  <si>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</si>
  <si>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</si>
  <si>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</si>
  <si>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</si>
  <si>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</si>
  <si>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</si>
  <si>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</si>
  <si>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</si>
  <si>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</si>
  <si>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</si>
  <si>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</si>
  <si>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</si>
  <si>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</si>
  <si>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</si>
  <si>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</si>
  <si>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</si>
  <si>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</si>
  <si>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</si>
  <si>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</si>
  <si>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</si>
  <si>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</si>
  <si>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</si>
  <si>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</si>
  <si>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</si>
  <si>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</si>
  <si>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</si>
  <si>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</si>
  <si>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</si>
  <si>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</si>
  <si>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</si>
  <si>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</si>
  <si>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</si>
  <si>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</si>
  <si>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</si>
  <si>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</si>
  <si>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</si>
  <si>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</si>
  <si>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</si>
  <si>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</si>
  <si>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</si>
  <si>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</si>
  <si>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</si>
  <si>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</si>
  <si>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</si>
  <si>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</si>
  <si>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</si>
  <si>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</si>
  <si>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</si>
  <si>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</si>
  <si>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</si>
  <si>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</si>
  <si>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</si>
  <si>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</si>
  <si>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</si>
  <si>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</si>
  <si>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</si>
  <si>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</si>
  <si>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</si>
  <si>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</si>
  <si>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</si>
  <si>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</si>
  <si>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</si>
  <si>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</si>
  <si>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</si>
  <si>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</si>
  <si>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</si>
  <si>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</si>
  <si>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</si>
  <si>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</si>
  <si>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</si>
  <si>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</si>
  <si>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</si>
  <si>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</si>
  <si>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</si>
  <si>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</si>
  <si>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</si>
  <si>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</si>
  <si>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</si>
  <si>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</si>
  <si>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</si>
  <si>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</si>
  <si>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</si>
  <si>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</si>
  <si>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</si>
  <si>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</si>
  <si>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</si>
  <si>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</si>
  <si>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</si>
  <si>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</si>
  <si>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</si>
  <si>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</si>
  <si>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</si>
  <si>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</si>
  <si>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</si>
  <si>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</si>
  <si>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</si>
  <si>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</si>
  <si>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</si>
  <si>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</si>
  <si>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</si>
  <si>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</si>
  <si>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</si>
  <si>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</si>
  <si>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</si>
  <si>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</si>
  <si>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</si>
  <si>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</si>
  <si>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</si>
  <si>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</si>
  <si>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</si>
  <si>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</si>
  <si>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</si>
  <si>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</si>
  <si>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</si>
  <si>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</si>
  <si>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</si>
  <si>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</si>
  <si>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</si>
  <si>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</si>
  <si>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</si>
  <si>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</si>
  <si>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</si>
  <si>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</si>
  <si>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</si>
  <si>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</si>
  <si>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</si>
  <si>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</si>
  <si>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</si>
  <si>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</si>
  <si>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</si>
  <si>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</si>
  <si>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</si>
  <si>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</si>
  <si>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</si>
  <si>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</si>
  <si>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</si>
  <si>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</si>
  <si>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</si>
  <si>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</si>
  <si>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</si>
  <si>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</si>
  <si>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</si>
  <si>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</si>
  <si>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</si>
  <si>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</si>
  <si>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</si>
  <si>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</si>
  <si>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</si>
  <si>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</si>
  <si>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</si>
  <si>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</si>
  <si>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</si>
  <si>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</si>
  <si>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</si>
  <si>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</si>
  <si>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</si>
  <si>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</si>
  <si>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</si>
  <si>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</si>
  <si>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</si>
  <si>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</si>
  <si>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</si>
  <si>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</si>
  <si>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</si>
  <si>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</si>
  <si>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</si>
  <si>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</si>
  <si>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</si>
  <si>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</si>
  <si>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</si>
  <si>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</si>
  <si>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</si>
  <si>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</si>
  <si>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</si>
  <si>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</si>
  <si>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</si>
  <si>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</si>
  <si>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</si>
  <si>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</si>
  <si>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</si>
  <si>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</si>
  <si>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</si>
  <si>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</si>
  <si>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</si>
  <si>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</si>
  <si>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</si>
  <si>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</si>
  <si>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</si>
  <si>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</si>
  <si>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</si>
  <si>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</si>
  <si>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</si>
  <si>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</si>
  <si>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</si>
  <si>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</si>
  <si>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</si>
  <si>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</si>
  <si>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</si>
  <si>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</si>
  <si>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</si>
  <si>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</si>
  <si>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</si>
  <si>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</si>
  <si>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</si>
  <si>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</si>
  <si>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</si>
  <si>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</si>
  <si>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</si>
  <si>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</si>
  <si>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</si>
  <si>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</si>
  <si>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</si>
  <si>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</si>
  <si>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</si>
  <si>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</si>
  <si>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</si>
  <si>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</si>
  <si>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</si>
  <si>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</si>
  <si>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</si>
  <si>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</si>
  <si>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</si>
  <si>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</si>
  <si>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</si>
  <si>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</si>
  <si>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</si>
  <si>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</si>
  <si>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</si>
  <si>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</si>
  <si>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</si>
  <si>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</si>
  <si>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</si>
  <si>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</si>
  <si>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</si>
  <si>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</si>
  <si>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</si>
  <si>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</si>
  <si>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</si>
  <si>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</si>
  <si>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</si>
  <si>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</si>
  <si>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</si>
  <si>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</si>
  <si>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</si>
  <si>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</si>
  <si>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</si>
  <si>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</si>
  <si>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</si>
  <si>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</si>
  <si>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</si>
  <si>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</si>
  <si>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</si>
  <si>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</si>
  <si>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</si>
  <si>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</si>
  <si>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</si>
  <si>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</si>
  <si>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</si>
  <si>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</si>
  <si>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</si>
  <si>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</si>
  <si>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</si>
  <si>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</si>
  <si>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</si>
  <si>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</si>
  <si>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</si>
  <si>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</si>
  <si>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</si>
  <si>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</si>
  <si>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</si>
  <si>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</si>
  <si>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</si>
  <si>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</si>
  <si>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</si>
  <si>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</si>
  <si>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</si>
  <si>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</si>
  <si>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</si>
  <si>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</si>
  <si>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</si>
  <si>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</si>
  <si>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</si>
  <si>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</si>
  <si>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</si>
  <si>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</si>
  <si>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</si>
  <si>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</si>
  <si>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</si>
  <si>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</si>
  <si>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</si>
  <si>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</si>
  <si>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</si>
  <si>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</si>
  <si>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</si>
  <si>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</si>
  <si>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</si>
  <si>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</si>
  <si>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</si>
  <si>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</si>
  <si>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</si>
  <si>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</si>
  <si>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</si>
  <si>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</si>
  <si>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</si>
  <si>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</si>
  <si>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</si>
  <si>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</si>
  <si>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</si>
  <si>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</si>
  <si>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</si>
  <si>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</si>
  <si>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</si>
  <si>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</si>
  <si>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</si>
  <si>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</si>
  <si>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</si>
  <si>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</si>
  <si>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</si>
  <si>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</si>
  <si>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</si>
  <si>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</si>
  <si>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</si>
  <si>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</si>
  <si>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</si>
  <si>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</si>
  <si>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</si>
  <si>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</si>
  <si>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</si>
  <si>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</si>
  <si>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</si>
  <si>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</si>
  <si>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</si>
  <si>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</si>
  <si>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</si>
  <si>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</si>
  <si>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</si>
  <si>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</si>
  <si>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</si>
  <si>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</si>
  <si>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</si>
  <si>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</si>
  <si>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</si>
  <si>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</si>
  <si>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</si>
  <si>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</si>
  <si>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</si>
  <si>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</si>
  <si>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</si>
  <si>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</si>
  <si>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</si>
  <si>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</si>
  <si>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</si>
  <si>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</si>
  <si>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</si>
  <si>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</si>
  <si>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</si>
  <si>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</si>
  <si>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</si>
  <si>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</si>
  <si>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</si>
  <si>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</si>
  <si>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</si>
  <si>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</si>
  <si>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</si>
  <si>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</si>
  <si>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</si>
  <si>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</si>
  <si>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</si>
  <si>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</si>
  <si>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</si>
  <si>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</si>
  <si>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</si>
  <si>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</si>
  <si>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</si>
  <si>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</si>
  <si>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</si>
  <si>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</si>
  <si>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</si>
  <si>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</si>
  <si>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</si>
  <si>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</si>
  <si>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</si>
  <si>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</si>
  <si>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</si>
  <si>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</si>
  <si>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</si>
  <si>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</si>
  <si>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</si>
  <si>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</si>
  <si>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</si>
  <si>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</si>
  <si>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</si>
  <si>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</si>
  <si>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</si>
  <si>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</si>
  <si>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</si>
  <si>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</si>
  <si>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</si>
  <si>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</si>
  <si>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</si>
  <si>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</si>
  <si>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</si>
  <si>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</si>
  <si>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</si>
  <si>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</si>
  <si>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</si>
  <si>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</si>
  <si>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</si>
  <si>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</si>
  <si>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</si>
  <si>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</si>
  <si>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</si>
  <si>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</si>
  <si>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</si>
  <si>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</si>
  <si>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</si>
  <si>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</si>
  <si>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</si>
  <si>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</si>
  <si>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</si>
  <si>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</si>
  <si>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</si>
  <si>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</si>
  <si>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</si>
  <si>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</si>
  <si>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</si>
  <si>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</si>
  <si>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</si>
  <si>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</si>
  <si>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</si>
  <si>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</si>
  <si>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</si>
  <si>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</si>
  <si>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</si>
  <si>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</si>
  <si>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</si>
  <si>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</si>
  <si>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</si>
  <si>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</si>
  <si>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</si>
  <si>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</si>
  <si>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</si>
  <si>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</si>
  <si>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</si>
  <si>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</si>
  <si>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</si>
  <si>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</si>
  <si>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</si>
  <si>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</si>
  <si>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</si>
  <si>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</si>
  <si>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</si>
  <si>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</si>
  <si>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</si>
  <si>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</si>
  <si>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</si>
  <si>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</si>
  <si>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</si>
  <si>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</si>
  <si>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</si>
  <si>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</si>
  <si>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</si>
  <si>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</si>
  <si>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</si>
  <si>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</si>
  <si>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</si>
  <si>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</si>
  <si>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</si>
  <si>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</si>
  <si>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</si>
  <si>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</si>
  <si>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</si>
  <si>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</si>
  <si>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</si>
  <si>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</si>
  <si>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</si>
  <si>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</si>
  <si>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</si>
  <si>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</si>
  <si>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</si>
  <si>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</si>
  <si>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</si>
  <si>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</si>
  <si>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</si>
  <si>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</si>
  <si>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</si>
  <si>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</si>
  <si>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</si>
  <si>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</si>
  <si>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</si>
  <si>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</si>
  <si>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</si>
  <si>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</si>
  <si>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</si>
  <si>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</si>
  <si>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</si>
  <si>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</si>
  <si>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</si>
  <si>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</si>
  <si>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</si>
  <si>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</si>
  <si>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</si>
  <si>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</si>
  <si>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</si>
  <si>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</si>
  <si>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</si>
  <si>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</si>
  <si>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</si>
  <si>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</si>
  <si>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</si>
  <si>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</si>
  <si>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</si>
  <si>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</si>
  <si>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</si>
  <si>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</si>
  <si>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</si>
  <si>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</si>
  <si>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</si>
  <si>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</si>
  <si>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</si>
  <si>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</si>
  <si>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</si>
  <si>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</si>
  <si>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</si>
  <si>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</si>
  <si>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</si>
  <si>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</si>
  <si>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</si>
  <si>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</si>
  <si>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</si>
  <si>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</si>
  <si>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</si>
  <si>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</si>
  <si>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</si>
  <si>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</si>
  <si>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</si>
  <si>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</si>
  <si>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</si>
  <si>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</si>
  <si>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</si>
  <si>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</si>
  <si>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</si>
  <si>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</si>
  <si>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</si>
  <si>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</si>
  <si>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</si>
  <si>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</si>
  <si>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</si>
  <si>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</si>
  <si>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</si>
  <si>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</si>
  <si>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</si>
  <si>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</si>
  <si>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</si>
  <si>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</si>
  <si>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</si>
  <si>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</si>
  <si>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</si>
  <si>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</si>
  <si>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</si>
  <si>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</si>
  <si>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</si>
  <si>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</si>
  <si>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</si>
  <si>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</si>
  <si>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</si>
  <si>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</si>
  <si>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</si>
  <si>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</si>
  <si>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</si>
  <si>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</si>
  <si>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</si>
  <si>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</si>
  <si>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</si>
  <si>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</si>
  <si>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</si>
  <si>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</si>
  <si>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</si>
  <si>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</si>
  <si>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</si>
  <si>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</si>
  <si>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</si>
  <si>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</si>
  <si>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</si>
  <si>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</si>
  <si>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</si>
  <si>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</si>
  <si>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</si>
  <si>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</si>
  <si>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</si>
  <si>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</si>
  <si>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</si>
  <si>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</si>
  <si>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</si>
  <si>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</si>
  <si>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</si>
  <si>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</si>
  <si>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</si>
  <si>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</si>
  <si>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</si>
  <si>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</si>
  <si>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</si>
  <si>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</si>
  <si>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</si>
  <si>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</si>
  <si>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</si>
  <si>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</si>
  <si>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</si>
  <si>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</si>
  <si>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</si>
  <si>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</si>
  <si>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</si>
  <si>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</si>
  <si>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</si>
  <si>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</si>
  <si>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</si>
  <si>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</si>
  <si>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</si>
  <si>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</si>
  <si>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</si>
  <si>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</si>
  <si>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</si>
  <si>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</si>
  <si>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</si>
  <si>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</si>
  <si>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</si>
  <si>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</si>
  <si>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</si>
  <si>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</si>
  <si>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</si>
  <si>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</si>
  <si>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</si>
  <si>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</si>
  <si>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</si>
  <si>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</si>
  <si>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</si>
  <si>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</si>
  <si>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</si>
  <si>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</si>
  <si>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</si>
  <si>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</si>
  <si>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</si>
  <si>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</si>
  <si>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</si>
  <si>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</si>
  <si>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</si>
  <si>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</si>
  <si>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</si>
  <si>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</si>
  <si>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</si>
  <si>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</si>
  <si>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</si>
  <si>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</si>
  <si>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</si>
  <si>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</si>
  <si>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</si>
  <si>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</si>
  <si>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</si>
  <si>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</si>
  <si>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</si>
  <si>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</si>
  <si>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</si>
  <si>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</si>
  <si>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</si>
  <si>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</si>
  <si>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</si>
  <si>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</si>
  <si>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</si>
  <si>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</si>
  <si>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</si>
  <si>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</si>
  <si>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</si>
  <si>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</si>
  <si>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</si>
  <si>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</si>
  <si>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</si>
  <si>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</si>
  <si>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</si>
  <si>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</si>
  <si>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</si>
  <si>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</si>
  <si>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</si>
  <si>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</si>
  <si>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</si>
  <si>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</si>
  <si>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</si>
  <si>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</si>
  <si>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</si>
  <si>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</si>
  <si>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</si>
  <si>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</si>
  <si>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</si>
  <si>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</si>
  <si>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</si>
  <si>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</si>
  <si>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</si>
  <si>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</si>
  <si>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</si>
  <si>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</si>
  <si>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</si>
  <si>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</si>
  <si>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</si>
  <si>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</si>
  <si>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</si>
  <si>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</si>
  <si>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</si>
  <si>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</si>
  <si>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</si>
  <si>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</si>
  <si>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</si>
  <si>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</si>
  <si>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</si>
  <si>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</si>
  <si>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</si>
  <si>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</si>
  <si>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</si>
  <si>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</si>
  <si>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</si>
  <si>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</si>
  <si>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</si>
  <si>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</si>
  <si>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</si>
  <si>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</si>
  <si>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</si>
  <si>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</si>
  <si>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</si>
  <si>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</si>
  <si>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</si>
  <si>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</si>
  <si>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</si>
  <si>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</si>
  <si>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</si>
  <si>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</si>
  <si>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</si>
  <si>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</si>
  <si>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</si>
  <si>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</si>
  <si>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</si>
  <si>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</si>
  <si>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</si>
  <si>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</si>
  <si>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</si>
  <si>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</si>
  <si>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</si>
  <si>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</si>
  <si>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</si>
  <si>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</si>
  <si>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</si>
  <si>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</si>
  <si>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</si>
  <si>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</si>
  <si>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</si>
  <si>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</si>
  <si>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</si>
  <si>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</si>
  <si>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</si>
  <si>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</si>
  <si>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</si>
  <si>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</si>
  <si>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</si>
  <si>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</si>
  <si>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</si>
  <si>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</si>
  <si>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</si>
  <si>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</si>
  <si>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</si>
  <si>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</si>
  <si>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</si>
  <si>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</si>
  <si>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</si>
  <si>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</si>
  <si>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</si>
  <si>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</si>
  <si>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</si>
  <si>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</si>
  <si>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</si>
  <si>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</si>
  <si>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</si>
  <si>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</si>
  <si>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</si>
  <si>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</si>
  <si>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</si>
  <si>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</si>
  <si>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</si>
  <si>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</si>
  <si>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</si>
  <si>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</si>
  <si>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</si>
  <si>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</si>
  <si>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</si>
  <si>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</si>
  <si>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</si>
  <si>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</si>
  <si>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</si>
  <si>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</si>
  <si>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</si>
  <si>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</si>
  <si>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</si>
  <si>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</si>
  <si>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</si>
  <si>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</si>
  <si>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</si>
  <si>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</si>
  <si>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</si>
  <si>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</si>
  <si>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</si>
  <si>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</si>
  <si>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</si>
  <si>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</si>
  <si>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</si>
  <si>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</si>
  <si>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</si>
  <si>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</si>
  <si>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</si>
  <si>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</si>
  <si>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</si>
  <si>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</si>
  <si>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</si>
  <si>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</si>
  <si>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</si>
  <si>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</si>
  <si>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</si>
  <si>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</si>
  <si>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</si>
  <si>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</si>
  <si>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</si>
  <si>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</si>
  <si>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</si>
  <si>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</si>
  <si>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</si>
  <si>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</si>
  <si>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</si>
  <si>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</si>
  <si>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</si>
  <si>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</si>
  <si>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</si>
  <si>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</si>
  <si>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</si>
  <si>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</si>
  <si>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</si>
  <si>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</si>
  <si>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</si>
  <si>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</si>
  <si>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</si>
  <si>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</si>
  <si>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</si>
  <si>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</si>
  <si>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</si>
  <si>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</si>
  <si>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</si>
  <si>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</si>
  <si>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</si>
  <si>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</si>
  <si>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</si>
  <si>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</si>
  <si>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</si>
  <si>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</si>
  <si>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</si>
  <si>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</si>
  <si>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</si>
  <si>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</si>
  <si>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</si>
  <si>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</si>
  <si>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</si>
  <si>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</si>
  <si>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</si>
  <si>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</si>
  <si>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</si>
  <si>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</si>
  <si>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</si>
  <si>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</si>
  <si>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</si>
  <si>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</si>
  <si>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</si>
  <si>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</si>
  <si>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</si>
  <si>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</si>
  <si>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</si>
  <si>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</si>
  <si>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</si>
  <si>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</si>
  <si>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</si>
  <si>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</si>
  <si>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</si>
  <si>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</si>
  <si>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</si>
  <si>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</si>
  <si>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</si>
  <si>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</si>
  <si>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</si>
  <si>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</si>
  <si>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</si>
  <si>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</si>
  <si>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</si>
  <si>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</si>
  <si>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</si>
  <si>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</si>
  <si>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</si>
  <si>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</si>
  <si>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</si>
  <si>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</si>
  <si>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</si>
  <si>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</si>
  <si>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</si>
  <si>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</si>
  <si>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</si>
  <si>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</si>
  <si>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</si>
  <si>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</si>
  <si>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</si>
  <si>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</si>
  <si>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</si>
  <si>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</si>
  <si>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</si>
  <si>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</si>
  <si>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</si>
  <si>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</si>
  <si>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</si>
  <si>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</si>
  <si>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</si>
  <si>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</si>
  <si>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</si>
  <si>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</si>
  <si>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</si>
  <si>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</si>
  <si>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</si>
  <si>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</si>
  <si>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</si>
  <si>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</si>
  <si>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</si>
  <si>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</si>
  <si>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</si>
  <si>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</si>
  <si>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</si>
  <si>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</si>
  <si>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</si>
  <si>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</si>
  <si>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</si>
  <si>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</si>
  <si>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</si>
  <si>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</si>
  <si>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</si>
  <si>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</si>
  <si>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</si>
  <si>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</si>
  <si>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</si>
  <si>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</si>
  <si>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</si>
  <si>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</si>
  <si>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</si>
  <si>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</si>
  <si>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</si>
  <si>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</si>
  <si>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</si>
  <si>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</si>
  <si>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</si>
  <si>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</si>
  <si>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</si>
  <si>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</si>
  <si>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</si>
  <si>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</si>
  <si>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</si>
  <si>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</si>
  <si>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</si>
  <si>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</si>
  <si>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</si>
  <si>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</si>
  <si>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</si>
  <si>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</si>
  <si>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</si>
  <si>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</si>
  <si>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</si>
  <si>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</si>
  <si>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</si>
  <si>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</si>
  <si>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</si>
  <si>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</si>
  <si>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</si>
  <si>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</si>
  <si>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</si>
  <si>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</si>
  <si>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</si>
  <si>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</si>
  <si>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</si>
  <si>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</si>
  <si>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</si>
  <si>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</si>
  <si>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</si>
  <si>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</si>
  <si>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</si>
  <si>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</si>
  <si>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</si>
  <si>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</si>
  <si>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</si>
  <si>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</si>
  <si>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</si>
  <si>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</si>
  <si>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</si>
  <si>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</si>
  <si>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</si>
  <si>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</si>
  <si>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</si>
  <si>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</si>
  <si>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</si>
  <si>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</si>
  <si>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</si>
  <si>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</si>
  <si>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</si>
  <si>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</si>
  <si>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</si>
  <si>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</si>
  <si>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</si>
  <si>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</si>
  <si>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</si>
  <si>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</si>
  <si>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</si>
  <si>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</si>
  <si>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</si>
  <si>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</si>
  <si>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</si>
  <si>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</si>
  <si>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</si>
  <si>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</si>
  <si>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</si>
  <si>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</si>
  <si>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</si>
  <si>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</si>
  <si>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</si>
  <si>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</si>
  <si>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</si>
  <si>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</si>
  <si>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</si>
  <si>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</si>
  <si>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</si>
  <si>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</si>
  <si>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</si>
  <si>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</si>
  <si>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</si>
  <si>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</si>
  <si>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</si>
  <si>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</si>
  <si>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</si>
  <si>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</si>
  <si>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</si>
  <si>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</si>
  <si>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</si>
  <si>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</si>
  <si>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</si>
  <si>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</si>
  <si>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</si>
  <si>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</si>
  <si>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</si>
  <si>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</si>
  <si>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</si>
  <si>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</si>
  <si>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</si>
  <si>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</si>
  <si>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</si>
  <si>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</si>
  <si>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</si>
  <si>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</si>
  <si>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</si>
  <si>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</si>
  <si>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</si>
  <si>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</si>
  <si>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</si>
  <si>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</si>
  <si>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</si>
  <si>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</si>
  <si>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</si>
  <si>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</si>
  <si>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</si>
  <si>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</si>
  <si>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</si>
  <si>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</si>
  <si>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</si>
  <si>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</si>
  <si>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</si>
  <si>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</si>
  <si>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</si>
  <si>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</si>
  <si>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</si>
  <si>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</si>
  <si>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</si>
  <si>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</si>
  <si>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</si>
  <si>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</si>
  <si>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</si>
  <si>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</si>
  <si>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</si>
  <si>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</si>
  <si>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</si>
  <si>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</si>
  <si>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</si>
  <si>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</si>
  <si>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</si>
  <si>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</si>
  <si>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</si>
  <si>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</si>
  <si>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</si>
  <si>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</si>
  <si>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</si>
  <si>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</si>
  <si>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</si>
  <si>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</si>
  <si>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</si>
  <si>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</si>
  <si>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</si>
  <si>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</si>
  <si>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</si>
  <si>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</si>
  <si>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</si>
  <si>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</si>
  <si>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</si>
  <si>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</si>
  <si>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</si>
  <si>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</si>
  <si>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</si>
  <si>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</si>
  <si>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</si>
  <si>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</si>
  <si>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</si>
  <si>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</si>
  <si>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</si>
  <si>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</si>
  <si>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</si>
  <si>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</si>
  <si>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</si>
  <si>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</si>
  <si>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</si>
  <si>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</si>
  <si>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</si>
  <si>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</si>
  <si>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</si>
  <si>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</si>
  <si>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</si>
  <si>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</si>
  <si>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</si>
  <si>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</si>
  <si>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</si>
  <si>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</si>
  <si>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</si>
  <si>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</si>
  <si>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</si>
  <si>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</si>
  <si>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</si>
  <si>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</si>
  <si>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</si>
  <si>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</si>
  <si>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</si>
  <si>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</si>
  <si>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</si>
  <si>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</si>
  <si>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</si>
  <si>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</si>
  <si>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</si>
  <si>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</si>
  <si>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</si>
  <si>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</si>
  <si>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</si>
  <si>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</si>
  <si>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</si>
  <si>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</si>
  <si>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</si>
  <si>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</si>
  <si>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</si>
  <si>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</si>
  <si>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</si>
  <si>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</si>
  <si>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</si>
  <si>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</si>
  <si>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</si>
  <si>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</si>
  <si>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</si>
  <si>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</si>
  <si>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</si>
  <si>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</si>
  <si>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</si>
  <si>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</si>
  <si>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</si>
  <si>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</si>
  <si>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</si>
  <si>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</si>
  <si>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</si>
  <si>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</si>
  <si>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</si>
  <si>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</si>
  <si>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</si>
  <si>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</si>
  <si>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</si>
  <si>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</si>
  <si>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</si>
  <si>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</si>
  <si>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</si>
  <si>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</si>
  <si>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</si>
  <si>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</si>
  <si>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</si>
  <si>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</si>
  <si>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</si>
  <si>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</si>
  <si>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</si>
  <si>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</si>
  <si>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</si>
  <si>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</si>
  <si>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</si>
  <si>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</si>
  <si>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</si>
  <si>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</si>
  <si>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</si>
  <si>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</si>
  <si>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</si>
  <si>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</si>
  <si>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</si>
  <si>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</si>
  <si>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</si>
  <si>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</si>
  <si>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</si>
  <si>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</si>
  <si>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</si>
  <si>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</si>
  <si>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</si>
  <si>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</si>
  <si>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</si>
  <si>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</si>
  <si>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</si>
  <si>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</si>
  <si>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</si>
  <si>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</si>
  <si>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</si>
  <si>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</si>
  <si>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</si>
  <si>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</si>
  <si>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</si>
  <si>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</si>
  <si>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</si>
  <si>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</si>
  <si>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</si>
  <si>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</si>
  <si>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</si>
  <si>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</si>
  <si>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</si>
  <si>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</si>
  <si>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</si>
  <si>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</si>
  <si>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</si>
  <si>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</si>
  <si>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</si>
  <si>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</si>
  <si>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</si>
  <si>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</si>
  <si>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</si>
  <si>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</si>
  <si>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</si>
  <si>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</si>
  <si>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</si>
  <si>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</si>
  <si>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</si>
  <si>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</si>
  <si>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</si>
  <si>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</si>
  <si>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</si>
  <si>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</si>
  <si>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</si>
  <si>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</si>
  <si>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</si>
  <si>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</si>
  <si>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</si>
  <si>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</si>
  <si>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</si>
  <si>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</si>
  <si>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</si>
  <si>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</si>
  <si>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</si>
  <si>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</si>
  <si>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</si>
  <si>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</si>
  <si>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</si>
  <si>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</si>
  <si>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</si>
  <si>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</si>
  <si>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</si>
  <si>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</si>
  <si>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</si>
  <si>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</si>
  <si>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</si>
  <si>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</si>
  <si>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</si>
  <si>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</si>
  <si>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</si>
  <si>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</si>
  <si>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</si>
  <si>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</si>
  <si>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</si>
  <si>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</si>
  <si>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</si>
  <si>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</si>
  <si>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</si>
  <si>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</si>
  <si>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</si>
  <si>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</si>
  <si>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</si>
  <si>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</si>
  <si>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</si>
  <si>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</si>
  <si>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</si>
  <si>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</si>
  <si>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</si>
  <si>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</si>
  <si>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</si>
  <si>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</si>
  <si>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</si>
  <si>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</si>
  <si>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</si>
  <si>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</si>
  <si>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</si>
  <si>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</si>
  <si>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</si>
  <si>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</si>
  <si>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</si>
  <si>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</si>
  <si>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</si>
  <si>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</si>
  <si>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</si>
  <si>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</si>
  <si>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</si>
  <si>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</si>
  <si>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</si>
  <si>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</si>
  <si>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</si>
  <si>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</si>
  <si>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</si>
  <si>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</si>
  <si>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</si>
  <si>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</si>
  <si>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</si>
  <si>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</si>
  <si>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</si>
  <si>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</si>
  <si>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</si>
  <si>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</si>
  <si>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</si>
  <si>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</si>
  <si>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</si>
  <si>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</si>
  <si>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</si>
  <si>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</si>
  <si>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</si>
  <si>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</si>
  <si>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</si>
  <si>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</si>
  <si>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</si>
  <si>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</si>
  <si>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</si>
  <si>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</si>
  <si>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</si>
  <si>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</si>
  <si>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</si>
  <si>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</si>
  <si>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</si>
  <si>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</si>
  <si>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</si>
  <si>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</si>
  <si>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</si>
  <si>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</si>
  <si>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</si>
  <si>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</si>
  <si>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</si>
  <si>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</si>
  <si>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</si>
  <si>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</si>
  <si>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</si>
  <si>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</si>
  <si>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</si>
  <si>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</si>
  <si>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</si>
  <si>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</si>
  <si>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</si>
  <si>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</si>
  <si>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</si>
  <si>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</si>
  <si>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</si>
  <si>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</si>
  <si>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</si>
  <si>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</si>
  <si>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</si>
  <si>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</si>
  <si>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</si>
  <si>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</si>
  <si>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</si>
  <si>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</si>
  <si>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</si>
  <si>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</si>
  <si>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</si>
  <si>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</si>
  <si>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</si>
  <si>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</si>
  <si>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</si>
  <si>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</si>
  <si>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</si>
  <si>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</si>
  <si>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</si>
  <si>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</si>
  <si>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</si>
  <si>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</si>
  <si>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</si>
  <si>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</si>
  <si>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</si>
  <si>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</si>
  <si>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</si>
  <si>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</si>
  <si>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</si>
  <si>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</si>
  <si>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</si>
  <si>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</si>
  <si>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</si>
  <si>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</si>
  <si>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</si>
  <si>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</si>
  <si>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</si>
  <si>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</si>
  <si>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</si>
  <si>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</si>
  <si>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</si>
  <si>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</si>
  <si>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</si>
  <si>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</si>
  <si>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</si>
  <si>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</si>
  <si>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</si>
  <si>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</si>
  <si>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</si>
  <si>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</si>
  <si>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</si>
  <si>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</si>
  <si>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</si>
  <si>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</si>
  <si>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</si>
  <si>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</si>
  <si>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</si>
  <si>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</si>
  <si>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</si>
  <si>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</si>
  <si>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</si>
  <si>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</si>
  <si>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</si>
  <si>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</si>
  <si>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</si>
  <si>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</si>
  <si>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</si>
  <si>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</si>
  <si>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</si>
  <si>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</si>
  <si>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</si>
  <si>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</si>
  <si>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</si>
  <si>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</si>
  <si>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</si>
  <si>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</si>
  <si>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</si>
  <si>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</si>
  <si>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</si>
  <si>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</si>
  <si>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</si>
  <si>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</si>
  <si>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</si>
  <si>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</si>
  <si>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</si>
  <si>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</si>
  <si>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</si>
  <si>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</si>
  <si>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</si>
  <si>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</si>
  <si>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</si>
  <si>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</si>
  <si>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</si>
  <si>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</si>
  <si>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</si>
  <si>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</si>
  <si>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</si>
  <si>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</si>
  <si>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</si>
  <si>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</si>
  <si>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</si>
  <si>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</si>
  <si>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</si>
  <si>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</si>
  <si>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</si>
  <si>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</si>
  <si>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</si>
  <si>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</si>
  <si>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</si>
  <si>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</si>
  <si>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</si>
  <si>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</si>
  <si>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</si>
  <si>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</si>
  <si>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</si>
  <si>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</si>
  <si>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</si>
  <si>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</si>
  <si>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</si>
  <si>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</si>
  <si>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</si>
  <si>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</si>
  <si>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</si>
  <si>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</si>
  <si>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</si>
  <si>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</si>
  <si>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</si>
  <si>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</si>
  <si>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</si>
  <si>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</si>
  <si>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</si>
  <si>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</si>
  <si>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</si>
  <si>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</si>
  <si>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</si>
  <si>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</si>
  <si>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</si>
  <si>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</si>
  <si>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</si>
  <si>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</si>
  <si>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</si>
  <si>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</si>
  <si>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</si>
  <si>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</si>
  <si>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</si>
  <si>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</si>
  <si>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</si>
  <si>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</si>
  <si>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</si>
  <si>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</si>
  <si>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</si>
  <si>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</si>
  <si>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</si>
  <si>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</si>
  <si>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</si>
  <si>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</si>
  <si>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</si>
  <si>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</si>
  <si>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</si>
  <si>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</si>
  <si>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</si>
  <si>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</si>
  <si>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</si>
  <si>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</si>
  <si>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</si>
  <si>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</si>
  <si>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</si>
  <si>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</si>
  <si>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</si>
  <si>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</si>
  <si>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</si>
  <si>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</si>
  <si>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</si>
  <si>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</si>
  <si>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</si>
  <si>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</si>
  <si>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</si>
  <si>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</si>
  <si>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</si>
  <si>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</si>
  <si>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</si>
  <si>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</si>
  <si>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</si>
  <si>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</si>
  <si>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</si>
  <si>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</si>
  <si>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</si>
  <si>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</si>
  <si>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</si>
  <si>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</si>
  <si>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</si>
  <si>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</si>
  <si>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</si>
  <si>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</si>
  <si>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</si>
  <si>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</si>
  <si>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</si>
  <si>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</si>
  <si>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</si>
  <si>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</si>
  <si>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</si>
  <si>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</si>
  <si>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</si>
  <si>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</si>
  <si>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</si>
  <si>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</si>
  <si>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</si>
  <si>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</si>
  <si>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</si>
  <si>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</si>
  <si>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</si>
  <si>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</si>
  <si>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</si>
  <si>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</si>
  <si>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</si>
  <si>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</si>
  <si>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</si>
  <si>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</si>
  <si>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</si>
  <si>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</si>
  <si>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</si>
  <si>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</si>
  <si>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</si>
  <si>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</si>
  <si>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</si>
  <si>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</si>
  <si>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</si>
  <si>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</si>
  <si>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</si>
  <si>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</si>
  <si>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</si>
  <si>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</si>
  <si>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</si>
  <si>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</si>
  <si>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</si>
  <si>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</si>
  <si>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</si>
  <si>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</si>
  <si>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</si>
  <si>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</si>
  <si>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</si>
  <si>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</si>
  <si>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</si>
  <si>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</si>
  <si>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</si>
  <si>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</si>
  <si>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</si>
  <si>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</si>
  <si>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</si>
  <si>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</si>
  <si>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</si>
  <si>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</si>
  <si>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</si>
  <si>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</si>
  <si>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</si>
  <si>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</si>
  <si>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</si>
  <si>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</si>
  <si>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</si>
  <si>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</si>
  <si>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</si>
  <si>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</si>
  <si>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</si>
  <si>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</si>
  <si>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</si>
  <si>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</si>
  <si>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</si>
  <si>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</si>
  <si>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</si>
  <si>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</si>
  <si>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</si>
  <si>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</si>
  <si>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</si>
  <si>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</si>
  <si>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</si>
  <si>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</si>
  <si>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</si>
  <si>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</si>
  <si>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</si>
  <si>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</si>
  <si>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</si>
  <si>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</si>
  <si>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</si>
  <si>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</si>
  <si>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</si>
  <si>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</si>
  <si>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</si>
  <si>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</si>
  <si>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</si>
  <si>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</si>
  <si>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</si>
  <si>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</si>
  <si>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</si>
  <si>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</si>
  <si>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</si>
  <si>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</si>
  <si>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</si>
  <si>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</si>
  <si>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</si>
  <si>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</si>
  <si>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</si>
  <si>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</si>
  <si>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</si>
  <si>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</si>
  <si>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</si>
  <si>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</si>
  <si>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</si>
  <si>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</si>
  <si>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</si>
  <si>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</si>
  <si>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</si>
  <si>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</si>
  <si>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</si>
  <si>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</si>
  <si>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</si>
  <si>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</si>
  <si>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</si>
  <si>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</si>
  <si>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</si>
  <si>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</si>
  <si>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</si>
  <si>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</si>
  <si>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</si>
  <si>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</si>
  <si>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</si>
  <si>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</si>
  <si>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</si>
  <si>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</si>
  <si>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</si>
  <si>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</si>
  <si>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</si>
  <si>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</si>
  <si>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</si>
  <si>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</si>
  <si>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</si>
  <si>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</si>
  <si>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</si>
  <si>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</si>
  <si>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</si>
  <si>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</si>
  <si>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</si>
  <si>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</si>
  <si>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</si>
  <si>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</si>
  <si>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</si>
  <si>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</si>
  <si>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</si>
  <si>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</si>
  <si>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</si>
  <si>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</si>
  <si>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</si>
  <si>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</si>
  <si>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</si>
  <si>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</si>
  <si>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</si>
  <si>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</si>
  <si>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</si>
  <si>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</si>
  <si>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</si>
  <si>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</si>
  <si>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</si>
  <si>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</si>
  <si>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</si>
  <si>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</si>
  <si>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</si>
  <si>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</si>
  <si>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</si>
  <si>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</si>
  <si>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</si>
  <si>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</si>
  <si>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</si>
  <si>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</si>
  <si>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</si>
  <si>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</si>
  <si>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</si>
  <si>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</si>
  <si>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</si>
  <si>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</si>
  <si>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</si>
  <si>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</si>
  <si>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</si>
  <si>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</si>
  <si>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</si>
  <si>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</si>
  <si>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</si>
  <si>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</si>
  <si>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</si>
  <si>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</si>
  <si>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</si>
  <si>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</si>
  <si>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</si>
  <si>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</si>
  <si>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</si>
  <si>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</si>
  <si>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</si>
  <si>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</si>
  <si>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</si>
  <si>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</si>
  <si>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</si>
  <si>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</si>
  <si>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</si>
  <si>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</si>
  <si>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</si>
  <si>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</si>
  <si>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</si>
  <si>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</si>
  <si>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</si>
  <si>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</si>
  <si>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</si>
  <si>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</si>
  <si>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</si>
  <si>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</si>
  <si>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</si>
  <si>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</si>
  <si>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</si>
  <si>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</si>
  <si>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</si>
  <si>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</si>
  <si>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</si>
  <si>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</si>
  <si>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</si>
  <si>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</si>
  <si>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</si>
  <si>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</si>
  <si>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</si>
  <si>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</si>
  <si>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</si>
  <si>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</si>
  <si>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</si>
  <si>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</si>
  <si>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</si>
  <si>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</si>
  <si>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</si>
  <si>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</si>
  <si>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</si>
  <si>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</si>
  <si>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</si>
  <si>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</si>
  <si>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</si>
  <si>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</si>
  <si>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</si>
  <si>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</si>
  <si>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</si>
  <si>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</si>
  <si>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</si>
  <si>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</si>
  <si>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</si>
  <si>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</si>
  <si>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</si>
  <si>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</si>
  <si>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</si>
  <si>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</si>
  <si>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</si>
  <si>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</si>
  <si>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</si>
  <si>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</si>
  <si>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</si>
  <si>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</si>
  <si>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</si>
  <si>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</si>
  <si>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</si>
  <si>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</si>
  <si>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</si>
  <si>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</si>
  <si>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</si>
  <si>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</si>
  <si>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</si>
  <si>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</si>
  <si>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</si>
  <si>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</si>
  <si>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</si>
  <si>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</si>
  <si>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</si>
  <si>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</si>
  <si>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</si>
  <si>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</si>
  <si>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</si>
  <si>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</si>
  <si>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</si>
  <si>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</si>
  <si>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</si>
  <si>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</si>
  <si>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</si>
  <si>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</si>
  <si>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</si>
  <si>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</si>
  <si>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</si>
  <si>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</si>
  <si>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</si>
  <si>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</si>
  <si>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</si>
  <si>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</si>
  <si>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</si>
  <si>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</si>
  <si>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</si>
  <si>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</si>
  <si>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</si>
  <si>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</si>
  <si>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</si>
  <si>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</si>
  <si>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</si>
  <si>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</si>
  <si>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</si>
  <si>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</si>
  <si>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</si>
  <si>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</si>
  <si>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</si>
  <si>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</si>
  <si>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</si>
  <si>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</si>
  <si>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</si>
  <si>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</si>
  <si>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</si>
  <si>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</si>
  <si>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</si>
  <si>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</si>
  <si>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</si>
  <si>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</si>
  <si>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</si>
  <si>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</si>
  <si>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</si>
  <si>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</si>
  <si>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</si>
  <si>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</si>
  <si>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</si>
  <si>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</si>
  <si>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</si>
  <si>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</si>
  <si>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</si>
  <si>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</si>
  <si>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</si>
  <si>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</si>
  <si>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</si>
  <si>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</si>
  <si>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</si>
  <si>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</si>
  <si>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</si>
  <si>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</si>
  <si>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</si>
  <si>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</si>
  <si>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</si>
  <si>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</si>
  <si>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</si>
  <si>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</si>
  <si>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</si>
  <si>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</si>
  <si>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</si>
  <si>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</si>
  <si>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</si>
  <si>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</si>
  <si>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</si>
  <si>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</si>
  <si>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</si>
  <si>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</si>
  <si>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</si>
  <si>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</si>
  <si>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</si>
  <si>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</si>
  <si>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</si>
  <si>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</si>
  <si>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</si>
  <si>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</si>
  <si>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</si>
  <si>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</si>
  <si>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</si>
  <si>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</si>
  <si>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</si>
  <si>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</si>
  <si>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</si>
  <si>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</si>
  <si>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</si>
  <si>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</si>
  <si>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</si>
  <si>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</si>
  <si>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</si>
  <si>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</si>
  <si>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</si>
  <si>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</si>
  <si>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</si>
  <si>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</si>
  <si>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</si>
  <si>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</si>
  <si>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</si>
  <si>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</si>
  <si>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</si>
  <si>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</si>
  <si>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</si>
  <si>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</si>
  <si>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</si>
  <si>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</si>
  <si>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</si>
  <si>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</si>
  <si>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</si>
  <si>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</si>
  <si>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</si>
  <si>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</si>
  <si>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</si>
  <si>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</si>
  <si>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</si>
  <si>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</si>
  <si>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</si>
  <si>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</si>
  <si>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</si>
  <si>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</si>
  <si>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</si>
  <si>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</si>
  <si>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</si>
  <si>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</si>
  <si>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</si>
  <si>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</si>
  <si>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</si>
  <si>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</si>
  <si>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</si>
  <si>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</si>
  <si>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</si>
  <si>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</si>
  <si>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</si>
  <si>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</si>
  <si>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</si>
  <si>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</si>
  <si>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</si>
  <si>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</si>
  <si>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</si>
  <si>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</si>
  <si>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</si>
  <si>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</si>
  <si>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</si>
  <si>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</si>
  <si>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</si>
  <si>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</si>
  <si>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</si>
  <si>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</si>
  <si>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</si>
  <si>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</si>
  <si>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</si>
  <si>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</si>
  <si>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</si>
  <si>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</si>
  <si>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</si>
  <si>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</si>
  <si>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</si>
  <si>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</si>
  <si>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</si>
  <si>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</si>
  <si>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</si>
  <si>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</si>
  <si>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</si>
  <si>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</si>
  <si>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</si>
  <si>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</si>
  <si>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</si>
  <si>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</si>
  <si>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</si>
  <si>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</si>
  <si>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</si>
  <si>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</si>
  <si>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</si>
  <si>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</si>
  <si>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</si>
  <si>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</si>
  <si>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</si>
  <si>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</si>
  <si>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</si>
  <si>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</si>
  <si>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</si>
  <si>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</si>
  <si>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</si>
  <si>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</si>
  <si>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</si>
  <si>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</si>
  <si>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</si>
  <si>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</si>
  <si>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</si>
  <si>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</si>
  <si>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</si>
  <si>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</si>
  <si>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</si>
  <si>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</si>
  <si>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</si>
  <si>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</si>
  <si>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</si>
  <si>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</si>
  <si>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</si>
  <si>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</si>
  <si>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</si>
  <si>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</si>
  <si>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</si>
  <si>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</si>
  <si>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</si>
  <si>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</si>
  <si>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</si>
  <si>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</si>
  <si>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</si>
  <si>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</si>
  <si>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</si>
  <si>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</si>
  <si>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</si>
  <si>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</si>
  <si>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</si>
  <si>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</si>
  <si>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</si>
  <si>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</si>
  <si>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</si>
  <si>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</si>
  <si>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</si>
  <si>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</si>
  <si>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</si>
  <si>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</si>
  <si>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</si>
  <si>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</si>
  <si>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</si>
  <si>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</si>
  <si>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</si>
  <si>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</si>
  <si>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</si>
  <si>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</si>
  <si>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</si>
  <si>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</si>
  <si>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</si>
  <si>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</si>
  <si>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</si>
  <si>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</si>
  <si>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</si>
  <si>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</si>
  <si>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</si>
  <si>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</si>
  <si>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</si>
  <si>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</si>
  <si>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</si>
  <si>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</si>
  <si>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</si>
  <si>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</si>
  <si>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</si>
  <si>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</si>
  <si>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</si>
  <si>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</si>
  <si>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</si>
  <si>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</si>
  <si>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</si>
  <si>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</si>
  <si>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</si>
  <si>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</si>
  <si>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</si>
  <si>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</si>
  <si>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</si>
  <si>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</si>
  <si>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</si>
  <si>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</si>
  <si>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</si>
  <si>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</si>
  <si>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</si>
  <si>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</si>
  <si>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</si>
  <si>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</si>
  <si>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</si>
  <si>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</si>
  <si>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</si>
  <si>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</si>
  <si>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</si>
  <si>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</si>
  <si>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</si>
  <si>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</si>
  <si>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</si>
  <si>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</si>
  <si>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</si>
  <si>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</si>
  <si>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</si>
  <si>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</si>
  <si>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</si>
  <si>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</si>
  <si>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</si>
  <si>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</si>
  <si>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</si>
  <si>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</si>
  <si>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</si>
  <si>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</si>
  <si>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</si>
  <si>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</si>
  <si>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</si>
  <si>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</si>
  <si>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</si>
  <si>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</si>
  <si>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</si>
  <si>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</si>
  <si>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</si>
  <si>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</si>
  <si>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</si>
  <si>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</si>
  <si>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</si>
  <si>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</si>
  <si>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</si>
  <si>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</si>
  <si>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</si>
  <si>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</si>
  <si>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</si>
  <si>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</si>
  <si>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</si>
  <si>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</si>
  <si>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</si>
  <si>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</si>
  <si>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</si>
  <si>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</si>
  <si>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</si>
  <si>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</si>
  <si>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</si>
  <si>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</si>
  <si>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</si>
  <si>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</si>
  <si>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</si>
  <si>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</si>
  <si>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</si>
  <si>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</si>
  <si>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</si>
  <si>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</si>
  <si>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</si>
  <si>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</si>
  <si>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</si>
  <si>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</si>
  <si>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</si>
  <si>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</si>
  <si>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</si>
  <si>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</si>
  <si>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</si>
  <si>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</si>
  <si>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</si>
  <si>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</si>
  <si>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</si>
  <si>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</si>
  <si>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</si>
  <si>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</si>
  <si>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</si>
  <si>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</si>
  <si>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</si>
  <si>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</si>
  <si>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</si>
  <si>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</si>
  <si>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</si>
  <si>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</si>
  <si>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</si>
  <si>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</si>
  <si>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</si>
  <si>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</si>
  <si>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</si>
  <si>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</si>
  <si>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</si>
  <si>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</si>
  <si>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</si>
  <si>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</si>
  <si>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</si>
  <si>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</si>
  <si>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</si>
  <si>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</si>
  <si>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</si>
  <si>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</si>
  <si>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</si>
  <si>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</si>
  <si>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</si>
  <si>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</si>
  <si>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</si>
  <si>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</si>
  <si>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</si>
  <si>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</si>
  <si>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</si>
  <si>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</si>
  <si>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</si>
  <si>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</si>
  <si>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</si>
  <si>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</si>
  <si>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</si>
  <si>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</si>
  <si>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</si>
  <si>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</si>
  <si>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</si>
  <si>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</si>
  <si>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</si>
  <si>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</si>
  <si>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</si>
  <si>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</si>
  <si>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</si>
  <si>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</si>
  <si>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</si>
  <si>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</si>
  <si>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</si>
  <si>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</si>
  <si>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</si>
  <si>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</si>
  <si>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</si>
  <si>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</si>
  <si>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</si>
  <si>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</si>
  <si>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</si>
  <si>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</si>
  <si>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</si>
  <si>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</si>
  <si>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</si>
  <si>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</si>
  <si>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</si>
  <si>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</si>
  <si>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</si>
  <si>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</si>
  <si>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</si>
  <si>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</si>
  <si>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</si>
  <si>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</si>
  <si>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</si>
  <si>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</si>
  <si>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</si>
  <si>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</si>
  <si>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</si>
  <si>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</si>
  <si>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</si>
  <si>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</si>
  <si>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</si>
  <si>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</si>
  <si>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</si>
  <si>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</si>
  <si>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</si>
  <si>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</si>
  <si>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</si>
  <si>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</si>
  <si>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</si>
  <si>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</si>
  <si>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</si>
  <si>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</si>
  <si>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</si>
  <si>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</si>
  <si>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</si>
  <si>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</si>
  <si>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</si>
  <si>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</si>
  <si>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</si>
  <si>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</si>
  <si>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</si>
  <si>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</si>
  <si>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</si>
  <si>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</si>
  <si>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</si>
  <si>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</si>
  <si>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</si>
  <si>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</si>
  <si>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</si>
  <si>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</si>
  <si>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</si>
  <si>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</si>
  <si>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</si>
  <si>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</si>
  <si>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</si>
  <si>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</si>
  <si>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</si>
  <si>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</si>
  <si>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</si>
  <si>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</si>
  <si>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</si>
  <si>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</si>
  <si>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</si>
  <si>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</si>
  <si>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</si>
  <si>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</si>
  <si>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</si>
  <si>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</si>
  <si>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</si>
  <si>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</si>
  <si>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</si>
  <si>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</si>
  <si>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</si>
  <si>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</si>
  <si>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</si>
  <si>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</si>
  <si>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</si>
  <si>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</si>
  <si>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</si>
  <si>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</si>
  <si>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</si>
  <si>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</si>
  <si>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</si>
  <si>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</si>
  <si>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</si>
  <si>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</si>
  <si>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</si>
  <si>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</si>
  <si>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</si>
  <si>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</si>
  <si>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</si>
  <si>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</si>
  <si>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</si>
  <si>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</si>
  <si>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</si>
  <si>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</si>
  <si>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</si>
  <si>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</si>
  <si>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</si>
  <si>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</si>
  <si>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</si>
  <si>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</si>
  <si>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</si>
  <si>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</si>
  <si>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</si>
  <si>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</si>
  <si>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</si>
  <si>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</si>
  <si>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</si>
  <si>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</si>
  <si>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</si>
  <si>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</si>
  <si>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</si>
  <si>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</si>
  <si>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</si>
  <si>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</si>
  <si>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</si>
  <si>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</si>
  <si>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</si>
  <si>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</si>
  <si>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</si>
  <si>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</si>
  <si>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</si>
  <si>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</si>
  <si>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</si>
  <si>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</si>
  <si>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</si>
  <si>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</si>
  <si>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</si>
  <si>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</si>
  <si>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</si>
  <si>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</si>
  <si>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</si>
  <si>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</si>
  <si>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</si>
  <si>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</si>
  <si>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</si>
  <si>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</si>
  <si>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</si>
  <si>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</si>
  <si>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</si>
  <si>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</si>
  <si>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</si>
  <si>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</si>
  <si>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</si>
  <si>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</si>
  <si>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</si>
  <si>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</si>
  <si>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</si>
  <si>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</si>
  <si>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</si>
  <si>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</si>
  <si>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</si>
  <si>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</si>
  <si>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</si>
  <si>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</si>
  <si>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</si>
  <si>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</si>
  <si>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</si>
  <si>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</si>
  <si>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</si>
  <si>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</si>
  <si>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</si>
  <si>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</si>
  <si>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</si>
  <si>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</si>
  <si>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</si>
  <si>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</si>
  <si>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</si>
  <si>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</si>
  <si>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</si>
  <si>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</si>
  <si>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</si>
  <si>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</si>
  <si>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</si>
  <si>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</si>
  <si>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</si>
  <si>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</si>
  <si>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</si>
  <si>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</si>
  <si>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</si>
  <si>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</si>
  <si>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</si>
  <si>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</si>
  <si>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</si>
  <si>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</si>
  <si>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</si>
  <si>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</si>
  <si>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</si>
  <si>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</si>
  <si>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</si>
  <si>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</si>
  <si>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</si>
  <si>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</si>
  <si>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</si>
  <si>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</si>
  <si>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</si>
  <si>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</si>
  <si>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</si>
  <si>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</si>
  <si>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</si>
  <si>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</si>
  <si>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</si>
  <si>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</si>
  <si>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</si>
  <si>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</si>
  <si>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</si>
  <si>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</si>
  <si>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</si>
  <si>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</si>
  <si>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</si>
  <si>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</si>
  <si>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</si>
  <si>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</si>
  <si>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</si>
  <si>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</si>
  <si>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</si>
  <si>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</si>
  <si>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</si>
  <si>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</si>
  <si>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</si>
  <si>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</si>
  <si>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</si>
  <si>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</si>
  <si>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</si>
  <si>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</si>
  <si>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</si>
  <si>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</si>
  <si>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</si>
  <si>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</si>
  <si>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</si>
  <si>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</si>
  <si>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</si>
  <si>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</si>
  <si>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</si>
  <si>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</si>
  <si>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</si>
  <si>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</si>
  <si>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</si>
  <si>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</si>
  <si>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</si>
  <si>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</si>
  <si>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</si>
  <si>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</si>
  <si>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</si>
  <si>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</si>
  <si>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</si>
  <si>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</si>
  <si>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</si>
  <si>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</si>
  <si>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</si>
  <si>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</si>
  <si>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</si>
  <si>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</si>
  <si>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</si>
  <si>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</si>
  <si>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</si>
  <si>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</si>
  <si>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</si>
  <si>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</si>
  <si>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</si>
  <si>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</si>
  <si>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</si>
  <si>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</si>
  <si>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</si>
  <si>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</si>
  <si>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</si>
  <si>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</si>
  <si>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</si>
  <si>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</si>
  <si>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</si>
  <si>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</si>
  <si>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</si>
  <si>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</si>
  <si>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</si>
  <si>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</si>
  <si>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</si>
  <si>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</si>
  <si>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</si>
  <si>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</si>
  <si>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</si>
  <si>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</si>
  <si>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</si>
  <si>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</si>
  <si>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</si>
  <si>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</si>
  <si>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</si>
  <si>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</si>
  <si>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</si>
  <si>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</si>
  <si>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</si>
  <si>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</si>
  <si>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</si>
  <si>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</si>
  <si>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</si>
  <si>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</si>
  <si>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</si>
  <si>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</si>
  <si>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</si>
  <si>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</si>
  <si>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</si>
  <si>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</si>
  <si>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</si>
  <si>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</si>
  <si>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</si>
  <si>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</si>
  <si>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</si>
  <si>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</si>
  <si>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</si>
  <si>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</si>
  <si>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</si>
  <si>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</si>
  <si>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</si>
  <si>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</si>
  <si>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</si>
  <si>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</si>
  <si>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</si>
  <si>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</si>
  <si>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</si>
  <si>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</si>
  <si>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</si>
  <si>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</si>
  <si>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</si>
  <si>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</si>
  <si>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</si>
  <si>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</si>
  <si>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</si>
  <si>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</si>
  <si>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</si>
  <si>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</si>
  <si>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</si>
  <si>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</si>
  <si>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</si>
  <si>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</si>
  <si>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</si>
  <si>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</si>
  <si>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</si>
  <si>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</si>
  <si>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</si>
  <si>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</si>
  <si>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</si>
  <si>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</si>
  <si>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</si>
  <si>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</si>
  <si>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</si>
  <si>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</si>
  <si>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</si>
  <si>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</si>
  <si>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</si>
  <si>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</si>
  <si>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</si>
  <si>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</si>
  <si>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</si>
  <si>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</si>
  <si>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</si>
  <si>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</si>
  <si>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</si>
  <si>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</si>
  <si>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</si>
  <si>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</si>
  <si>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</si>
  <si>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</si>
  <si>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</si>
  <si>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</si>
  <si>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</si>
  <si>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</si>
  <si>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</si>
  <si>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</si>
  <si>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</si>
  <si>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</si>
  <si>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</si>
  <si>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</si>
  <si>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</si>
  <si>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</si>
  <si>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</si>
  <si>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</si>
  <si>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</si>
  <si>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</si>
  <si>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</si>
  <si>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</si>
  <si>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</si>
  <si>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</si>
  <si>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</si>
  <si>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</si>
  <si>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</si>
  <si>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</si>
  <si>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</si>
  <si>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</si>
  <si>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</si>
  <si>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</si>
  <si>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</si>
  <si>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</si>
  <si>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</si>
  <si>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</si>
  <si>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</si>
  <si>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</si>
  <si>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</si>
  <si>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</si>
  <si>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</si>
  <si>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</si>
  <si>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</si>
  <si>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</si>
  <si>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</si>
  <si>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</si>
  <si>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</si>
  <si>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</si>
  <si>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</si>
  <si>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</si>
  <si>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</si>
  <si>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</si>
  <si>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</si>
  <si>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</si>
  <si>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</si>
  <si>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</si>
  <si>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</si>
  <si>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</si>
  <si>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</si>
  <si>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</si>
  <si>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</si>
  <si>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</si>
  <si>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</si>
  <si>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</si>
  <si>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</si>
  <si>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</si>
  <si>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</si>
  <si>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</si>
  <si>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</si>
  <si>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</si>
  <si>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</si>
  <si>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</si>
  <si>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</si>
  <si>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</si>
  <si>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</si>
  <si>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</si>
  <si>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</si>
  <si>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</si>
  <si>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</si>
  <si>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</si>
  <si>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</si>
  <si>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</si>
  <si>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</si>
  <si>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</si>
  <si>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</si>
  <si>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</si>
  <si>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</si>
  <si>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</si>
  <si>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</si>
  <si>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</si>
  <si>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</si>
  <si>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</si>
  <si>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</si>
  <si>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</si>
  <si>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</si>
  <si>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</si>
  <si>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</si>
  <si>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</si>
  <si>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</si>
  <si>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</si>
  <si>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</si>
  <si>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</si>
  <si>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</si>
  <si>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</si>
  <si>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</si>
  <si>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</si>
  <si>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</si>
  <si>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</si>
  <si>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</si>
  <si>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</si>
  <si>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</si>
  <si>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</si>
  <si>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</si>
  <si>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</si>
  <si>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</si>
  <si>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</si>
  <si>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</si>
  <si>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</si>
  <si>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</si>
  <si>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</si>
  <si>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</si>
  <si>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</si>
  <si>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</si>
  <si>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</si>
  <si>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</si>
  <si>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</si>
  <si>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</si>
  <si>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</si>
  <si>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</si>
  <si>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</si>
  <si>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</si>
  <si>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</si>
  <si>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</si>
  <si>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</si>
  <si>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</si>
  <si>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</si>
  <si>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</si>
  <si>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</si>
  <si>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</si>
  <si>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</si>
  <si>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</si>
  <si>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</si>
  <si>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</si>
  <si>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</si>
  <si>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</si>
  <si>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</si>
  <si>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</si>
  <si>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</si>
  <si>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</si>
  <si>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</si>
  <si>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</si>
  <si>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</si>
  <si>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</si>
  <si>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</si>
  <si>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</si>
  <si>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</si>
  <si>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</si>
  <si>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</si>
  <si>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</si>
  <si>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</si>
  <si>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</si>
  <si>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</si>
  <si>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</si>
  <si>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</si>
  <si>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</si>
  <si>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</si>
  <si>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</si>
  <si>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</si>
  <si>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</si>
  <si>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</si>
  <si>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</si>
  <si>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</si>
  <si>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</si>
  <si>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</si>
  <si>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</si>
  <si>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</si>
  <si>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</si>
  <si>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</si>
  <si>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</si>
  <si>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</si>
  <si>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</si>
  <si>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</si>
  <si>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</si>
  <si>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</si>
  <si>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</si>
  <si>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</si>
  <si>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</si>
  <si>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</si>
  <si>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</si>
  <si>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</si>
  <si>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</si>
  <si>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</si>
  <si>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</si>
  <si>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</si>
  <si>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</si>
  <si>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</si>
  <si>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</si>
  <si>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</si>
  <si>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</si>
  <si>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</si>
  <si>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</si>
  <si>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</si>
  <si>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</si>
  <si>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</si>
  <si>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</si>
  <si>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</si>
  <si>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</si>
  <si>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</si>
  <si>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</si>
  <si>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</si>
  <si>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</si>
  <si>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</si>
  <si>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</si>
  <si>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</si>
  <si>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</si>
  <si>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</si>
  <si>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</si>
  <si>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</si>
  <si>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</si>
  <si>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</si>
  <si>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</si>
  <si>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</si>
  <si>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</si>
  <si>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</si>
  <si>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</si>
  <si>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</si>
  <si>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</si>
  <si>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</si>
  <si>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</si>
  <si>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</si>
  <si>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</si>
  <si>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</si>
  <si>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</si>
  <si>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</si>
  <si>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</si>
  <si>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</si>
  <si>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</si>
  <si>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</si>
  <si>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</si>
  <si>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</si>
  <si>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</si>
  <si>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</si>
  <si>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</si>
  <si>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</si>
  <si>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</si>
  <si>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</si>
  <si>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</si>
  <si>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</si>
  <si>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</si>
  <si>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</si>
  <si>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</si>
  <si>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</si>
  <si>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</si>
  <si>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</si>
  <si>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</si>
  <si>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</si>
  <si>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</si>
  <si>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</si>
  <si>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</si>
  <si>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</si>
  <si>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</si>
  <si>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</si>
  <si>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</si>
  <si>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</si>
  <si>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</si>
  <si>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</si>
  <si>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</si>
  <si>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</si>
  <si>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</si>
  <si>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</si>
  <si>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</si>
  <si>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</si>
  <si>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</si>
  <si>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</si>
  <si>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</si>
  <si>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</si>
  <si>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</si>
  <si>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</si>
  <si>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</si>
  <si>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</si>
  <si>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</si>
  <si>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</si>
  <si>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</si>
  <si>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</si>
  <si>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</si>
  <si>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</si>
  <si>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</si>
  <si>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</si>
  <si>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</si>
  <si>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</si>
  <si>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</si>
  <si>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</si>
  <si>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</si>
  <si>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</si>
  <si>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</si>
  <si>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</si>
  <si>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</si>
  <si>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</si>
  <si>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</si>
  <si>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</si>
  <si>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</si>
  <si>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</si>
  <si>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</si>
  <si>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</si>
  <si>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</si>
  <si>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</si>
  <si>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</si>
  <si>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</si>
  <si>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</si>
  <si>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</si>
  <si>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</si>
  <si>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</si>
  <si>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</si>
  <si>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</si>
  <si>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</si>
  <si>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</si>
  <si>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</si>
  <si>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</si>
  <si>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</si>
  <si>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</si>
  <si>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</si>
  <si>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</si>
  <si>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</si>
  <si>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</si>
  <si>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</si>
  <si>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</si>
  <si>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</si>
  <si>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</si>
  <si>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</si>
  <si>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</si>
  <si>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</si>
  <si>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</si>
  <si>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</si>
  <si>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</si>
  <si>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</si>
  <si>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</si>
  <si>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</si>
  <si>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</si>
  <si>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</si>
  <si>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</si>
  <si>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</si>
  <si>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</si>
  <si>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</si>
  <si>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</si>
  <si>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</si>
  <si>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</si>
  <si>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</si>
  <si>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</si>
  <si>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</si>
  <si>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</si>
  <si>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</si>
  <si>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</si>
  <si>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</si>
  <si>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</si>
  <si>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</si>
  <si>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</si>
  <si>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</si>
  <si>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</si>
  <si>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</si>
  <si>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</si>
  <si>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</si>
  <si>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</si>
  <si>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</si>
  <si>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</si>
  <si>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</si>
  <si>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</si>
  <si>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</si>
  <si>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</si>
  <si>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</si>
  <si>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</si>
  <si>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</si>
  <si>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</si>
  <si>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</si>
  <si>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</si>
  <si>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</si>
  <si>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</si>
  <si>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</si>
  <si>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</si>
  <si>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</si>
  <si>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</si>
  <si>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</si>
  <si>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</si>
  <si>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</si>
  <si>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</si>
  <si>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</si>
  <si>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</si>
  <si>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</si>
  <si>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</si>
  <si>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</si>
  <si>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</si>
  <si>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</si>
  <si>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</si>
  <si>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</si>
  <si>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</si>
  <si>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</si>
  <si>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</si>
  <si>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</si>
  <si>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</si>
  <si>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</si>
  <si>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</si>
  <si>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</si>
  <si>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</si>
  <si>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</si>
  <si>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</si>
  <si>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</si>
  <si>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</si>
  <si>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</si>
  <si>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</si>
  <si>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</si>
  <si>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</si>
  <si>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</si>
  <si>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</si>
  <si>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</si>
  <si>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</si>
  <si>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</si>
  <si>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</si>
  <si>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</si>
  <si>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</si>
  <si>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</si>
  <si>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</si>
  <si>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</si>
  <si>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</si>
  <si>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</si>
  <si>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</si>
  <si>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</si>
  <si>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</si>
  <si>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</si>
  <si>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</si>
  <si>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</si>
  <si>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</si>
  <si>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</si>
  <si>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</si>
  <si>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</si>
  <si>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</si>
  <si>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</si>
  <si>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</si>
  <si>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</si>
  <si>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</si>
  <si>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</si>
  <si>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</si>
  <si>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</si>
  <si>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</si>
  <si>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</si>
  <si>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</si>
  <si>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</si>
  <si>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</si>
  <si>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</si>
  <si>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</si>
  <si>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</si>
  <si>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</si>
  <si>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</si>
  <si>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</si>
  <si>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</si>
  <si>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</si>
  <si>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</si>
  <si>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</si>
  <si>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</si>
  <si>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</si>
  <si>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</si>
  <si>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</si>
  <si>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</si>
  <si>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</si>
  <si>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</si>
  <si>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</si>
  <si>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</si>
  <si>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</si>
  <si>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</si>
  <si>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</si>
  <si>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</si>
  <si>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</si>
  <si>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</si>
  <si>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</si>
  <si>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</si>
  <si>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</si>
  <si>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</si>
  <si>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</si>
  <si>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</si>
  <si>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</si>
  <si>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</si>
  <si>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</si>
  <si>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</si>
  <si>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</si>
  <si>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</si>
  <si>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</si>
  <si>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</si>
  <si>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</si>
  <si>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</si>
  <si>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</si>
  <si>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</si>
  <si>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</si>
  <si>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</si>
  <si>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</si>
  <si>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</si>
  <si>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</si>
  <si>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</si>
  <si>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</si>
  <si>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</si>
  <si>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</si>
  <si>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</si>
  <si>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</si>
  <si>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</si>
  <si>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</si>
  <si>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</si>
  <si>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</si>
  <si>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</si>
  <si>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</si>
  <si>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</si>
  <si>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</si>
  <si>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</si>
  <si>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</si>
  <si>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</si>
  <si>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</si>
  <si>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</si>
  <si>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</si>
  <si>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</si>
  <si>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</si>
  <si>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</si>
  <si>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</si>
  <si>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</si>
  <si>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</si>
  <si>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</si>
  <si>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</si>
  <si>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</si>
  <si>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</si>
  <si>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</si>
  <si>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</si>
  <si>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</si>
  <si>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</si>
  <si>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</si>
  <si>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</si>
  <si>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</si>
  <si>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</si>
  <si>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</si>
  <si>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</si>
  <si>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</si>
  <si>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</si>
  <si>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</si>
  <si>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</si>
  <si>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</si>
  <si>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</si>
  <si>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</si>
  <si>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</si>
  <si>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</si>
  <si>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</si>
  <si>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</si>
  <si>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</si>
  <si>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</si>
  <si>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</si>
  <si>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</si>
  <si>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</si>
  <si>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</si>
  <si>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</si>
  <si>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</si>
  <si>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</si>
  <si>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</si>
  <si>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</si>
  <si>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</si>
  <si>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</si>
  <si>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</si>
  <si>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</si>
  <si>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</si>
  <si>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</si>
  <si>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</si>
  <si>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</si>
  <si>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</si>
  <si>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</si>
  <si>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</si>
  <si>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</si>
  <si>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</si>
  <si>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</si>
  <si>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</si>
  <si>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</si>
  <si>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</si>
  <si>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</si>
  <si>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</si>
  <si>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</si>
  <si>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</si>
  <si>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</si>
  <si>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</si>
  <si>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</si>
  <si>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</si>
  <si>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</si>
  <si>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</si>
  <si>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</si>
  <si>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</si>
  <si>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</si>
  <si>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</si>
  <si>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</si>
  <si>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</si>
  <si>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</si>
  <si>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</si>
  <si>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</si>
  <si>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</si>
  <si>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</si>
  <si>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</si>
  <si>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</si>
  <si>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</si>
  <si>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</si>
  <si>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</si>
  <si>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</si>
  <si>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</si>
  <si>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</si>
  <si>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</si>
  <si>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</si>
  <si>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</si>
  <si>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</si>
  <si>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</si>
  <si>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</si>
  <si>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</si>
  <si>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</si>
  <si>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</si>
  <si>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</si>
  <si>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</si>
  <si>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</si>
  <si>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</si>
  <si>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</si>
  <si>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</si>
  <si>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</si>
  <si>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</si>
  <si>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</si>
  <si>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</si>
  <si>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</si>
  <si>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</si>
  <si>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</si>
  <si>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</si>
  <si>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</si>
  <si>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</si>
  <si>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</si>
  <si>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</si>
  <si>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</si>
  <si>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</si>
  <si>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</si>
  <si>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</si>
  <si>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</si>
  <si>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</si>
  <si>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</si>
  <si>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</si>
  <si>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</si>
  <si>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</si>
  <si>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</si>
  <si>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</si>
  <si>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</si>
  <si>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</si>
  <si>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</si>
  <si>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</si>
  <si>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</si>
  <si>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</si>
  <si>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</si>
  <si>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</si>
  <si>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</si>
  <si>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</si>
  <si>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</si>
  <si>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</si>
  <si>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</si>
  <si>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</si>
  <si>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</si>
  <si>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</si>
  <si>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</si>
  <si>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</si>
  <si>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</si>
  <si>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</si>
  <si>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</si>
  <si>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</si>
  <si>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</si>
  <si>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</si>
  <si>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</si>
  <si>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</si>
  <si>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</si>
  <si>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</si>
  <si>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</si>
  <si>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</si>
  <si>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</si>
  <si>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</si>
  <si>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</si>
  <si>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</si>
  <si>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</si>
  <si>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</si>
  <si>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</si>
  <si>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</si>
  <si>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</si>
  <si>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</si>
  <si>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</si>
  <si>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</si>
  <si>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</si>
  <si>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</si>
  <si>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</si>
  <si>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</si>
  <si>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</si>
  <si>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</si>
  <si>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</si>
  <si>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</si>
  <si>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</si>
  <si>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</si>
  <si>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</si>
  <si>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</si>
  <si>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</si>
  <si>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</si>
  <si>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</si>
  <si>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</si>
  <si>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</si>
  <si>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</si>
  <si>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</si>
  <si>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</si>
  <si>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</si>
  <si>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</si>
  <si>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</si>
  <si>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</si>
  <si>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</si>
  <si>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</si>
  <si>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</si>
  <si>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</si>
  <si>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</si>
  <si>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</si>
  <si>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</si>
  <si>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</si>
  <si>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</si>
  <si>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</si>
  <si>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</si>
  <si>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</si>
  <si>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</si>
  <si>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</si>
  <si>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</si>
  <si>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</si>
  <si>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</si>
  <si>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</si>
  <si>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</si>
  <si>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</si>
  <si>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</si>
  <si>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</si>
  <si>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</si>
  <si>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</si>
  <si>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</si>
  <si>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</si>
  <si>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</si>
  <si>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</si>
  <si>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</si>
  <si>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</si>
  <si>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</si>
  <si>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</si>
  <si>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</si>
  <si>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</si>
  <si>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</si>
  <si>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</si>
  <si>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</si>
  <si>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</si>
  <si>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</si>
  <si>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</si>
  <si>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</si>
  <si>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</si>
  <si>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</si>
  <si>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</si>
  <si>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</si>
  <si>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</si>
  <si>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</si>
  <si>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</si>
  <si>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</si>
  <si>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</si>
  <si>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</si>
  <si>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</si>
  <si>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</si>
  <si>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</si>
  <si>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</si>
  <si>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</si>
  <si>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</si>
  <si>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</si>
  <si>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</si>
  <si>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</si>
  <si>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</si>
  <si>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</si>
  <si>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</si>
  <si>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</si>
  <si>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</si>
  <si>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</si>
  <si>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</si>
  <si>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</si>
  <si>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</si>
  <si>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</si>
  <si>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</si>
  <si>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</si>
  <si>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</si>
  <si>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</si>
  <si>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</si>
  <si>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</si>
  <si>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</si>
  <si>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</si>
  <si>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</si>
  <si>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</si>
  <si>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</si>
  <si>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</si>
  <si>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</si>
  <si>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</si>
  <si>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</si>
  <si>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</si>
  <si>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</si>
  <si>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</si>
  <si>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</si>
  <si>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</si>
  <si>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</si>
  <si>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</si>
  <si>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</si>
  <si>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</si>
  <si>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</si>
  <si>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</si>
  <si>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</si>
  <si>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</si>
  <si>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</si>
  <si>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</si>
  <si>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</si>
  <si>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</si>
  <si>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</si>
  <si>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</si>
  <si>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</si>
  <si>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</si>
  <si>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</si>
  <si>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</si>
  <si>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</si>
  <si>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</si>
  <si>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</si>
  <si>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</si>
  <si>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</si>
  <si>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</si>
  <si>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</si>
  <si>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</si>
  <si>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</si>
  <si>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</si>
  <si>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</si>
  <si>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</si>
  <si>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</si>
  <si>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</si>
  <si>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</si>
  <si>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</si>
  <si>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</si>
  <si>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</si>
  <si>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</si>
  <si>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</si>
  <si>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</si>
  <si>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</si>
  <si>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</si>
  <si>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</si>
  <si>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</si>
  <si>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</si>
  <si>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</si>
  <si>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</si>
  <si>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</si>
  <si>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</si>
  <si>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</si>
  <si>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</si>
  <si>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</si>
  <si>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</si>
  <si>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</si>
  <si>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</si>
  <si>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</si>
  <si>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</si>
  <si>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</si>
  <si>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</si>
  <si>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</si>
  <si>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</si>
  <si>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</si>
  <si>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</si>
  <si>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</si>
  <si>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</si>
  <si>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</si>
  <si>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</si>
  <si>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</si>
  <si>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</si>
  <si>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</si>
  <si>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</si>
  <si>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</si>
  <si>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</si>
  <si>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</si>
  <si>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</si>
  <si>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</si>
  <si>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</si>
  <si>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</si>
  <si>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</si>
  <si>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</si>
  <si>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</si>
  <si>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</si>
  <si>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</si>
  <si>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</si>
  <si>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</si>
  <si>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</si>
  <si>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</si>
  <si>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</si>
  <si>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</si>
  <si>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</si>
  <si>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</si>
  <si>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</si>
  <si>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</si>
  <si>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</si>
  <si>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</si>
  <si>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</si>
  <si>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</si>
  <si>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</si>
  <si>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</si>
  <si>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</si>
  <si>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</si>
  <si>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</si>
  <si>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</si>
  <si>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</si>
  <si>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</si>
  <si>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</si>
  <si>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</si>
  <si>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</si>
  <si>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</si>
  <si>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</si>
  <si>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</si>
  <si>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</si>
  <si>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</si>
  <si>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</si>
  <si>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</si>
  <si>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</si>
  <si>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</si>
  <si>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</si>
  <si>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</si>
  <si>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</si>
  <si>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</si>
  <si>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</si>
  <si>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</si>
  <si>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</si>
  <si>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</si>
  <si>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</si>
  <si>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</si>
  <si>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</si>
  <si>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</si>
  <si>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</si>
  <si>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</si>
  <si>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</si>
  <si>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</si>
  <si>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</si>
  <si>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</si>
  <si>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</si>
  <si>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</si>
  <si>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</si>
  <si>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</si>
  <si>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</si>
  <si>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</si>
  <si>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</si>
  <si>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</si>
  <si>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</si>
  <si>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</si>
  <si>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</si>
  <si>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</si>
  <si>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</si>
  <si>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</si>
  <si>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</si>
  <si>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</si>
  <si>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</si>
  <si>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</si>
  <si>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</si>
  <si>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</si>
  <si>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</si>
  <si>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</si>
  <si>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</si>
  <si>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</si>
  <si>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</si>
  <si>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</si>
  <si>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</si>
  <si>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</si>
  <si>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</si>
  <si>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</si>
  <si>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</si>
  <si>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</si>
  <si>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</si>
  <si>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</si>
  <si>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</si>
  <si>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</si>
  <si>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</si>
  <si>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</si>
  <si>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</si>
  <si>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</si>
  <si>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</si>
  <si>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</si>
  <si>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</si>
  <si>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</si>
  <si>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</si>
  <si>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</si>
  <si>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</si>
  <si>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</si>
  <si>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</si>
  <si>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</si>
  <si>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</si>
  <si>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</si>
  <si>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</si>
  <si>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</si>
  <si>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</si>
  <si>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</si>
  <si>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</si>
  <si>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</si>
  <si>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</si>
  <si>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</si>
  <si>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</si>
  <si>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</si>
  <si>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</si>
  <si>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</si>
  <si>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</si>
  <si>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</si>
  <si>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</si>
  <si>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</si>
  <si>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</si>
  <si>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</si>
  <si>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</si>
  <si>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</si>
  <si>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</si>
  <si>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</si>
  <si>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</si>
  <si>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</si>
  <si>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</si>
  <si>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</si>
  <si>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</si>
  <si>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</si>
  <si>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</si>
  <si>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</si>
  <si>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</si>
  <si>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</si>
  <si>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</si>
  <si>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</si>
  <si>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</si>
  <si>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</si>
  <si>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</si>
  <si>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</si>
  <si>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</si>
  <si>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</si>
  <si>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</si>
  <si>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</si>
  <si>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</si>
  <si>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</si>
  <si>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</si>
  <si>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</si>
  <si>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</si>
  <si>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</si>
  <si>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</si>
  <si>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</si>
  <si>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</si>
  <si>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</si>
  <si>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</si>
  <si>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</si>
  <si>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</si>
  <si>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</si>
  <si>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</si>
  <si>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</si>
  <si>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</si>
  <si>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</si>
  <si>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</si>
  <si>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</si>
  <si>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</si>
  <si>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2025-10-14</t>
  </si>
  <si>
    <t>미르오토(대구)_251014_171555.xlsx</t>
  </si>
  <si>
    <t>6HP_Plate</t>
  </si>
  <si>
    <t>성훈오일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</si>
  <si>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</si>
  <si>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</si>
  <si>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</si>
  <si>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</si>
  <si>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</si>
  <si>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</si>
  <si>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</si>
  <si>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</si>
  <si>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</si>
  <si>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</si>
  <si>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0AM_TCU</t>
    <phoneticPr fontId="2" type="noConversion"/>
  </si>
  <si>
    <t>927769DK</t>
    <phoneticPr fontId="2" type="noConversion"/>
  </si>
  <si>
    <t>메이븐오토미션(서울중랑구)_251014_172140.xlsx</t>
  </si>
  <si>
    <t>메이븐오토미션(서울중랑구)_251014_172140.xlsx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</si>
</sst>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3070000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12</c:v>
                      </c:pt>
                      <c:pt idx="5">
                        <c:v>5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23</c:v>
                      </c:pt>
                      <c:pt idx="9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3597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3900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45944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1299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3330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3329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3937</v>
      </c>
      <c r="B8" s="353"/>
      <c r="C8" s="353"/>
      <c r="D8" s="353"/>
      <c r="E8" s="354"/>
      <c r="F8" s="355" t="s">
        <v>3938</v>
      </c>
      <c r="G8" s="356"/>
      <c r="H8" s="356"/>
      <c r="I8" s="357"/>
      <c r="J8" s="363"/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메이븐오토미션(서울중랑구)</v>
      </c>
      <c r="R21" s="396"/>
      <c r="S21" s="396"/>
      <c r="T21" s="396"/>
      <c r="U21" s="397"/>
    </row>
    <row r="22" spans="1:21" ht="20.100000000000001" customHeight="1" x14ac:dyDescent="0.3">
      <c r="A22" s="437" t="s">
        <v>3940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45944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메이븐오토미션(서울중랑구)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서울 중랑구 봉화산로58길 11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010-7140-3822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대신(택배)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0AM_TCU</v>
      </c>
      <c r="B31" s="414"/>
      <c r="C31" s="414"/>
      <c r="D31" s="414"/>
      <c r="E31" s="414"/>
      <c r="F31" s="414" t="str">
        <f>F8</f>
        <v>927769DK</v>
      </c>
      <c r="G31" s="414"/>
      <c r="H31" s="414"/>
      <c r="I31" s="414"/>
      <c r="J31" s="418">
        <f>J8</f>
        <v>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메이븐오토미션(서울중랑구)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0</v>
      </c>
      <c r="H1" s="107">
        <f>SUM(H2:H2)</f>
        <v>1</v>
      </c>
      <c r="I1" s="107">
        <f>SUM(I2:I2)</f>
        <v>0</v>
      </c>
      <c r="J1" s="107">
        <f>SUM(J2:J2)</f>
        <v>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3923</v>
      </c>
      <c r="C2" s="47" t="s">
        <v>3116</v>
      </c>
      <c r="D2" s="290" t="s">
        <v>1198</v>
      </c>
      <c r="E2" t="s">
        <v>2197</v>
      </c>
      <c r="F2" s="290" t="s">
        <v>1198</v>
      </c>
      <c r="H2">
        <v>1</v>
      </c>
      <c r="I2" s="226"/>
      <c r="J2" s="226">
        <v>0</v>
      </c>
      <c r="K2" t="s">
        <v>3936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08"/>
  <sheetViews>
    <sheetView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A1908" sqref="A190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hidden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1909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3673</v>
      </c>
      <c r="E196" s="292" t="s">
        <v>1859</v>
      </c>
      <c r="F196" s="269" t="s">
        <v>3673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3673</v>
      </c>
      <c r="E236" s="292" t="s">
        <v>1859</v>
      </c>
      <c r="F236" s="269" t="s">
        <v>3673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3071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3070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3004</v>
      </c>
      <c r="F1041" s="269" t="s">
        <v>3005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3010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3022</v>
      </c>
      <c r="E1064" s="292" t="s">
        <v>1859</v>
      </c>
      <c r="F1064" s="269" t="s">
        <v>3673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3022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3030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3030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3030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3061</v>
      </c>
      <c r="F1084" s="269" t="s">
        <v>3060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3071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3078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3078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3094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3116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3117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3120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3121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3121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3143</v>
      </c>
      <c r="G1180" s="265">
        <v>1300000</v>
      </c>
      <c r="H1180" s="269">
        <v>1</v>
      </c>
      <c r="J1180" s="266" t="s">
        <v>3144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3140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3145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3149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3150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3150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3150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3152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3160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3162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3162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3178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3187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3187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3184</v>
      </c>
      <c r="E1248" s="292" t="s">
        <v>3192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3208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3200</v>
      </c>
    </row>
    <row r="1260" spans="1:13" x14ac:dyDescent="0.3">
      <c r="A1260" s="271">
        <v>1259</v>
      </c>
      <c r="B1260" s="264">
        <v>45883</v>
      </c>
      <c r="C1260" s="292" t="s">
        <v>3202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3203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3332</v>
      </c>
      <c r="F1261" s="269" t="s">
        <v>3333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3219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3211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3211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3223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3223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3224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3228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3230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3232</v>
      </c>
    </row>
    <row r="1293" spans="1:13" x14ac:dyDescent="0.3">
      <c r="A1293" s="271">
        <v>1292</v>
      </c>
      <c r="B1293" s="264">
        <v>45887</v>
      </c>
      <c r="C1293" s="292" t="s">
        <v>3211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3234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3239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3241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3245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3248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3487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3487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3487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3254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3256</v>
      </c>
      <c r="H1318" s="269">
        <v>1</v>
      </c>
      <c r="L1318" s="265">
        <v>-600000</v>
      </c>
      <c r="M1318" s="269" t="s">
        <v>3257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3121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3487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3121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3487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3487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3262</v>
      </c>
      <c r="N1328" t="s">
        <v>3487</v>
      </c>
    </row>
    <row r="1329" spans="1:14" x14ac:dyDescent="0.3">
      <c r="A1329" s="271">
        <v>1328</v>
      </c>
      <c r="B1329" s="264">
        <v>45891</v>
      </c>
      <c r="C1329" s="292" t="s">
        <v>3264</v>
      </c>
      <c r="E1329" s="292" t="s">
        <v>3267</v>
      </c>
      <c r="G1329" s="265">
        <v>200000</v>
      </c>
      <c r="H1329" s="269">
        <v>1</v>
      </c>
      <c r="K1329" s="265">
        <v>200000</v>
      </c>
      <c r="M1329" s="269"/>
      <c r="N1329" t="s">
        <v>3487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3487</v>
      </c>
    </row>
    <row r="1331" spans="1:14" x14ac:dyDescent="0.3">
      <c r="A1331" s="271">
        <v>1330</v>
      </c>
      <c r="B1331" s="264">
        <v>45891</v>
      </c>
      <c r="C1331" s="292" t="s">
        <v>3270</v>
      </c>
      <c r="E1331" s="292" t="s">
        <v>3271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3272</v>
      </c>
      <c r="N1331" t="s">
        <v>3487</v>
      </c>
    </row>
    <row r="1332" spans="1:14" x14ac:dyDescent="0.3">
      <c r="A1332" s="271">
        <v>1331</v>
      </c>
      <c r="B1332" s="264">
        <v>45891</v>
      </c>
      <c r="C1332" s="292" t="s">
        <v>3264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3270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3487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3487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3487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3487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3487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3487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3487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3121</v>
      </c>
      <c r="E1352" s="292" t="s">
        <v>3284</v>
      </c>
      <c r="F1352" s="269" t="s">
        <v>3285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3487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3487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3487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3071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3487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3487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3487</v>
      </c>
    </row>
    <row r="1358" spans="1:14" x14ac:dyDescent="0.3">
      <c r="A1358" s="271">
        <v>1357</v>
      </c>
      <c r="B1358" s="264">
        <v>45894</v>
      </c>
      <c r="C1358" s="292" t="s">
        <v>3292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3487</v>
      </c>
    </row>
    <row r="1359" spans="1:14" x14ac:dyDescent="0.3">
      <c r="A1359" s="271">
        <v>1358</v>
      </c>
      <c r="B1359" s="264">
        <v>45894</v>
      </c>
      <c r="C1359" s="292" t="s">
        <v>3292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3487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3487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3299</v>
      </c>
      <c r="G1361" s="265">
        <v>300000</v>
      </c>
      <c r="H1361" s="269">
        <v>1</v>
      </c>
      <c r="K1361" s="265">
        <v>300000</v>
      </c>
      <c r="M1361" s="269"/>
      <c r="N1361" t="s">
        <v>3487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3487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3487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3487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3487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3487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3487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3487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3487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3487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3487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3487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3305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3306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3292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3487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3487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3311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3487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3487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3487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3487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3487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3487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3487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3319</v>
      </c>
      <c r="F1397" s="269" t="s">
        <v>3320</v>
      </c>
      <c r="M1397" s="269"/>
      <c r="N1397" t="s">
        <v>3487</v>
      </c>
    </row>
    <row r="1398" spans="1:14" x14ac:dyDescent="0.3">
      <c r="A1398" s="271">
        <v>1397</v>
      </c>
      <c r="B1398" s="264">
        <v>45896</v>
      </c>
      <c r="C1398" s="292" t="s">
        <v>3116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3322</v>
      </c>
      <c r="N1398" t="s">
        <v>3487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3487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3487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3327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3116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3121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3341</v>
      </c>
      <c r="G1408" s="265">
        <v>2500000</v>
      </c>
      <c r="H1408" s="269">
        <v>1</v>
      </c>
      <c r="J1408" s="266" t="s">
        <v>3342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3487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3487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3487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3487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3487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3487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3487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3487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3487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3344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3487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3366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3487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3487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3487</v>
      </c>
    </row>
    <row r="1430" spans="1:14" x14ac:dyDescent="0.3">
      <c r="A1430" s="271">
        <v>1429</v>
      </c>
      <c r="B1430" s="264">
        <v>45898</v>
      </c>
      <c r="C1430" s="292" t="s">
        <v>3488</v>
      </c>
      <c r="E1430" s="292" t="s">
        <v>3489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3488</v>
      </c>
      <c r="E1431" s="292" t="s">
        <v>3490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3488</v>
      </c>
      <c r="E1432" s="292" t="s">
        <v>3491</v>
      </c>
      <c r="F1432" s="269" t="s">
        <v>3492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3488</v>
      </c>
      <c r="E1433" s="292" t="s">
        <v>3493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3488</v>
      </c>
      <c r="E1434" s="292" t="s">
        <v>3494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3487</v>
      </c>
    </row>
    <row r="1436" spans="1:14" x14ac:dyDescent="0.3">
      <c r="A1436" s="271">
        <v>1435</v>
      </c>
      <c r="B1436" s="264">
        <v>45898</v>
      </c>
      <c r="C1436" s="292" t="s">
        <v>3202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3487</v>
      </c>
    </row>
    <row r="1437" spans="1:14" x14ac:dyDescent="0.3">
      <c r="A1437" s="271">
        <v>1436</v>
      </c>
      <c r="B1437" s="264">
        <v>45898</v>
      </c>
      <c r="C1437" s="292" t="s">
        <v>3202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3367</v>
      </c>
      <c r="N1438" t="s">
        <v>3487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3487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3921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3921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3921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3921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3921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3921</v>
      </c>
    </row>
    <row r="1453" spans="1:14" x14ac:dyDescent="0.3">
      <c r="A1453" s="271">
        <v>1452</v>
      </c>
      <c r="B1453" s="264">
        <v>45901</v>
      </c>
      <c r="C1453" s="292" t="s">
        <v>3488</v>
      </c>
      <c r="E1453" s="292" t="s">
        <v>3495</v>
      </c>
      <c r="F1453" s="269" t="s">
        <v>3496</v>
      </c>
      <c r="G1453" s="265">
        <v>800000</v>
      </c>
      <c r="H1453" s="269">
        <v>1</v>
      </c>
      <c r="K1453" s="265">
        <v>800000</v>
      </c>
      <c r="M1453" s="269" t="s">
        <v>3497</v>
      </c>
      <c r="N1453" t="s">
        <v>3921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3921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3921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3921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3921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3921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3921</v>
      </c>
    </row>
    <row r="1460" spans="1:14" x14ac:dyDescent="0.3">
      <c r="A1460" s="271">
        <v>1459</v>
      </c>
      <c r="B1460" s="264">
        <v>45901</v>
      </c>
      <c r="C1460" s="292" t="s">
        <v>3351</v>
      </c>
      <c r="E1460" s="292" t="s">
        <v>3061</v>
      </c>
      <c r="F1460" s="269" t="s">
        <v>3060</v>
      </c>
      <c r="G1460" s="265">
        <v>250000</v>
      </c>
      <c r="H1460" s="269">
        <v>1</v>
      </c>
      <c r="K1460" s="265">
        <v>250000</v>
      </c>
      <c r="M1460" s="269"/>
      <c r="N1460" t="s">
        <v>3921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3921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3351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3921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3921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3921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3921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3921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3921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3374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3921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3921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3921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3921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3921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3921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3921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3380</v>
      </c>
      <c r="G1484" s="265">
        <v>150000</v>
      </c>
      <c r="H1484" s="269">
        <v>1</v>
      </c>
      <c r="K1484" s="265">
        <v>150000</v>
      </c>
      <c r="M1484" s="269"/>
      <c r="N1484" t="s">
        <v>3921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3382</v>
      </c>
      <c r="G1485" s="265">
        <v>450000</v>
      </c>
      <c r="H1485" s="269">
        <v>1</v>
      </c>
      <c r="K1485" s="265">
        <v>450000</v>
      </c>
      <c r="M1485" s="269"/>
      <c r="N1485" t="s">
        <v>3921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3292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3921</v>
      </c>
    </row>
    <row r="1489" spans="1:14" x14ac:dyDescent="0.3">
      <c r="A1489" s="271">
        <v>1488</v>
      </c>
      <c r="B1489" s="264">
        <v>45903</v>
      </c>
      <c r="C1489" s="292" t="s">
        <v>3450</v>
      </c>
      <c r="E1489" s="292" t="s">
        <v>3451</v>
      </c>
      <c r="F1489" s="269" t="s">
        <v>3452</v>
      </c>
      <c r="G1489" s="265">
        <v>1850000</v>
      </c>
      <c r="H1489" s="269">
        <v>1</v>
      </c>
      <c r="J1489" s="266" t="s">
        <v>3453</v>
      </c>
      <c r="K1489" s="265">
        <v>2035000</v>
      </c>
      <c r="M1489" s="269"/>
      <c r="N1489" t="s">
        <v>3921</v>
      </c>
    </row>
    <row r="1490" spans="1:14" x14ac:dyDescent="0.3">
      <c r="A1490" s="271">
        <v>1489</v>
      </c>
      <c r="B1490" s="264">
        <v>45903</v>
      </c>
      <c r="C1490" s="292" t="s">
        <v>3620</v>
      </c>
      <c r="E1490" s="292" t="s">
        <v>3621</v>
      </c>
      <c r="F1490" s="269" t="s">
        <v>3622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3921</v>
      </c>
    </row>
    <row r="1491" spans="1:14" x14ac:dyDescent="0.3">
      <c r="A1491" s="271">
        <v>1490</v>
      </c>
      <c r="B1491" s="264">
        <v>45903</v>
      </c>
      <c r="C1491" s="292" t="s">
        <v>3393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3921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3921</v>
      </c>
    </row>
    <row r="1493" spans="1:14" x14ac:dyDescent="0.3">
      <c r="A1493" s="271">
        <v>1492</v>
      </c>
      <c r="B1493" s="264">
        <v>45903</v>
      </c>
      <c r="C1493" s="292" t="s">
        <v>3620</v>
      </c>
      <c r="E1493" s="292" t="s">
        <v>3623</v>
      </c>
      <c r="G1493" s="265">
        <v>150000</v>
      </c>
      <c r="H1493" s="269">
        <v>1</v>
      </c>
      <c r="J1493" s="266" t="s">
        <v>3624</v>
      </c>
      <c r="K1493" s="265">
        <v>165000</v>
      </c>
      <c r="M1493" s="269"/>
      <c r="N1493" t="s">
        <v>3921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3400</v>
      </c>
      <c r="N1494" t="s">
        <v>3921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3921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3487</v>
      </c>
    </row>
    <row r="1497" spans="1:14" x14ac:dyDescent="0.3">
      <c r="A1497" s="271">
        <v>1496</v>
      </c>
      <c r="B1497" s="264">
        <v>45904</v>
      </c>
      <c r="C1497" s="292" t="s">
        <v>3433</v>
      </c>
      <c r="E1497" s="292" t="s">
        <v>3434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3292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3402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3921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3921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3921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3921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3419</v>
      </c>
      <c r="F1505" s="269" t="s">
        <v>3418</v>
      </c>
      <c r="G1505" s="265">
        <v>1500000</v>
      </c>
      <c r="H1505" s="269">
        <v>1</v>
      </c>
      <c r="K1505" s="265">
        <v>1500000</v>
      </c>
      <c r="N1505" t="s">
        <v>3921</v>
      </c>
    </row>
    <row r="1506" spans="1:14" x14ac:dyDescent="0.3">
      <c r="A1506" s="271">
        <v>1505</v>
      </c>
      <c r="B1506" s="264">
        <v>45904</v>
      </c>
      <c r="C1506" s="292" t="s">
        <v>3409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3921</v>
      </c>
    </row>
    <row r="1507" spans="1:14" x14ac:dyDescent="0.3">
      <c r="A1507" s="271">
        <v>1506</v>
      </c>
      <c r="B1507" s="264">
        <v>45904</v>
      </c>
      <c r="C1507" s="292" t="s">
        <v>3409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3921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3921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3921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3921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3921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3402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3435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3436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3437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3438</v>
      </c>
      <c r="N1519" t="s">
        <v>3487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3921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3921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3921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3441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3921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3052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3921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3444</v>
      </c>
      <c r="G1526" s="265">
        <v>750000</v>
      </c>
      <c r="H1526" s="269">
        <v>1</v>
      </c>
      <c r="K1526" s="265">
        <v>750000</v>
      </c>
      <c r="N1526" t="s">
        <v>3921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3921</v>
      </c>
    </row>
    <row r="1528" spans="1:14" x14ac:dyDescent="0.3">
      <c r="A1528" s="271">
        <v>1527</v>
      </c>
      <c r="B1528" s="264">
        <v>45905</v>
      </c>
      <c r="C1528" s="292" t="s">
        <v>3150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3921</v>
      </c>
    </row>
    <row r="1529" spans="1:14" x14ac:dyDescent="0.3">
      <c r="A1529" s="271">
        <v>1528</v>
      </c>
      <c r="B1529" s="264">
        <v>45905</v>
      </c>
      <c r="C1529" s="292" t="s">
        <v>3150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3921</v>
      </c>
    </row>
    <row r="1530" spans="1:14" x14ac:dyDescent="0.3">
      <c r="A1530" s="271">
        <v>1529</v>
      </c>
      <c r="B1530" s="264">
        <v>45905</v>
      </c>
      <c r="C1530" s="290" t="s">
        <v>3455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3921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3921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3921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3150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3455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3921</v>
      </c>
    </row>
    <row r="1538" spans="1:14" x14ac:dyDescent="0.3">
      <c r="A1538" s="271">
        <v>1537</v>
      </c>
      <c r="B1538" s="264">
        <v>45904</v>
      </c>
      <c r="C1538" s="292" t="s">
        <v>3409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3462</v>
      </c>
      <c r="E1539" s="292" t="s">
        <v>3469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3921</v>
      </c>
    </row>
    <row r="1540" spans="1:14" x14ac:dyDescent="0.3">
      <c r="A1540" s="271">
        <v>1539</v>
      </c>
      <c r="B1540" s="264">
        <v>45906</v>
      </c>
      <c r="C1540" s="292" t="s">
        <v>3462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3921</v>
      </c>
    </row>
    <row r="1541" spans="1:14" x14ac:dyDescent="0.3">
      <c r="A1541" s="271">
        <v>1540</v>
      </c>
      <c r="B1541" s="264">
        <v>45906</v>
      </c>
      <c r="C1541" s="292" t="s">
        <v>3462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3921</v>
      </c>
    </row>
    <row r="1542" spans="1:14" x14ac:dyDescent="0.3">
      <c r="A1542" s="271">
        <v>1541</v>
      </c>
      <c r="B1542" s="264">
        <v>45906</v>
      </c>
      <c r="C1542" s="292" t="s">
        <v>3462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3921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3472</v>
      </c>
      <c r="G1543" s="265">
        <v>100000</v>
      </c>
      <c r="H1543" s="269">
        <v>1</v>
      </c>
      <c r="K1543" s="265">
        <v>100000</v>
      </c>
      <c r="N1543" t="s">
        <v>3921</v>
      </c>
    </row>
    <row r="1544" spans="1:14" x14ac:dyDescent="0.3">
      <c r="A1544" s="271">
        <v>1543</v>
      </c>
      <c r="B1544" s="264">
        <v>45906</v>
      </c>
      <c r="C1544" s="292" t="s">
        <v>3465</v>
      </c>
      <c r="E1544" s="292" t="s">
        <v>3474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3921</v>
      </c>
    </row>
    <row r="1545" spans="1:14" x14ac:dyDescent="0.3">
      <c r="A1545" s="271">
        <v>1544</v>
      </c>
      <c r="B1545" s="264">
        <v>45906</v>
      </c>
      <c r="C1545" s="292" t="s">
        <v>3462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3465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3476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3921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3921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3469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3921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3921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3921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3921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3469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3482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3921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3921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3469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3921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3921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3921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3921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3921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3524</v>
      </c>
      <c r="E1567" s="292" t="s">
        <v>3525</v>
      </c>
      <c r="G1567" s="265">
        <v>1100000</v>
      </c>
      <c r="H1567" s="269">
        <v>1</v>
      </c>
      <c r="J1567" s="266" t="s">
        <v>3526</v>
      </c>
      <c r="K1567" s="265">
        <v>1210000</v>
      </c>
      <c r="N1567" t="s">
        <v>3921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3921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3921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3921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3921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3511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3921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3921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3921</v>
      </c>
    </row>
    <row r="1578" spans="1:14" x14ac:dyDescent="0.3">
      <c r="A1578" s="271">
        <v>1577</v>
      </c>
      <c r="B1578" s="264">
        <v>45910</v>
      </c>
      <c r="C1578" s="292" t="s">
        <v>3667</v>
      </c>
      <c r="E1578" s="292" t="s">
        <v>3669</v>
      </c>
      <c r="F1578" s="269" t="s">
        <v>3670</v>
      </c>
      <c r="G1578" s="265">
        <v>150000</v>
      </c>
      <c r="H1578" s="269">
        <v>1</v>
      </c>
      <c r="K1578" s="265">
        <v>150000</v>
      </c>
      <c r="M1578" s="292" t="s">
        <v>3671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3921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3510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3921</v>
      </c>
    </row>
    <row r="1581" spans="1:14" x14ac:dyDescent="0.3">
      <c r="A1581" s="271">
        <v>1580</v>
      </c>
      <c r="B1581" s="264">
        <v>45910</v>
      </c>
      <c r="C1581" s="292" t="s">
        <v>3507</v>
      </c>
      <c r="E1581" s="292" t="s">
        <v>3469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3921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3441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3921</v>
      </c>
    </row>
    <row r="1583" spans="1:14" x14ac:dyDescent="0.3">
      <c r="A1583" s="271">
        <v>1582</v>
      </c>
      <c r="B1583" s="264">
        <v>45910</v>
      </c>
      <c r="C1583" s="292" t="s">
        <v>3393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3921</v>
      </c>
    </row>
    <row r="1584" spans="1:14" x14ac:dyDescent="0.3">
      <c r="A1584" s="271">
        <v>1583</v>
      </c>
      <c r="B1584" s="264">
        <v>45910</v>
      </c>
      <c r="C1584" s="292" t="s">
        <v>3393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3921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3305</v>
      </c>
      <c r="G1585" s="265">
        <v>-300000</v>
      </c>
      <c r="H1585" s="269">
        <v>2</v>
      </c>
      <c r="L1585" s="265">
        <v>-600000</v>
      </c>
      <c r="N1585" t="s">
        <v>3921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3921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3921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3921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3469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3921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3921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3921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3921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3393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3507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3223</v>
      </c>
      <c r="F1601" s="269" t="s">
        <v>3528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3921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3921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3921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3921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3382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3921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3921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3535</v>
      </c>
      <c r="F1608" s="269" t="s">
        <v>3534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3921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3921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3382</v>
      </c>
      <c r="G1610" s="265">
        <v>450000</v>
      </c>
      <c r="H1610" s="269">
        <v>1</v>
      </c>
      <c r="K1610" s="265">
        <v>450000</v>
      </c>
      <c r="N1610" t="s">
        <v>3921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3921</v>
      </c>
    </row>
    <row r="1612" spans="1:14" x14ac:dyDescent="0.3">
      <c r="A1612" s="271">
        <v>1611</v>
      </c>
      <c r="B1612" s="264">
        <v>45911</v>
      </c>
      <c r="C1612" s="292" t="s">
        <v>3116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3921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3116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3921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3921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3921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3118</v>
      </c>
      <c r="G1619" s="265">
        <v>900000</v>
      </c>
      <c r="H1619" s="269">
        <v>1</v>
      </c>
      <c r="K1619" s="265">
        <v>900000</v>
      </c>
      <c r="N1619" t="s">
        <v>3921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3546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3921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3921</v>
      </c>
    </row>
    <row r="1622" spans="1:14" x14ac:dyDescent="0.3">
      <c r="A1622" s="271">
        <v>1621</v>
      </c>
      <c r="B1622" s="264">
        <v>45912</v>
      </c>
      <c r="C1622" s="292" t="s">
        <v>3549</v>
      </c>
      <c r="E1622" s="292" t="s">
        <v>3276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3921</v>
      </c>
    </row>
    <row r="1623" spans="1:14" x14ac:dyDescent="0.3">
      <c r="A1623" s="271">
        <v>1622</v>
      </c>
      <c r="B1623" s="264">
        <v>45912</v>
      </c>
      <c r="C1623" s="292" t="s">
        <v>3551</v>
      </c>
      <c r="E1623" s="292" t="s">
        <v>3552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3549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3921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3921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3921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3921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3921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3921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3555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3921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3921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3921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3921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3564</v>
      </c>
      <c r="L1636" s="265">
        <v>-1000000</v>
      </c>
      <c r="N1636" t="s">
        <v>3921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3469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3921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3469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3921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3567</v>
      </c>
      <c r="N1644" t="s">
        <v>3921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3921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3921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3921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3921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3921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3921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3580</v>
      </c>
      <c r="E1658" s="292" t="s">
        <v>3469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3921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3469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3921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3921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3921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3921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3921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3921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3921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3921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3590</v>
      </c>
      <c r="G1667" s="265">
        <v>2200000</v>
      </c>
      <c r="H1667" s="269">
        <v>1</v>
      </c>
      <c r="K1667" s="265">
        <v>2200000</v>
      </c>
      <c r="N1667" t="s">
        <v>3921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3921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3469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3921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3921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3921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3921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3921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3590</v>
      </c>
      <c r="F1675" s="269" t="s">
        <v>3600</v>
      </c>
      <c r="G1675" s="265">
        <v>900000</v>
      </c>
      <c r="H1675" s="269">
        <v>1</v>
      </c>
      <c r="K1675" s="265">
        <v>900000</v>
      </c>
      <c r="N1675" t="s">
        <v>3921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3921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3921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3921</v>
      </c>
    </row>
    <row r="1680" spans="1:14" x14ac:dyDescent="0.3">
      <c r="A1680" s="271">
        <v>1679</v>
      </c>
      <c r="B1680" s="264">
        <v>45918</v>
      </c>
      <c r="C1680" s="292" t="s">
        <v>3121</v>
      </c>
      <c r="E1680" s="292" t="s">
        <v>2043</v>
      </c>
      <c r="F1680" s="269" t="s">
        <v>3610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3921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3043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3921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3921</v>
      </c>
    </row>
    <row r="1683" spans="1:14" x14ac:dyDescent="0.3">
      <c r="A1683" s="271">
        <v>1682</v>
      </c>
      <c r="B1683" s="264">
        <v>45918</v>
      </c>
      <c r="C1683" s="292" t="s">
        <v>3454</v>
      </c>
      <c r="E1683" s="292" t="s">
        <v>3602</v>
      </c>
      <c r="F1683" s="269" t="s">
        <v>3601</v>
      </c>
      <c r="G1683" s="265">
        <v>300000</v>
      </c>
      <c r="H1683" s="269">
        <v>1</v>
      </c>
      <c r="K1683" s="265">
        <v>300000</v>
      </c>
      <c r="N1683" t="s">
        <v>3921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3921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3599</v>
      </c>
      <c r="F1685" s="269" t="s">
        <v>3598</v>
      </c>
      <c r="G1685" s="265">
        <v>130000</v>
      </c>
      <c r="H1685" s="269">
        <v>1</v>
      </c>
      <c r="K1685" s="265">
        <v>130000</v>
      </c>
      <c r="N1685" t="s">
        <v>3921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3590</v>
      </c>
      <c r="F1686" s="269" t="s">
        <v>3600</v>
      </c>
      <c r="G1686" s="265">
        <v>2200000</v>
      </c>
      <c r="H1686" s="269">
        <v>1</v>
      </c>
      <c r="K1686" s="265">
        <v>2200000</v>
      </c>
      <c r="N1686" t="s">
        <v>3921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3596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3921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3921</v>
      </c>
    </row>
    <row r="1689" spans="1:14" x14ac:dyDescent="0.3">
      <c r="A1689" s="271">
        <v>1688</v>
      </c>
      <c r="B1689" s="264">
        <v>45918</v>
      </c>
      <c r="C1689" s="292" t="s">
        <v>3116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3921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3922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3632</v>
      </c>
      <c r="E1692" s="292" t="s">
        <v>3633</v>
      </c>
      <c r="F1692" s="269" t="s">
        <v>3634</v>
      </c>
      <c r="G1692" s="265">
        <v>350000</v>
      </c>
      <c r="H1692" s="269">
        <v>2</v>
      </c>
      <c r="J1692" s="266" t="s">
        <v>3635</v>
      </c>
      <c r="K1692" s="265">
        <v>770000</v>
      </c>
      <c r="N1692" t="s">
        <v>3921</v>
      </c>
    </row>
    <row r="1693" spans="1:14" x14ac:dyDescent="0.3">
      <c r="A1693" s="271">
        <v>1692</v>
      </c>
      <c r="B1693" s="264">
        <v>45918</v>
      </c>
      <c r="C1693" s="292" t="s">
        <v>3116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3454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3580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3921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3921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3590</v>
      </c>
      <c r="F1701" s="269" t="s">
        <v>3600</v>
      </c>
      <c r="G1701" s="265">
        <v>2000000</v>
      </c>
      <c r="H1701" s="269">
        <v>1</v>
      </c>
      <c r="K1701" s="265">
        <v>2000000</v>
      </c>
      <c r="N1701" t="s">
        <v>3921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3629</v>
      </c>
      <c r="G1702" s="265">
        <v>250000</v>
      </c>
      <c r="H1702" s="269">
        <v>1</v>
      </c>
      <c r="K1702" s="265">
        <v>250000</v>
      </c>
      <c r="N1702" t="s">
        <v>3921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3631</v>
      </c>
      <c r="L1703" s="265">
        <v>-2000000</v>
      </c>
      <c r="N1703" t="s">
        <v>3921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3121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3921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3719</v>
      </c>
      <c r="E1714" s="292" t="s">
        <v>3720</v>
      </c>
      <c r="F1714" s="269" t="s">
        <v>3721</v>
      </c>
      <c r="G1714" s="265">
        <v>1300000</v>
      </c>
      <c r="H1714" s="269">
        <v>1</v>
      </c>
      <c r="J1714" s="266" t="s">
        <v>3144</v>
      </c>
      <c r="K1714" s="265">
        <v>1430000</v>
      </c>
      <c r="N1714" t="s">
        <v>3921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3921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3921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3921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3921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3921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3921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3921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3921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3655</v>
      </c>
      <c r="N1730" t="s">
        <v>3921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3921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3590</v>
      </c>
      <c r="F1732" s="269" t="s">
        <v>3600</v>
      </c>
      <c r="G1732" s="265">
        <v>2200000</v>
      </c>
      <c r="H1732" s="269">
        <v>1</v>
      </c>
      <c r="K1732" s="265">
        <v>2200000</v>
      </c>
      <c r="N1732" t="s">
        <v>3921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3921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3921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3921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3921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3469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3921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3921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3921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3921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3921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3662</v>
      </c>
      <c r="G1742" s="265">
        <v>150000</v>
      </c>
      <c r="H1742" s="269">
        <v>1</v>
      </c>
      <c r="K1742" s="265">
        <v>150000</v>
      </c>
      <c r="N1742" t="s">
        <v>3921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3664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3921</v>
      </c>
    </row>
    <row r="1746" spans="1:14" x14ac:dyDescent="0.3">
      <c r="A1746" s="271">
        <v>1745</v>
      </c>
      <c r="B1746" s="264">
        <v>45924</v>
      </c>
      <c r="C1746" s="292" t="s">
        <v>3667</v>
      </c>
      <c r="E1746" s="292" t="s">
        <v>3668</v>
      </c>
      <c r="L1746" s="265">
        <v>-150000</v>
      </c>
      <c r="N1746" t="s">
        <v>3921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3666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3921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3673</v>
      </c>
      <c r="G1748" s="265">
        <v>1100000</v>
      </c>
      <c r="H1748" s="269">
        <v>1</v>
      </c>
      <c r="K1748" s="265">
        <v>1100000</v>
      </c>
      <c r="N1748" t="s">
        <v>3921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3590</v>
      </c>
      <c r="F1749" s="269" t="s">
        <v>3600</v>
      </c>
      <c r="G1749" s="265">
        <v>2200000</v>
      </c>
      <c r="H1749" s="269">
        <v>1</v>
      </c>
      <c r="K1749" s="265">
        <v>2200000</v>
      </c>
      <c r="N1749" t="s">
        <v>3921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3921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3921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3921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3921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3921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3921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3921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3921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3921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3921</v>
      </c>
    </row>
    <row r="1768" spans="1:14" x14ac:dyDescent="0.3">
      <c r="A1768" s="271">
        <v>1767</v>
      </c>
      <c r="B1768" s="264">
        <v>45926</v>
      </c>
      <c r="C1768" s="292" t="s">
        <v>3729</v>
      </c>
      <c r="E1768" s="292">
        <v>2703900</v>
      </c>
      <c r="F1768" s="269" t="s">
        <v>3730</v>
      </c>
      <c r="G1768" s="265">
        <v>1000000</v>
      </c>
      <c r="H1768" s="269">
        <v>1</v>
      </c>
      <c r="K1768" s="265">
        <v>1000000</v>
      </c>
      <c r="N1768" t="s">
        <v>3921</v>
      </c>
    </row>
    <row r="1769" spans="1:14" x14ac:dyDescent="0.3">
      <c r="A1769" s="271">
        <v>1768</v>
      </c>
      <c r="B1769" s="264">
        <v>45927</v>
      </c>
      <c r="C1769" s="292" t="s">
        <v>3729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3732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3921</v>
      </c>
    </row>
    <row r="1771" spans="1:14" x14ac:dyDescent="0.3">
      <c r="A1771" s="271">
        <v>1770</v>
      </c>
      <c r="B1771" s="264">
        <v>45927</v>
      </c>
      <c r="C1771" s="292" t="s">
        <v>3732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3737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3738</v>
      </c>
      <c r="N1774" t="s">
        <v>3921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3742</v>
      </c>
      <c r="H1775" s="269">
        <v>1</v>
      </c>
      <c r="K1775" s="265">
        <v>0</v>
      </c>
      <c r="M1775" s="292" t="s">
        <v>3743</v>
      </c>
      <c r="N1775" t="s">
        <v>3921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3749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3751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3921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3921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3921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3052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3921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3052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3921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3756</v>
      </c>
      <c r="N1784" t="s">
        <v>3921</v>
      </c>
    </row>
    <row r="1785" spans="1:14" x14ac:dyDescent="0.3">
      <c r="A1785" s="271">
        <v>1784</v>
      </c>
      <c r="B1785" s="264">
        <v>45929</v>
      </c>
      <c r="C1785" s="292" t="s">
        <v>3270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3758</v>
      </c>
      <c r="N1785" t="s">
        <v>3921</v>
      </c>
    </row>
    <row r="1786" spans="1:14" x14ac:dyDescent="0.3">
      <c r="A1786" s="271">
        <v>1785</v>
      </c>
      <c r="B1786" s="264">
        <v>45929</v>
      </c>
      <c r="C1786" s="292" t="s">
        <v>3465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3760</v>
      </c>
      <c r="N1786" t="s">
        <v>3921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3921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3921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3921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3921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3921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3921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3921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3921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3921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3767</v>
      </c>
      <c r="L1796" s="265">
        <v>-800000</v>
      </c>
      <c r="N1796" t="s">
        <v>3921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3270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3465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3921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3921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3921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3921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3921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3788</v>
      </c>
      <c r="E1810" s="292" t="s">
        <v>3789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3921</v>
      </c>
    </row>
    <row r="1811" spans="1:14" x14ac:dyDescent="0.3">
      <c r="A1811" s="271">
        <v>1810</v>
      </c>
      <c r="B1811" s="264">
        <v>45930</v>
      </c>
      <c r="C1811" s="292" t="s">
        <v>3788</v>
      </c>
      <c r="E1811" s="292" t="s">
        <v>3790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3791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3792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3794</v>
      </c>
      <c r="E1819" s="292" t="s">
        <v>3795</v>
      </c>
      <c r="F1819" s="269" t="s">
        <v>3796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3469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3826</v>
      </c>
      <c r="E1827" s="292" t="s">
        <v>3469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3835</v>
      </c>
      <c r="F1834" s="269" t="s">
        <v>3834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3829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3839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3842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3829</v>
      </c>
      <c r="E1838" s="292" t="s">
        <v>3843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3852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3860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3862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3637</v>
      </c>
      <c r="F1855" s="269" t="s">
        <v>3636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3867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3402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3402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3826</v>
      </c>
      <c r="E1864" s="292" t="s">
        <v>3469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3826</v>
      </c>
      <c r="E1870" s="292" t="s">
        <v>3879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3881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3402</v>
      </c>
      <c r="E1872" s="292" t="s">
        <v>3882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3892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3890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3894</v>
      </c>
    </row>
    <row r="1880" spans="1:13" x14ac:dyDescent="0.3">
      <c r="A1880" s="271">
        <v>1879</v>
      </c>
      <c r="B1880" s="264">
        <v>45943</v>
      </c>
      <c r="C1880" s="292" t="s">
        <v>3896</v>
      </c>
      <c r="E1880" s="292" t="s">
        <v>3469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3469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3344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3903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3903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3270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3907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3903</v>
      </c>
      <c r="E1888" s="292" t="s">
        <v>3909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3911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3913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3270</v>
      </c>
      <c r="E1891" s="292" t="s">
        <v>3915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3896</v>
      </c>
      <c r="E1892" s="292" t="s">
        <v>3917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3925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3928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3223</v>
      </c>
      <c r="F1903" s="269" t="s">
        <v>3528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3469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3116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3936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I89" sqref="I89:I9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45944</v>
      </c>
      <c r="B3" s="235" t="s">
        <v>1126</v>
      </c>
      <c r="C3" s="286">
        <f>SUMIF($B:$B,A3,I:I)</f>
        <v>4375000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6541002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39106000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39106000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3791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3792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3664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3826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3835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3829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3842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3829</v>
      </c>
      <c r="D30" s="112" t="s">
        <v>3843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3844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3845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3846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3852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3860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3862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3637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3826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3877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3878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3826</v>
      </c>
      <c r="D62" s="113" t="s">
        <v>3879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3881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3402</v>
      </c>
      <c r="D64" s="113" t="s">
        <v>3882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3890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3896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3903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3903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3907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3903</v>
      </c>
      <c r="D80" s="113" t="s">
        <v>3909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3911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3913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3270</v>
      </c>
      <c r="D83" s="113" t="s">
        <v>3915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3896</v>
      </c>
      <c r="D84" s="113" t="s">
        <v>3917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3925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3047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1399</v>
      </c>
      <c r="D93" s="113" t="s">
        <v>3926</v>
      </c>
      <c r="F93" s="80">
        <v>20000</v>
      </c>
      <c r="G93" s="120">
        <v>1</v>
      </c>
      <c r="I93" s="80">
        <v>20000</v>
      </c>
    </row>
    <row r="94" spans="1:10" ht="18" customHeight="1" x14ac:dyDescent="0.3">
      <c r="A94" s="82">
        <v>1901</v>
      </c>
      <c r="B94" s="93">
        <v>45944</v>
      </c>
      <c r="C94" s="83" t="s">
        <v>3928</v>
      </c>
      <c r="D94" s="113" t="s">
        <v>1203</v>
      </c>
      <c r="F94" s="80">
        <v>1200000</v>
      </c>
      <c r="G94" s="120">
        <v>1</v>
      </c>
      <c r="H94" s="126">
        <v>120000</v>
      </c>
      <c r="I94" s="80">
        <v>1320000</v>
      </c>
    </row>
    <row r="95" spans="1:10" ht="18" customHeight="1" x14ac:dyDescent="0.3">
      <c r="A95" s="82">
        <v>1902</v>
      </c>
      <c r="B95" s="93">
        <v>45944</v>
      </c>
      <c r="C95" s="83" t="s">
        <v>1586</v>
      </c>
      <c r="D95" s="113" t="s">
        <v>2913</v>
      </c>
      <c r="F95" s="80">
        <v>130000</v>
      </c>
      <c r="G95" s="120">
        <v>1</v>
      </c>
      <c r="H95" s="126">
        <v>13000</v>
      </c>
      <c r="I95" s="80">
        <v>143000</v>
      </c>
    </row>
    <row r="96" spans="1:10" ht="18" customHeight="1" x14ac:dyDescent="0.3">
      <c r="A96" s="82">
        <v>1903</v>
      </c>
      <c r="B96" s="93">
        <v>45944</v>
      </c>
      <c r="C96" s="83" t="s">
        <v>1805</v>
      </c>
      <c r="D96" s="113" t="s">
        <v>3223</v>
      </c>
      <c r="F96" s="80">
        <v>1200000</v>
      </c>
      <c r="G96" s="120">
        <v>1</v>
      </c>
      <c r="H96" s="126">
        <v>120000</v>
      </c>
      <c r="I96" s="80">
        <v>1320000</v>
      </c>
    </row>
    <row r="97" spans="1:9" ht="18" customHeight="1" x14ac:dyDescent="0.3">
      <c r="A97" s="82">
        <v>1904</v>
      </c>
      <c r="B97" s="93">
        <v>45944</v>
      </c>
      <c r="C97" s="83" t="s">
        <v>1554</v>
      </c>
      <c r="D97" s="113" t="s">
        <v>1266</v>
      </c>
      <c r="F97" s="80">
        <v>50000</v>
      </c>
      <c r="G97" s="120">
        <v>5</v>
      </c>
      <c r="I97" s="80">
        <v>250000</v>
      </c>
    </row>
    <row r="98" spans="1:9" ht="18" customHeight="1" x14ac:dyDescent="0.3">
      <c r="A98" s="82">
        <v>1905</v>
      </c>
      <c r="B98" s="93">
        <v>45944</v>
      </c>
      <c r="C98" s="83" t="s">
        <v>1580</v>
      </c>
      <c r="D98" s="113" t="s">
        <v>3469</v>
      </c>
      <c r="F98" s="80">
        <v>526364</v>
      </c>
      <c r="G98" s="120">
        <v>1</v>
      </c>
      <c r="H98" s="126">
        <v>52636</v>
      </c>
      <c r="I98" s="80">
        <v>579000</v>
      </c>
    </row>
    <row r="99" spans="1:9" ht="18" customHeight="1" x14ac:dyDescent="0.3">
      <c r="A99" s="82">
        <v>1906</v>
      </c>
      <c r="B99" s="93">
        <v>45944</v>
      </c>
      <c r="C99" s="83" t="s">
        <v>1580</v>
      </c>
      <c r="D99" s="113" t="s">
        <v>2188</v>
      </c>
      <c r="F99" s="80">
        <v>130000</v>
      </c>
      <c r="G99" s="120">
        <v>1</v>
      </c>
      <c r="H99" s="126">
        <v>13000</v>
      </c>
      <c r="I99" s="80">
        <v>143000</v>
      </c>
    </row>
    <row r="100" spans="1:9" ht="18" customHeight="1" x14ac:dyDescent="0.3">
      <c r="A100" s="82">
        <v>1907</v>
      </c>
      <c r="B100" s="93">
        <v>45944</v>
      </c>
      <c r="C100" s="83" t="s">
        <v>3116</v>
      </c>
      <c r="D100" s="113" t="s">
        <v>2197</v>
      </c>
      <c r="F100" s="80"/>
      <c r="G100" s="120">
        <v>1</v>
      </c>
      <c r="I100" s="80">
        <v>0</v>
      </c>
    </row>
    <row r="101" spans="1:9" ht="18" customHeight="1" x14ac:dyDescent="0.3">
      <c r="F101" s="80"/>
      <c r="G101" s="120"/>
    </row>
    <row r="102" spans="1:9" ht="18" customHeight="1" x14ac:dyDescent="0.3">
      <c r="F102" s="80"/>
      <c r="G102" s="120"/>
    </row>
    <row r="103" spans="1:9" ht="18" customHeight="1" x14ac:dyDescent="0.3">
      <c r="F103" s="80"/>
      <c r="G103" s="120"/>
    </row>
    <row r="104" spans="1:9" ht="18" customHeight="1" x14ac:dyDescent="0.3">
      <c r="F104" s="80"/>
      <c r="G104" s="120"/>
    </row>
    <row r="105" spans="1:9" ht="18" customHeight="1" x14ac:dyDescent="0.3">
      <c r="F105" s="80"/>
      <c r="G105" s="120"/>
    </row>
    <row r="106" spans="1:9" ht="18" customHeight="1" x14ac:dyDescent="0.3">
      <c r="F106" s="80"/>
      <c r="G106" s="120"/>
    </row>
    <row r="107" spans="1:9" ht="18" customHeight="1" x14ac:dyDescent="0.3">
      <c r="F107" s="80"/>
      <c r="G107" s="120"/>
    </row>
    <row r="108" spans="1:9" ht="18" customHeight="1" x14ac:dyDescent="0.3">
      <c r="F108" s="80"/>
      <c r="G108" s="120"/>
    </row>
    <row r="109" spans="1:9" ht="18" customHeight="1" x14ac:dyDescent="0.3">
      <c r="F109" s="80"/>
      <c r="G109" s="120"/>
    </row>
    <row r="110" spans="1:9" ht="18" customHeight="1" x14ac:dyDescent="0.3">
      <c r="F110" s="80"/>
      <c r="G110" s="120"/>
    </row>
    <row r="111" spans="1:9" ht="18" customHeight="1" x14ac:dyDescent="0.3">
      <c r="F111" s="80"/>
      <c r="G111" s="120"/>
    </row>
    <row r="112" spans="1:9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3523</v>
      </c>
    </row>
    <row r="141" spans="11:11" ht="18" customHeight="1" x14ac:dyDescent="0.3">
      <c r="K141" s="69" t="s">
        <v>3523</v>
      </c>
    </row>
    <row r="142" spans="11:11" ht="18" customHeight="1" x14ac:dyDescent="0.3">
      <c r="K142" s="69" t="s">
        <v>3523</v>
      </c>
    </row>
    <row r="143" spans="11:11" ht="18" customHeight="1" x14ac:dyDescent="0.3">
      <c r="K143" s="69" t="s">
        <v>3523</v>
      </c>
    </row>
    <row r="144" spans="11:11" ht="18" customHeight="1" x14ac:dyDescent="0.3">
      <c r="K144" s="69" t="s">
        <v>3523</v>
      </c>
    </row>
    <row r="145" spans="11:11" ht="18" customHeight="1" x14ac:dyDescent="0.3">
      <c r="K145" s="69" t="s">
        <v>3523</v>
      </c>
    </row>
    <row r="146" spans="11:11" ht="18" customHeight="1" x14ac:dyDescent="0.3">
      <c r="K146" s="69" t="s">
        <v>3523</v>
      </c>
    </row>
    <row r="147" spans="11:11" ht="18" customHeight="1" x14ac:dyDescent="0.3">
      <c r="K147" s="69" t="s">
        <v>3523</v>
      </c>
    </row>
    <row r="148" spans="11:11" ht="18" customHeight="1" x14ac:dyDescent="0.3">
      <c r="K148" s="69" t="s">
        <v>3523</v>
      </c>
    </row>
    <row r="150" spans="11:11" ht="18" customHeight="1" x14ac:dyDescent="0.3">
      <c r="K150" s="69" t="s">
        <v>3523</v>
      </c>
    </row>
    <row r="151" spans="11:11" ht="18" customHeight="1" x14ac:dyDescent="0.3">
      <c r="K151" s="69" t="s">
        <v>3523</v>
      </c>
    </row>
    <row r="152" spans="11:11" ht="18" customHeight="1" x14ac:dyDescent="0.3">
      <c r="K152" s="69" t="s">
        <v>3523</v>
      </c>
    </row>
    <row r="153" spans="11:11" ht="18" customHeight="1" x14ac:dyDescent="0.3">
      <c r="K153" s="69" t="s">
        <v>3523</v>
      </c>
    </row>
    <row r="154" spans="11:11" ht="18" customHeight="1" x14ac:dyDescent="0.3">
      <c r="K154" s="69" t="s">
        <v>3523</v>
      </c>
    </row>
    <row r="155" spans="11:11" ht="18" customHeight="1" x14ac:dyDescent="0.3">
      <c r="K155" s="69" t="s">
        <v>3523</v>
      </c>
    </row>
    <row r="156" spans="11:11" ht="18" customHeight="1" x14ac:dyDescent="0.3">
      <c r="K156" s="69" t="s">
        <v>3523</v>
      </c>
    </row>
    <row r="157" spans="11:11" ht="18" customHeight="1" x14ac:dyDescent="0.3">
      <c r="K157" s="69" t="s">
        <v>3523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3678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3812</v>
      </c>
    </row>
    <row r="3" spans="1:6" x14ac:dyDescent="0.3">
      <c r="B3" s="58" t="s">
        <v>1302</v>
      </c>
      <c r="C3" s="301">
        <f>SUMIF(BTS_매출관리!C:C,B3,BTS_매출관리!I:I)</f>
        <v>3070000</v>
      </c>
      <c r="D3" s="58">
        <f t="shared" si="0"/>
        <v>2</v>
      </c>
      <c r="E3" t="s">
        <v>3812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7</v>
      </c>
      <c r="E4" t="s">
        <v>3812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3</v>
      </c>
      <c r="E5" t="s">
        <v>3812</v>
      </c>
    </row>
    <row r="6" spans="1:6" x14ac:dyDescent="0.3">
      <c r="B6" s="58" t="s">
        <v>1279</v>
      </c>
      <c r="C6" s="301">
        <f>SUMIF(BTS_매출관리!C:C,B6,BTS_매출관리!I:I)</f>
        <v>1220000</v>
      </c>
      <c r="D6" s="58">
        <f t="shared" si="0"/>
        <v>12</v>
      </c>
      <c r="E6" t="s">
        <v>3812</v>
      </c>
    </row>
    <row r="7" spans="1:6" x14ac:dyDescent="0.3">
      <c r="B7" s="58" t="s">
        <v>1336</v>
      </c>
      <c r="C7" s="301">
        <f>SUMIF(BTS_매출관리!C:C,B7,BTS_매출관리!I:I)</f>
        <v>2305000</v>
      </c>
      <c r="D7" s="58">
        <f t="shared" si="0"/>
        <v>5</v>
      </c>
      <c r="E7" t="s">
        <v>3812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19</v>
      </c>
      <c r="E8" t="s">
        <v>3812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14</v>
      </c>
      <c r="E9" t="s">
        <v>3812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23</v>
      </c>
      <c r="E10" t="s">
        <v>3812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25</v>
      </c>
      <c r="E11" t="s">
        <v>3812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18</v>
      </c>
      <c r="E12" t="s">
        <v>3812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30</v>
      </c>
      <c r="E13" t="s">
        <v>3812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25</v>
      </c>
      <c r="E14" t="s">
        <v>3812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876000</v>
      </c>
      <c r="D15" s="58">
        <f t="shared" si="0"/>
        <v>17</v>
      </c>
      <c r="E15" t="s">
        <v>3812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30</v>
      </c>
      <c r="E16" t="s">
        <v>3812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30</v>
      </c>
      <c r="E17" t="s">
        <v>3812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21</v>
      </c>
      <c r="E18" t="s">
        <v>3776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30</v>
      </c>
      <c r="E19" t="s">
        <v>3812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30</v>
      </c>
      <c r="E20" t="s">
        <v>3812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30</v>
      </c>
      <c r="E21" t="s">
        <v>3812</v>
      </c>
      <c r="F21" t="s">
        <v>3704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30</v>
      </c>
      <c r="E22" t="s">
        <v>3812</v>
      </c>
      <c r="F22" t="s">
        <v>3679</v>
      </c>
      <c r="G22" t="s">
        <v>3811</v>
      </c>
      <c r="I22" t="s">
        <v>3682</v>
      </c>
      <c r="J22" s="303" t="s">
        <v>3722</v>
      </c>
      <c r="O22" t="s">
        <v>3705</v>
      </c>
      <c r="P22">
        <v>2</v>
      </c>
      <c r="Q22" t="s">
        <v>3812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30</v>
      </c>
      <c r="E23" t="s">
        <v>3812</v>
      </c>
      <c r="F23" t="s">
        <v>3680</v>
      </c>
      <c r="G23" t="s">
        <v>3811</v>
      </c>
      <c r="I23" t="s">
        <v>3684</v>
      </c>
      <c r="J23" s="303" t="s">
        <v>3722</v>
      </c>
      <c r="O23" t="s">
        <v>3706</v>
      </c>
      <c r="P23">
        <v>3</v>
      </c>
      <c r="Q23" t="s">
        <v>3812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16</v>
      </c>
      <c r="E24" t="s">
        <v>3812</v>
      </c>
      <c r="F24" t="s">
        <v>3681</v>
      </c>
      <c r="G24" t="s">
        <v>3811</v>
      </c>
      <c r="I24" t="s">
        <v>3686</v>
      </c>
      <c r="J24" s="303" t="s">
        <v>3722</v>
      </c>
      <c r="O24" t="s">
        <v>3707</v>
      </c>
      <c r="P24">
        <v>2</v>
      </c>
      <c r="Q24" t="s">
        <v>3812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30</v>
      </c>
      <c r="E25" t="s">
        <v>3812</v>
      </c>
      <c r="F25" t="s">
        <v>3683</v>
      </c>
      <c r="G25" t="s">
        <v>3722</v>
      </c>
      <c r="I25" t="s">
        <v>3689</v>
      </c>
      <c r="J25" s="303" t="s">
        <v>3811</v>
      </c>
      <c r="O25" t="s">
        <v>3708</v>
      </c>
      <c r="P25">
        <v>1</v>
      </c>
      <c r="R25" t="s">
        <v>3811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30</v>
      </c>
      <c r="E26" t="s">
        <v>3812</v>
      </c>
      <c r="F26" t="s">
        <v>3685</v>
      </c>
      <c r="G26" t="s">
        <v>3811</v>
      </c>
      <c r="I26" t="s">
        <v>3702</v>
      </c>
      <c r="J26" s="303" t="s">
        <v>3741</v>
      </c>
      <c r="O26" t="s">
        <v>3709</v>
      </c>
      <c r="P26">
        <v>2</v>
      </c>
      <c r="Q26" t="s">
        <v>3723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30</v>
      </c>
      <c r="E27" t="s">
        <v>3812</v>
      </c>
      <c r="F27" t="s">
        <v>3797</v>
      </c>
      <c r="G27" t="s">
        <v>3819</v>
      </c>
      <c r="I27" t="s">
        <v>2860</v>
      </c>
      <c r="J27" s="303" t="s">
        <v>3741</v>
      </c>
      <c r="O27" t="s">
        <v>3710</v>
      </c>
      <c r="P27">
        <v>1</v>
      </c>
      <c r="Q27" t="s">
        <v>3722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30</v>
      </c>
      <c r="E28" t="s">
        <v>3812</v>
      </c>
      <c r="F28" t="s">
        <v>3688</v>
      </c>
      <c r="G28" t="s">
        <v>3817</v>
      </c>
      <c r="I28" t="s">
        <v>2258</v>
      </c>
      <c r="J28" s="303" t="s">
        <v>3741</v>
      </c>
      <c r="O28" t="s">
        <v>3711</v>
      </c>
      <c r="P28">
        <v>2</v>
      </c>
      <c r="R28" t="s">
        <v>3818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30</v>
      </c>
      <c r="E29" t="s">
        <v>2863</v>
      </c>
      <c r="F29" t="s">
        <v>3690</v>
      </c>
      <c r="G29" t="s">
        <v>3811</v>
      </c>
      <c r="O29" t="s">
        <v>3712</v>
      </c>
      <c r="P29">
        <v>2</v>
      </c>
      <c r="Q29" t="s">
        <v>3812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30</v>
      </c>
      <c r="F30" t="s">
        <v>3691</v>
      </c>
      <c r="G30" t="s">
        <v>3817</v>
      </c>
      <c r="O30" t="s">
        <v>3713</v>
      </c>
      <c r="P30">
        <v>2</v>
      </c>
      <c r="Q30" t="s">
        <v>3740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30</v>
      </c>
      <c r="F31" t="s">
        <v>3692</v>
      </c>
      <c r="G31" t="s">
        <v>3811</v>
      </c>
      <c r="O31" t="s">
        <v>3714</v>
      </c>
      <c r="P31">
        <v>1</v>
      </c>
      <c r="R31" t="s">
        <v>3817</v>
      </c>
    </row>
    <row r="32" spans="2:18" x14ac:dyDescent="0.3">
      <c r="B32" s="58" t="s">
        <v>980</v>
      </c>
      <c r="C32" s="301">
        <f>SUMIF(BTS_매출관리!C:C,B32,BTS_매출관리!I:I)</f>
        <v>143000</v>
      </c>
      <c r="D32" s="58">
        <f t="shared" si="0"/>
        <v>28</v>
      </c>
      <c r="E32" t="s">
        <v>3812</v>
      </c>
      <c r="F32" t="s">
        <v>3693</v>
      </c>
      <c r="G32" t="s">
        <v>3811</v>
      </c>
      <c r="O32" t="s">
        <v>3715</v>
      </c>
      <c r="P32">
        <v>1</v>
      </c>
      <c r="R32" t="s">
        <v>3811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30</v>
      </c>
      <c r="F33" t="s">
        <v>3694</v>
      </c>
      <c r="G33" t="s">
        <v>3811</v>
      </c>
      <c r="O33" t="s">
        <v>3716</v>
      </c>
      <c r="P33">
        <v>1</v>
      </c>
      <c r="Q33" t="s">
        <v>3724</v>
      </c>
    </row>
    <row r="34" spans="2:17" x14ac:dyDescent="0.3">
      <c r="B34" s="58" t="s">
        <v>1488</v>
      </c>
      <c r="C34" s="301">
        <f>SUMIF(BTS_매출관리!C:C,B34,BTS_매출관리!I:I)</f>
        <v>0</v>
      </c>
      <c r="D34" s="58">
        <f t="shared" si="0"/>
        <v>30</v>
      </c>
      <c r="E34" t="s">
        <v>3812</v>
      </c>
      <c r="F34" t="s">
        <v>3695</v>
      </c>
      <c r="G34" t="s">
        <v>3817</v>
      </c>
      <c r="O34" t="s">
        <v>3687</v>
      </c>
      <c r="P34">
        <v>2</v>
      </c>
      <c r="Q34" t="s">
        <v>3812</v>
      </c>
    </row>
    <row r="35" spans="2:17" x14ac:dyDescent="0.3">
      <c r="B35" s="58" t="s">
        <v>2916</v>
      </c>
      <c r="C35" s="301">
        <f>SUMIF(BTS_매출관리!C:C,B35,BTS_매출관리!I:I)</f>
        <v>0</v>
      </c>
      <c r="D35" s="58">
        <f t="shared" si="0"/>
        <v>30</v>
      </c>
      <c r="E35" t="s">
        <v>3812</v>
      </c>
      <c r="F35" t="s">
        <v>3696</v>
      </c>
      <c r="G35" t="s">
        <v>3817</v>
      </c>
      <c r="O35" t="s">
        <v>3717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1955000</v>
      </c>
      <c r="D36" s="58">
        <f t="shared" si="0"/>
        <v>6</v>
      </c>
      <c r="F36" t="s">
        <v>3697</v>
      </c>
      <c r="G36" t="s">
        <v>3811</v>
      </c>
      <c r="O36" t="s">
        <v>3718</v>
      </c>
      <c r="P36">
        <v>1</v>
      </c>
      <c r="Q36" t="s">
        <v>3812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30</v>
      </c>
      <c r="E37" t="s">
        <v>3812</v>
      </c>
      <c r="F37" t="s">
        <v>3698</v>
      </c>
      <c r="G37" t="s">
        <v>3811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30</v>
      </c>
      <c r="E38" t="s">
        <v>3776</v>
      </c>
      <c r="F38" t="s">
        <v>3699</v>
      </c>
      <c r="G38" t="s">
        <v>3817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30</v>
      </c>
      <c r="E39" t="s">
        <v>3812</v>
      </c>
      <c r="F39" t="s">
        <v>3700</v>
      </c>
      <c r="G39" t="s">
        <v>3817</v>
      </c>
    </row>
    <row r="40" spans="2:17" x14ac:dyDescent="0.3">
      <c r="B40" s="58" t="s">
        <v>1349</v>
      </c>
      <c r="C40" s="301">
        <f>SUMIF(BTS_매출관리!C:C,B40,BTS_매출관리!I:I)</f>
        <v>1320000</v>
      </c>
      <c r="D40" s="58">
        <f t="shared" si="0"/>
        <v>11</v>
      </c>
      <c r="F40" t="s">
        <v>3701</v>
      </c>
      <c r="G40" t="s">
        <v>3817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30</v>
      </c>
      <c r="E41" t="s">
        <v>3812</v>
      </c>
      <c r="F41" t="s">
        <v>3703</v>
      </c>
      <c r="G41" t="s">
        <v>3811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30</v>
      </c>
      <c r="F42" t="s">
        <v>1328</v>
      </c>
      <c r="G42" t="s">
        <v>3817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19</v>
      </c>
      <c r="F43" t="s">
        <v>3798</v>
      </c>
      <c r="G43" t="s">
        <v>3811</v>
      </c>
    </row>
    <row r="44" spans="2:17" x14ac:dyDescent="0.3">
      <c r="B44" s="58" t="s">
        <v>1298</v>
      </c>
      <c r="C44" s="301">
        <f>SUMIF(BTS_매출관리!C:C,B44,BTS_매출관리!I:I)</f>
        <v>600000</v>
      </c>
      <c r="D44" s="58">
        <f t="shared" si="0"/>
        <v>22</v>
      </c>
      <c r="E44" t="s">
        <v>3812</v>
      </c>
      <c r="F44" t="s">
        <v>3799</v>
      </c>
      <c r="G44" t="s">
        <v>3811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30</v>
      </c>
      <c r="E45" t="s">
        <v>3812</v>
      </c>
      <c r="F45" t="s">
        <v>3800</v>
      </c>
      <c r="G45" t="s">
        <v>3811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30</v>
      </c>
      <c r="F46" t="s">
        <v>3813</v>
      </c>
      <c r="G46" t="s">
        <v>3811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30</v>
      </c>
      <c r="E47" t="s">
        <v>3812</v>
      </c>
      <c r="F47" s="58" t="s">
        <v>1035</v>
      </c>
      <c r="G47" t="s">
        <v>3811</v>
      </c>
      <c r="K47" t="s">
        <v>3811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30</v>
      </c>
      <c r="F48" s="58" t="s">
        <v>1357</v>
      </c>
      <c r="G48" t="s">
        <v>3817</v>
      </c>
      <c r="K48" t="s">
        <v>3817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30</v>
      </c>
      <c r="F49" t="s">
        <v>1321</v>
      </c>
      <c r="G49" t="s">
        <v>3817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30</v>
      </c>
    </row>
    <row r="51" spans="2:7" x14ac:dyDescent="0.3">
      <c r="B51" s="58" t="s">
        <v>2865</v>
      </c>
      <c r="C51" s="301">
        <f>SUMIF(BTS_매출관리!C:C,B51,BTS_매출관리!I:I)</f>
        <v>0</v>
      </c>
      <c r="D51" s="58">
        <f t="shared" si="0"/>
        <v>30</v>
      </c>
    </row>
    <row r="52" spans="2:7" x14ac:dyDescent="0.3">
      <c r="B52" s="47" t="s">
        <v>1023</v>
      </c>
      <c r="C52" s="302">
        <f>SUMIF(BTS_매출관리!C:C,B52,BTS_매출관리!I:I)</f>
        <v>1200000</v>
      </c>
      <c r="D52" s="47">
        <f t="shared" si="0"/>
        <v>13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30</v>
      </c>
      <c r="E53" t="s">
        <v>3812</v>
      </c>
    </row>
    <row r="54" spans="2:7" x14ac:dyDescent="0.3">
      <c r="B54" s="47" t="s">
        <v>2784</v>
      </c>
      <c r="C54" s="302">
        <f>SUMIF(BTS_매출관리!C:C,B54,BTS_매출관리!I:I)</f>
        <v>0</v>
      </c>
      <c r="D54" s="47">
        <f t="shared" si="0"/>
        <v>30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30</v>
      </c>
      <c r="E55" t="s">
        <v>2863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30</v>
      </c>
    </row>
    <row r="57" spans="2:7" x14ac:dyDescent="0.3">
      <c r="B57" s="47" t="s">
        <v>3292</v>
      </c>
      <c r="C57" s="302">
        <f>SUMIF(BTS_매출관리!C:C,B57,BTS_매출관리!I:I)</f>
        <v>0</v>
      </c>
      <c r="D57" s="47">
        <f t="shared" si="0"/>
        <v>30</v>
      </c>
    </row>
    <row r="58" spans="2:7" x14ac:dyDescent="0.3">
      <c r="B58" t="s">
        <v>2860</v>
      </c>
      <c r="C58" s="52">
        <f>SUMIF(BTS_매출관리!C:C,B58,BTS_매출관리!I:I)</f>
        <v>0</v>
      </c>
      <c r="D58">
        <f t="shared" si="0"/>
        <v>30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30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30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30</v>
      </c>
    </row>
    <row r="62" spans="2:7" x14ac:dyDescent="0.3">
      <c r="B62" t="s">
        <v>3121</v>
      </c>
      <c r="C62" s="52">
        <f>SUMIF(BTS_매출관리!C:C,B62,BTS_매출관리!I:I)</f>
        <v>0</v>
      </c>
      <c r="D62">
        <f t="shared" si="0"/>
        <v>30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30</v>
      </c>
      <c r="E63" t="s">
        <v>3812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30</v>
      </c>
    </row>
    <row r="65" spans="2:5" x14ac:dyDescent="0.3">
      <c r="B65" t="s">
        <v>2757</v>
      </c>
      <c r="C65" s="52">
        <f>SUMIF(BTS_매출관리!C:C,B65,BTS_매출관리!I:I)</f>
        <v>0</v>
      </c>
      <c r="D65">
        <f t="shared" si="0"/>
        <v>30</v>
      </c>
      <c r="E65" t="s">
        <v>3812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30</v>
      </c>
    </row>
    <row r="67" spans="2:5" x14ac:dyDescent="0.3">
      <c r="B67" t="s">
        <v>3549</v>
      </c>
      <c r="C67" s="52">
        <f>SUMIF(BTS_매출관리!C:C,B67,BTS_매출관리!I:I)</f>
        <v>0</v>
      </c>
      <c r="D67">
        <f t="shared" si="1"/>
        <v>30</v>
      </c>
      <c r="E67" t="s">
        <v>3812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30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30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30</v>
      </c>
    </row>
    <row r="71" spans="2:5" x14ac:dyDescent="0.3">
      <c r="B71" t="s">
        <v>3640</v>
      </c>
      <c r="C71" s="52">
        <f>SUMIF(BTS_매출관리!C:C,B71,BTS_매출관리!I:I)</f>
        <v>0</v>
      </c>
      <c r="D71">
        <f t="shared" si="1"/>
        <v>30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30</v>
      </c>
    </row>
    <row r="73" spans="2:5" x14ac:dyDescent="0.3">
      <c r="B73" t="s">
        <v>2869</v>
      </c>
      <c r="C73" s="52">
        <f>SUMIF(BTS_매출관리!C:C,B73,BTS_매출관리!I:I)</f>
        <v>0</v>
      </c>
      <c r="D73">
        <f t="shared" si="1"/>
        <v>30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30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30</v>
      </c>
    </row>
    <row r="76" spans="2:5" x14ac:dyDescent="0.3">
      <c r="B76" t="s">
        <v>2890</v>
      </c>
      <c r="C76" s="52">
        <f>SUMIF(BTS_매출관리!C:C,B76,BTS_매출관리!I:I)</f>
        <v>0</v>
      </c>
      <c r="D76">
        <f t="shared" si="1"/>
        <v>30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30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 x14ac:dyDescent="0.3">
      <c r="B79" t="s">
        <v>3270</v>
      </c>
      <c r="C79" s="52">
        <f>SUMIF(BTS_매출관리!C:C,B79,BTS_매출관리!I:I)</f>
        <v>200000</v>
      </c>
      <c r="D79">
        <f t="shared" si="1"/>
        <v>24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1315</v>
      </c>
      <c r="C81" s="52">
        <f>SUMIF(BTS_매출관리!C:C,B81,BTS_매출관리!I:I)</f>
        <v>1100000</v>
      </c>
      <c r="D81">
        <f t="shared" si="1"/>
        <v>15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30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30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30</v>
      </c>
    </row>
    <row r="86" spans="2:4" x14ac:dyDescent="0.3">
      <c r="B86" t="s">
        <v>2789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30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10</v>
      </c>
    </row>
    <row r="89" spans="2:4" x14ac:dyDescent="0.3">
      <c r="B89" t="s">
        <v>2762</v>
      </c>
      <c r="C89" s="52">
        <f>SUMIF(BTS_매출관리!C:C,B89,BTS_매출관리!I:I)</f>
        <v>0</v>
      </c>
      <c r="D89">
        <f t="shared" si="1"/>
        <v>30</v>
      </c>
    </row>
    <row r="90" spans="2:4" x14ac:dyDescent="0.3">
      <c r="B90" t="s">
        <v>2704</v>
      </c>
      <c r="C90" s="52">
        <f>SUMIF(BTS_매출관리!C:C,B90,BTS_매출관리!I:I)</f>
        <v>0</v>
      </c>
      <c r="D90">
        <f t="shared" si="1"/>
        <v>30</v>
      </c>
    </row>
    <row r="91" spans="2:4" x14ac:dyDescent="0.3">
      <c r="B91" t="s">
        <v>2896</v>
      </c>
      <c r="C91" s="52">
        <f>SUMIF(BTS_매출관리!C:C,B91,BTS_매출관리!I:I)</f>
        <v>0</v>
      </c>
      <c r="D91">
        <f t="shared" si="1"/>
        <v>30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2742</v>
      </c>
      <c r="C93" s="52">
        <f>SUMIF(BTS_매출관리!C:C,B93,BTS_매출관리!I:I)</f>
        <v>0</v>
      </c>
      <c r="D93">
        <f t="shared" si="1"/>
        <v>30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30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30</v>
      </c>
    </row>
    <row r="96" spans="2:4" x14ac:dyDescent="0.3">
      <c r="B96" t="s">
        <v>2769</v>
      </c>
      <c r="C96" s="52">
        <f>SUMIF(BTS_매출관리!C:C,B96,BTS_매출관리!I:I)</f>
        <v>0</v>
      </c>
      <c r="D96">
        <f t="shared" si="1"/>
        <v>30</v>
      </c>
    </row>
    <row r="97" spans="2:4" x14ac:dyDescent="0.3">
      <c r="B97" t="s">
        <v>2935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3030</v>
      </c>
      <c r="C98" s="52">
        <f>SUMIF(BTS_매출관리!C:C,B98,BTS_매출관리!I:I)</f>
        <v>0</v>
      </c>
      <c r="D98">
        <f t="shared" si="1"/>
        <v>30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30</v>
      </c>
    </row>
    <row r="100" spans="2:4" x14ac:dyDescent="0.3">
      <c r="B100" t="s">
        <v>2942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30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30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3188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30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30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30</v>
      </c>
    </row>
    <row r="115" spans="2:4" x14ac:dyDescent="0.3">
      <c r="B115" t="s">
        <v>3078</v>
      </c>
      <c r="C115" s="52">
        <f>SUMIF(BTS_매출관리!C:C,B115,BTS_매출관리!I:I)</f>
        <v>0</v>
      </c>
      <c r="D115">
        <f t="shared" si="1"/>
        <v>30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30</v>
      </c>
    </row>
    <row r="117" spans="2:4" x14ac:dyDescent="0.3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30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30</v>
      </c>
    </row>
    <row r="121" spans="2:4" x14ac:dyDescent="0.3">
      <c r="B121" t="s">
        <v>3466</v>
      </c>
      <c r="C121" s="52">
        <f>SUMIF(BTS_매출관리!C:C,B121,BTS_매출관리!I:I)</f>
        <v>0</v>
      </c>
      <c r="D121">
        <f t="shared" si="1"/>
        <v>30</v>
      </c>
    </row>
    <row r="122" spans="2:4" x14ac:dyDescent="0.3">
      <c r="B122" t="s">
        <v>2873</v>
      </c>
      <c r="C122" s="52">
        <f>SUMIF(BTS_매출관리!C:C,B122,BTS_매출관리!I:I)</f>
        <v>0</v>
      </c>
      <c r="D122">
        <f t="shared" si="1"/>
        <v>30</v>
      </c>
    </row>
    <row r="123" spans="2:4" x14ac:dyDescent="0.3">
      <c r="B123" t="s">
        <v>3022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3581</v>
      </c>
      <c r="C124" s="52">
        <f>SUMIF(BTS_매출관리!C:C,B124,BTS_매출관리!I:I)</f>
        <v>0</v>
      </c>
      <c r="D124">
        <f t="shared" si="1"/>
        <v>30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30</v>
      </c>
    </row>
    <row r="127" spans="2:4" x14ac:dyDescent="0.3">
      <c r="B127" t="s">
        <v>2809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3211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30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30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30</v>
      </c>
    </row>
    <row r="138" spans="2:4" x14ac:dyDescent="0.3">
      <c r="B138" t="s">
        <v>3152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3462</v>
      </c>
      <c r="C139" s="52">
        <f>SUMIF(BTS_매출관리!C:C,B139,BTS_매출관리!I:I)</f>
        <v>0</v>
      </c>
      <c r="D139">
        <f t="shared" si="2"/>
        <v>30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30</v>
      </c>
    </row>
    <row r="141" spans="2:4" x14ac:dyDescent="0.3">
      <c r="B141" t="s">
        <v>1324</v>
      </c>
      <c r="C141" s="52">
        <f>SUMIF(BTS_매출관리!C:C,B141,BTS_매출관리!I:I)</f>
        <v>2895000</v>
      </c>
      <c r="D141">
        <f t="shared" si="2"/>
        <v>4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3455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3507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2964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3732</v>
      </c>
      <c r="C146" s="52">
        <f>SUMIF(BTS_매출관리!C:C,B146,BTS_매출관리!I:I)</f>
        <v>0</v>
      </c>
      <c r="D146">
        <f t="shared" si="2"/>
        <v>30</v>
      </c>
    </row>
    <row r="147" spans="2:4" x14ac:dyDescent="0.3">
      <c r="B147" t="s">
        <v>2633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3352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30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30</v>
      </c>
    </row>
    <row r="152" spans="2:4" x14ac:dyDescent="0.3">
      <c r="B152" t="s">
        <v>3264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30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25</v>
      </c>
    </row>
    <row r="155" spans="2:4" x14ac:dyDescent="0.3">
      <c r="B155" t="s">
        <v>2732</v>
      </c>
      <c r="C155" s="52">
        <f>SUMIF(BTS_매출관리!C:C,B155,BTS_매출관리!I:I)</f>
        <v>0</v>
      </c>
      <c r="D155">
        <f t="shared" si="2"/>
        <v>30</v>
      </c>
    </row>
    <row r="156" spans="2:4" x14ac:dyDescent="0.3">
      <c r="B156" t="s">
        <v>3184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30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30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30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30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30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30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30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30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30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30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30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30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30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30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30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30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30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30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30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30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30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30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30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30</v>
      </c>
    </row>
    <row r="181" spans="2:4" x14ac:dyDescent="0.3">
      <c r="B181" t="s">
        <v>1355</v>
      </c>
      <c r="C181" s="52">
        <f>SUMIF(BTS_매출관리!C:C,B181,BTS_매출관리!I:I)</f>
        <v>143000</v>
      </c>
      <c r="D181">
        <f t="shared" si="2"/>
        <v>28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30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30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30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30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30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30</v>
      </c>
    </row>
    <row r="188" spans="2:4" x14ac:dyDescent="0.3">
      <c r="C188" s="52">
        <f>SUMIF(BTS_매출관리!C:C,B188,BTS_매출관리!I:I)</f>
        <v>0</v>
      </c>
      <c r="D188">
        <f t="shared" si="2"/>
        <v>30</v>
      </c>
    </row>
    <row r="189" spans="2:4" x14ac:dyDescent="0.3">
      <c r="C189" s="52">
        <f>SUMIF(BTS_매출관리!C:C,B189,BTS_매출관리!I:I)</f>
        <v>0</v>
      </c>
      <c r="D189">
        <f t="shared" si="2"/>
        <v>30</v>
      </c>
    </row>
    <row r="190" spans="2:4" x14ac:dyDescent="0.3">
      <c r="C190" s="52">
        <f>SUMIF(BTS_매출관리!C:C,B190,BTS_매출관리!I:I)</f>
        <v>0</v>
      </c>
      <c r="D190">
        <f t="shared" si="2"/>
        <v>30</v>
      </c>
    </row>
    <row r="191" spans="2:4" x14ac:dyDescent="0.3">
      <c r="C191" s="52">
        <f>SUMIF(BTS_매출관리!C:C,B191,BTS_매출관리!I:I)</f>
        <v>0</v>
      </c>
      <c r="D191">
        <f t="shared" si="2"/>
        <v>30</v>
      </c>
    </row>
    <row r="192" spans="2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3053</v>
      </c>
      <c r="D49" s="252" t="s">
        <v>3054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3057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3055</v>
      </c>
      <c r="D52" s="252" t="s">
        <v>3056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3057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3058</v>
      </c>
      <c r="D54" s="252" t="s">
        <v>3059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1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1036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3006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3007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3008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3012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3013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3014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3016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3017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3018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3019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3020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3021</v>
      </c>
    </row>
    <row r="595" spans="1:4" x14ac:dyDescent="0.3">
      <c r="A595">
        <v>619</v>
      </c>
      <c r="B595" s="13">
        <v>45866</v>
      </c>
      <c r="C595" t="s">
        <v>3022</v>
      </c>
      <c r="D595" t="s">
        <v>3025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3026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3027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3028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3029</v>
      </c>
    </row>
    <row r="600" spans="1:4" x14ac:dyDescent="0.3">
      <c r="A600">
        <v>624</v>
      </c>
      <c r="B600" s="13">
        <v>45866</v>
      </c>
      <c r="C600" t="s">
        <v>3030</v>
      </c>
      <c r="D600" t="s">
        <v>3035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3062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3064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3065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3066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3067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3068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3069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3072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3073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3074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3076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3077</v>
      </c>
    </row>
    <row r="614" spans="1:4" x14ac:dyDescent="0.3">
      <c r="A614">
        <v>638</v>
      </c>
      <c r="B614" s="13">
        <v>45868</v>
      </c>
      <c r="C614" t="s">
        <v>3078</v>
      </c>
      <c r="D614" t="s">
        <v>3082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3083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3086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3087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3088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3089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3090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3093</v>
      </c>
    </row>
    <row r="622" spans="1:4" x14ac:dyDescent="0.3">
      <c r="A622">
        <v>646</v>
      </c>
      <c r="B622" s="13">
        <v>45870</v>
      </c>
      <c r="C622" t="s">
        <v>3094</v>
      </c>
      <c r="D622" t="s">
        <v>3095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3096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3097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3101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3102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3103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3104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3105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3107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3108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3109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3110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3112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3113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3115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3128</v>
      </c>
    </row>
    <row r="641" spans="1:4" x14ac:dyDescent="0.3">
      <c r="A641">
        <v>665</v>
      </c>
      <c r="B641" s="13">
        <v>45875</v>
      </c>
      <c r="C641" t="s">
        <v>3121</v>
      </c>
      <c r="D641" t="s">
        <v>3133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3135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3136</v>
      </c>
    </row>
    <row r="644" spans="1:4" x14ac:dyDescent="0.3">
      <c r="A644">
        <v>668</v>
      </c>
      <c r="B644" s="13">
        <v>45875</v>
      </c>
      <c r="C644" t="s">
        <v>3137</v>
      </c>
      <c r="D644" t="s">
        <v>3138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3139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3141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3142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3146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3147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3148</v>
      </c>
    </row>
    <row r="651" spans="1:4" x14ac:dyDescent="0.3">
      <c r="A651">
        <v>675</v>
      </c>
      <c r="B651" s="13">
        <v>45877</v>
      </c>
      <c r="C651" t="s">
        <v>3150</v>
      </c>
      <c r="D651" t="s">
        <v>3151</v>
      </c>
    </row>
    <row r="652" spans="1:4" x14ac:dyDescent="0.3">
      <c r="A652">
        <v>676</v>
      </c>
      <c r="B652" s="13">
        <v>45877</v>
      </c>
      <c r="C652" t="s">
        <v>3152</v>
      </c>
      <c r="D652" t="s">
        <v>3156</v>
      </c>
    </row>
    <row r="653" spans="1:4" x14ac:dyDescent="0.3">
      <c r="A653">
        <v>677</v>
      </c>
      <c r="B653" s="13">
        <v>45877</v>
      </c>
      <c r="C653" t="s">
        <v>3150</v>
      </c>
      <c r="D653" t="s">
        <v>3157</v>
      </c>
    </row>
    <row r="654" spans="1:4" x14ac:dyDescent="0.3">
      <c r="A654">
        <v>678</v>
      </c>
      <c r="B654" s="13">
        <v>45877</v>
      </c>
      <c r="C654" t="s">
        <v>3152</v>
      </c>
      <c r="D654" t="s">
        <v>3158</v>
      </c>
    </row>
    <row r="655" spans="1:4" x14ac:dyDescent="0.3">
      <c r="A655">
        <v>679</v>
      </c>
      <c r="B655" s="13">
        <v>45877</v>
      </c>
      <c r="C655" t="s">
        <v>3150</v>
      </c>
      <c r="D655" t="s">
        <v>3159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3161</v>
      </c>
    </row>
    <row r="657" spans="1:4" x14ac:dyDescent="0.3">
      <c r="A657">
        <v>681</v>
      </c>
      <c r="B657" s="13">
        <v>45878</v>
      </c>
      <c r="C657" t="s">
        <v>3162</v>
      </c>
      <c r="D657" t="s">
        <v>3163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3164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3165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3166</v>
      </c>
    </row>
    <row r="661" spans="1:4" x14ac:dyDescent="0.3">
      <c r="A661">
        <v>685</v>
      </c>
      <c r="B661" t="s">
        <v>3168</v>
      </c>
      <c r="C661" t="s">
        <v>1494</v>
      </c>
      <c r="D661" t="s">
        <v>3169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3170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3171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3172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3173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3174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3175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3177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3179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3180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3181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3183</v>
      </c>
    </row>
    <row r="674" spans="1:4" x14ac:dyDescent="0.3">
      <c r="A674">
        <v>698</v>
      </c>
      <c r="B674" s="13">
        <v>45882</v>
      </c>
      <c r="C674" t="s">
        <v>3187</v>
      </c>
      <c r="D674" t="s">
        <v>3191</v>
      </c>
    </row>
    <row r="675" spans="1:4" x14ac:dyDescent="0.3">
      <c r="A675">
        <v>699</v>
      </c>
      <c r="B675" s="13">
        <v>45882</v>
      </c>
      <c r="C675" t="s">
        <v>3184</v>
      </c>
      <c r="D675" t="s">
        <v>3193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3194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3199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3201</v>
      </c>
    </row>
    <row r="681" spans="1:4" x14ac:dyDescent="0.3">
      <c r="A681">
        <v>705</v>
      </c>
      <c r="B681" s="13">
        <v>45883</v>
      </c>
      <c r="C681" t="s">
        <v>3202</v>
      </c>
      <c r="D681" t="s">
        <v>3204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3205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3206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3209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3210</v>
      </c>
    </row>
    <row r="686" spans="1:4" x14ac:dyDescent="0.3">
      <c r="A686">
        <v>710</v>
      </c>
      <c r="B686" s="13">
        <v>45884</v>
      </c>
      <c r="C686" t="s">
        <v>3211</v>
      </c>
      <c r="D686" t="s">
        <v>3214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3215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3216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3220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3221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3222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3225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3226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3227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3229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3231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3233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3235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3236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3237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3238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3240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3242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3243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3244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3246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3247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3249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3250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3251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3252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3253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3255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3258</v>
      </c>
    </row>
    <row r="715" spans="1:4" x14ac:dyDescent="0.3">
      <c r="A715">
        <v>739</v>
      </c>
      <c r="B715" s="13">
        <v>45890</v>
      </c>
      <c r="C715" t="s">
        <v>3121</v>
      </c>
      <c r="D715" t="s">
        <v>3259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3261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3263</v>
      </c>
    </row>
    <row r="718" spans="1:4" x14ac:dyDescent="0.3">
      <c r="A718">
        <v>742</v>
      </c>
      <c r="B718" s="13">
        <v>45891</v>
      </c>
      <c r="C718" t="s">
        <v>3264</v>
      </c>
      <c r="D718" t="s">
        <v>3268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3269</v>
      </c>
    </row>
    <row r="720" spans="1:4" x14ac:dyDescent="0.3">
      <c r="A720">
        <v>744</v>
      </c>
      <c r="B720" s="13">
        <v>45891</v>
      </c>
      <c r="C720" t="s">
        <v>3270</v>
      </c>
      <c r="D720" t="s">
        <v>3273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3275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3280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3281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3282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3283</v>
      </c>
    </row>
    <row r="726" spans="1:4" x14ac:dyDescent="0.3">
      <c r="A726">
        <v>750</v>
      </c>
      <c r="B726" s="13">
        <v>45894</v>
      </c>
      <c r="C726" t="s">
        <v>3121</v>
      </c>
      <c r="D726" t="s">
        <v>3287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3288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3289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3290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3291</v>
      </c>
    </row>
    <row r="731" spans="1:4" x14ac:dyDescent="0.3">
      <c r="A731">
        <v>755</v>
      </c>
      <c r="B731" s="13">
        <v>45894</v>
      </c>
      <c r="C731" t="s">
        <v>3292</v>
      </c>
      <c r="D731" t="s">
        <v>3296</v>
      </c>
    </row>
    <row r="732" spans="1:4" x14ac:dyDescent="0.3">
      <c r="A732">
        <v>756</v>
      </c>
      <c r="B732" s="13">
        <v>45894</v>
      </c>
      <c r="C732" t="s">
        <v>3292</v>
      </c>
      <c r="D732" t="s">
        <v>3297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3298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3300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3301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3302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3304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3308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3310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3312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3313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3316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3317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3321</v>
      </c>
    </row>
    <row r="747" spans="1:4" x14ac:dyDescent="0.3">
      <c r="A747">
        <v>771</v>
      </c>
      <c r="B747" s="13">
        <v>45896</v>
      </c>
      <c r="C747" t="s">
        <v>3116</v>
      </c>
      <c r="D747" t="s">
        <v>3323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3325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3326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3334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3337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3338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3339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3340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3345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3346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3347</v>
      </c>
    </row>
    <row r="761" spans="1:4" x14ac:dyDescent="0.3">
      <c r="A761">
        <v>785</v>
      </c>
      <c r="B761" s="13">
        <v>45898</v>
      </c>
      <c r="C761" t="s">
        <v>3202</v>
      </c>
      <c r="D761" t="s">
        <v>3348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3349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3350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3357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3358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3359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3360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3361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3362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3363</v>
      </c>
    </row>
    <row r="771" spans="1:4" x14ac:dyDescent="0.3">
      <c r="A771">
        <v>795</v>
      </c>
      <c r="B771" s="13">
        <v>45901</v>
      </c>
      <c r="C771" t="s">
        <v>3351</v>
      </c>
      <c r="D771" t="s">
        <v>3364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3365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3369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3370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3371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3372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3373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3375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3376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3377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3378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3379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3381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3383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3386</v>
      </c>
    </row>
    <row r="786" spans="1:4" x14ac:dyDescent="0.3">
      <c r="A786">
        <v>810</v>
      </c>
      <c r="B786" s="13">
        <v>45903</v>
      </c>
      <c r="C786" t="s">
        <v>3292</v>
      </c>
      <c r="D786" t="s">
        <v>3387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3391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3392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3396</v>
      </c>
    </row>
    <row r="790" spans="1:4" x14ac:dyDescent="0.3">
      <c r="A790">
        <v>814</v>
      </c>
      <c r="B790" s="13">
        <v>45903</v>
      </c>
      <c r="C790" t="s">
        <v>3393</v>
      </c>
      <c r="D790" t="s">
        <v>3397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3398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3399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3401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3403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3404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3413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3414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3415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3416</v>
      </c>
    </row>
    <row r="800" spans="1:4" x14ac:dyDescent="0.3">
      <c r="A800">
        <v>824</v>
      </c>
      <c r="B800" s="13">
        <v>45904</v>
      </c>
      <c r="C800" t="s">
        <v>3409</v>
      </c>
      <c r="D800" t="s">
        <v>3417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3420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3421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3422</v>
      </c>
    </row>
    <row r="804" spans="1:4" x14ac:dyDescent="0.3">
      <c r="A804">
        <v>828</v>
      </c>
      <c r="B804" s="13">
        <v>45904</v>
      </c>
      <c r="C804" t="s">
        <v>3402</v>
      </c>
      <c r="D804" t="s">
        <v>3423</v>
      </c>
    </row>
    <row r="805" spans="1:4" x14ac:dyDescent="0.3">
      <c r="A805">
        <v>829</v>
      </c>
      <c r="B805" s="13">
        <v>45904</v>
      </c>
      <c r="C805" t="s">
        <v>3402</v>
      </c>
      <c r="D805" t="s">
        <v>3424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3425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3426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3427</v>
      </c>
    </row>
    <row r="809" spans="1:4" x14ac:dyDescent="0.3">
      <c r="A809">
        <v>833</v>
      </c>
      <c r="B809" s="13">
        <v>45904</v>
      </c>
      <c r="C809" t="s">
        <v>3409</v>
      </c>
      <c r="D809" t="s">
        <v>3428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3429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3430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3431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3432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3439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3440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3442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3443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3445</v>
      </c>
    </row>
    <row r="819" spans="1:4" x14ac:dyDescent="0.3">
      <c r="A819">
        <v>843</v>
      </c>
      <c r="B819" s="13">
        <v>45905</v>
      </c>
      <c r="C819" t="s">
        <v>3150</v>
      </c>
      <c r="D819" t="s">
        <v>3446</v>
      </c>
    </row>
    <row r="820" spans="1:4" x14ac:dyDescent="0.3">
      <c r="A820">
        <v>844</v>
      </c>
      <c r="B820" s="13">
        <v>45905</v>
      </c>
      <c r="C820" t="s">
        <v>3447</v>
      </c>
      <c r="D820" t="s">
        <v>3448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3449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3461</v>
      </c>
    </row>
    <row r="823" spans="1:4" x14ac:dyDescent="0.3">
      <c r="A823">
        <v>847</v>
      </c>
      <c r="B823" s="13">
        <v>45906</v>
      </c>
      <c r="C823" t="s">
        <v>3462</v>
      </c>
      <c r="D823" t="s">
        <v>3471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3473</v>
      </c>
    </row>
    <row r="825" spans="1:4" x14ac:dyDescent="0.3">
      <c r="A825">
        <v>849</v>
      </c>
      <c r="B825" s="13">
        <v>45906</v>
      </c>
      <c r="C825" t="s">
        <v>3465</v>
      </c>
      <c r="D825" t="s">
        <v>3475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3477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3478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3479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3480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3483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3484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3485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3486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3499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3500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3501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3502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3503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3504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3505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3506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3509</v>
      </c>
    </row>
    <row r="843" spans="1:4" x14ac:dyDescent="0.3">
      <c r="A843">
        <v>867</v>
      </c>
      <c r="B843" s="13">
        <v>45910</v>
      </c>
      <c r="C843" t="s">
        <v>3507</v>
      </c>
      <c r="D843" t="s">
        <v>3513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3514</v>
      </c>
    </row>
    <row r="845" spans="1:4" x14ac:dyDescent="0.3">
      <c r="A845">
        <v>869</v>
      </c>
      <c r="B845" s="13">
        <v>45910</v>
      </c>
      <c r="C845" t="s">
        <v>3393</v>
      </c>
      <c r="D845" t="s">
        <v>3515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3516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3517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3518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3519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3520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3521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3522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3529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3530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3531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3532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3533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3536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3537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3538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3539</v>
      </c>
    </row>
    <row r="862" spans="1:4" x14ac:dyDescent="0.3">
      <c r="A862">
        <v>886</v>
      </c>
      <c r="B862" s="13">
        <v>45911</v>
      </c>
      <c r="C862" t="s">
        <v>3116</v>
      </c>
      <c r="D862" t="s">
        <v>3540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3542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3543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3544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3545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3547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3548</v>
      </c>
    </row>
    <row r="869" spans="1:4" x14ac:dyDescent="0.3">
      <c r="A869">
        <v>893</v>
      </c>
      <c r="B869" s="13">
        <v>45912</v>
      </c>
      <c r="C869" t="s">
        <v>3549</v>
      </c>
      <c r="D869" t="s">
        <v>3550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3553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3556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3557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3558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3559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3560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3561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3563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3565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3566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3568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3569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3570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3571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3572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3573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3574</v>
      </c>
    </row>
    <row r="887" spans="1:4" x14ac:dyDescent="0.3">
      <c r="A887">
        <v>911</v>
      </c>
      <c r="B887" s="13">
        <v>45917</v>
      </c>
      <c r="C887" t="s">
        <v>3580</v>
      </c>
      <c r="D887" t="s">
        <v>3587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3588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3589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3591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3592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3593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3594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3606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3607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3608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3609</v>
      </c>
    </row>
    <row r="898" spans="1:4" x14ac:dyDescent="0.3">
      <c r="A898">
        <v>922</v>
      </c>
      <c r="B898" s="13">
        <v>45918</v>
      </c>
      <c r="C898" t="s">
        <v>3121</v>
      </c>
      <c r="D898" t="s">
        <v>3611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3612</v>
      </c>
    </row>
    <row r="900" spans="1:4" x14ac:dyDescent="0.3">
      <c r="A900">
        <v>924</v>
      </c>
      <c r="B900" s="13">
        <v>45918</v>
      </c>
      <c r="C900" t="s">
        <v>3454</v>
      </c>
      <c r="D900" t="s">
        <v>3613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3614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3615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3616</v>
      </c>
    </row>
    <row r="904" spans="1:4" x14ac:dyDescent="0.3">
      <c r="A904">
        <v>928</v>
      </c>
      <c r="B904" s="13">
        <v>45918</v>
      </c>
      <c r="C904" t="s">
        <v>3116</v>
      </c>
      <c r="D904" t="s">
        <v>3617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3618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3619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3626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3627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3628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3630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3638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3643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3644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3645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3646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3647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3648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3649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3657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3658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3659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3663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3665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3674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3675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3676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3677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3725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3726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3727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3728</v>
      </c>
    </row>
    <row r="937" spans="1:4" x14ac:dyDescent="0.3">
      <c r="A937">
        <v>961</v>
      </c>
      <c r="B937" s="13">
        <v>45926</v>
      </c>
      <c r="C937" t="s">
        <v>3729</v>
      </c>
      <c r="D937" t="s">
        <v>3731</v>
      </c>
    </row>
    <row r="938" spans="1:4" x14ac:dyDescent="0.3">
      <c r="A938">
        <v>962</v>
      </c>
      <c r="B938" s="13">
        <v>45927</v>
      </c>
      <c r="C938" t="s">
        <v>3732</v>
      </c>
      <c r="D938" t="s">
        <v>3736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3739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3744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3750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3752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3753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3754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3755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3757</v>
      </c>
    </row>
    <row r="947" spans="1:4" x14ac:dyDescent="0.3">
      <c r="A947">
        <v>971</v>
      </c>
      <c r="B947" s="13">
        <v>45929</v>
      </c>
      <c r="C947" t="s">
        <v>3270</v>
      </c>
      <c r="D947" t="s">
        <v>3759</v>
      </c>
    </row>
    <row r="948" spans="1:4" x14ac:dyDescent="0.3">
      <c r="A948">
        <v>972</v>
      </c>
      <c r="B948" s="13">
        <v>45929</v>
      </c>
      <c r="C948" t="s">
        <v>3465</v>
      </c>
      <c r="D948" t="s">
        <v>3761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3762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3763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3764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3765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3766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3777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3778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3780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3781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3782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3783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3784</v>
      </c>
    </row>
    <row r="961" spans="1:4" x14ac:dyDescent="0.3">
      <c r="A961">
        <v>985</v>
      </c>
      <c r="B961" s="13">
        <v>45930</v>
      </c>
      <c r="C961" t="s">
        <v>3769</v>
      </c>
      <c r="D961" t="s">
        <v>3785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3820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3821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3823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3825</v>
      </c>
    </row>
    <row r="967" spans="1:4" x14ac:dyDescent="0.3">
      <c r="A967">
        <v>991</v>
      </c>
      <c r="B967" s="13">
        <v>45931</v>
      </c>
      <c r="C967" t="s">
        <v>3826</v>
      </c>
      <c r="D967" t="s">
        <v>3827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3832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3833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3838</v>
      </c>
    </row>
    <row r="971" spans="1:4" x14ac:dyDescent="0.3">
      <c r="A971">
        <v>995</v>
      </c>
      <c r="B971" s="13">
        <v>45932</v>
      </c>
      <c r="C971" t="s">
        <v>3829</v>
      </c>
      <c r="D971" t="s">
        <v>3840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3841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3847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3850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3851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3853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3854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3858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3864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3865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3866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3869</v>
      </c>
    </row>
    <row r="984" spans="1:4" x14ac:dyDescent="0.3">
      <c r="A984">
        <v>1008</v>
      </c>
      <c r="B984" s="13">
        <v>45940</v>
      </c>
      <c r="C984" t="s">
        <v>3402</v>
      </c>
      <c r="D984" t="s">
        <v>3870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3871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3872</v>
      </c>
    </row>
    <row r="987" spans="1:4" x14ac:dyDescent="0.3">
      <c r="A987">
        <v>1011</v>
      </c>
      <c r="B987" s="13">
        <v>45940</v>
      </c>
      <c r="C987" t="s">
        <v>3826</v>
      </c>
      <c r="D987" t="s">
        <v>3873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3874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3875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3884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3885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3886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3887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3891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3893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3895</v>
      </c>
    </row>
    <row r="997" spans="1:4" x14ac:dyDescent="0.3">
      <c r="A997">
        <v>1021</v>
      </c>
      <c r="B997" s="13">
        <v>45943</v>
      </c>
      <c r="C997" t="s">
        <v>3896</v>
      </c>
      <c r="D997" t="s">
        <v>3899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3901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3902</v>
      </c>
    </row>
    <row r="1000" spans="1:4" x14ac:dyDescent="0.3">
      <c r="A1000">
        <v>1024</v>
      </c>
      <c r="B1000" s="13">
        <v>45943</v>
      </c>
      <c r="C1000" t="s">
        <v>3903</v>
      </c>
      <c r="D1000" t="s">
        <v>3904</v>
      </c>
    </row>
    <row r="1001" spans="1:4" x14ac:dyDescent="0.3">
      <c r="A1001">
        <v>1025</v>
      </c>
      <c r="B1001" s="13">
        <v>45943</v>
      </c>
      <c r="C1001" t="s">
        <v>3270</v>
      </c>
      <c r="D1001" t="s">
        <v>3905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3919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3920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3924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3927</v>
      </c>
    </row>
    <row r="1006" spans="1:4" x14ac:dyDescent="0.3">
      <c r="A1006">
        <v>1030</v>
      </c>
      <c r="B1006" s="13">
        <v>45944</v>
      </c>
      <c r="C1006" t="s">
        <v>3928</v>
      </c>
      <c r="D1006" t="s">
        <v>3931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3932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3933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3934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3935</v>
      </c>
    </row>
    <row r="1011" spans="1:4" x14ac:dyDescent="0.3">
      <c r="A1011">
        <v>1035</v>
      </c>
      <c r="B1011" s="13">
        <v>45944</v>
      </c>
      <c r="C1011" t="s">
        <v>3116</v>
      </c>
      <c r="D1011" t="s">
        <v>3939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191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3650</v>
      </c>
      <c r="E4" t="s">
        <v>3651</v>
      </c>
      <c r="F4" t="s">
        <v>963</v>
      </c>
      <c r="G4" t="s">
        <v>3652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1220000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3807</v>
      </c>
      <c r="F14" t="s">
        <v>3802</v>
      </c>
      <c r="G14" t="s">
        <v>3808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389999.69999999925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3207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3527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3625</v>
      </c>
      <c r="J33" t="s">
        <v>3625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3816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3768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3527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3876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1100000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0</v>
      </c>
      <c r="I54" s="52" t="s">
        <v>3768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3274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3888</v>
      </c>
      <c r="H65" s="194">
        <f>SUMIF(주문_리스트!C:C,거래처!B65,주문_리스트!K:K)+SUMIF(주문_리스트!C:C,거래처!B65,주문_리스트!L:L)</f>
        <v>0</v>
      </c>
      <c r="J65" t="s">
        <v>3908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3575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3575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3801</v>
      </c>
      <c r="F73" t="s">
        <v>3802</v>
      </c>
      <c r="G73" t="s">
        <v>3803</v>
      </c>
      <c r="H73" s="194">
        <f>SUMIF(주문_리스트!C:C,거래처!B73,주문_리스트!K:K)+SUMIF(주문_리스트!C:C,거래처!B73,주문_리스트!L:L)-3100000+1500000</f>
        <v>0</v>
      </c>
      <c r="I73" s="52" t="s">
        <v>3343</v>
      </c>
      <c r="J73" t="s">
        <v>3368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3861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3091</v>
      </c>
      <c r="K82" t="s">
        <v>3405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3814</v>
      </c>
      <c r="F84" t="s">
        <v>3802</v>
      </c>
      <c r="G84" t="s">
        <v>3815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3768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3809</v>
      </c>
      <c r="F95" t="s">
        <v>3802</v>
      </c>
      <c r="G95" t="s">
        <v>3810</v>
      </c>
      <c r="H95" s="194">
        <f>SUMIF(주문_리스트!C:C,거래처!B95,주문_리스트!K:K)+SUMIF(주문_리스트!C:C,거래처!B95,주문_리스트!L:L)-715000</f>
        <v>0</v>
      </c>
      <c r="I95" s="52" t="s">
        <v>3575</v>
      </c>
    </row>
    <row r="96" spans="1:11" x14ac:dyDescent="0.3">
      <c r="A96" s="47">
        <v>95</v>
      </c>
      <c r="B96" t="s">
        <v>1352</v>
      </c>
      <c r="C96" t="s">
        <v>3603</v>
      </c>
      <c r="E96" t="s">
        <v>3604</v>
      </c>
      <c r="F96" t="s">
        <v>963</v>
      </c>
      <c r="G96" t="s">
        <v>3605</v>
      </c>
      <c r="H96" s="194">
        <f>SUMIF(주문_리스트!C:C,거래처!B96,주문_리스트!K:K)+SUMIF(주문_리스트!C:C,거래처!B96,주문_리스트!L:L)</f>
        <v>3600000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3498</v>
      </c>
      <c r="H99" s="194">
        <f>SUMIF(주문_리스트!C:C,거래처!B99,주문_리스트!K:K)+SUMIF(주문_리스트!C:C,거래처!B99,주문_리스트!L:L)</f>
        <v>0</v>
      </c>
      <c r="I99" s="52" t="s">
        <v>3653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3575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  <c r="J102" t="s">
        <v>3910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3857</v>
      </c>
      <c r="H106" s="194">
        <f>SUMIF(주문_리스트!C:C,거래처!B106,주문_리스트!K:K)+SUMIF(주문_리스트!C:C,거래처!B106,주문_리스트!L:L)</f>
        <v>0</v>
      </c>
      <c r="J106" t="s">
        <v>3880</v>
      </c>
    </row>
    <row r="107" spans="1:10" x14ac:dyDescent="0.3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3906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3912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3653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3625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3914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3527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3307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3625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3804</v>
      </c>
      <c r="F148" t="s">
        <v>3805</v>
      </c>
      <c r="G148" t="s">
        <v>3806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3084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SUMIF(주문_리스트!C:C,거래처!B157,주문_리스트!K:K)+SUMIF(주문_리스트!C:C,거래처!B157,주문_리스트!L:L)</f>
        <v>0</v>
      </c>
      <c r="I157" s="52" t="s">
        <v>3768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SUMIF(주문_리스트!C:C,거래처!B169,주문_리스트!K:K)+SUMIF(주문_리스트!C:C,거래처!B169,주문_리스트!L:L)</f>
        <v>0</v>
      </c>
      <c r="I169" s="52" t="s">
        <v>3084</v>
      </c>
    </row>
    <row r="170" spans="1:10" x14ac:dyDescent="0.3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3745</v>
      </c>
      <c r="C176" t="s">
        <v>3746</v>
      </c>
      <c r="E176" t="s">
        <v>3747</v>
      </c>
      <c r="F176" t="s">
        <v>3748</v>
      </c>
      <c r="G176" t="s">
        <v>3747</v>
      </c>
      <c r="H176" s="194">
        <f>SUMIF(주문_리스트!C:C,거래처!B176,주문_리스트!K:K)+SUMIF(주문_리스트!C:C,거래처!B176,주문_리스트!L:L)</f>
        <v>0</v>
      </c>
      <c r="J176" t="s">
        <v>3916</v>
      </c>
    </row>
    <row r="177" spans="1:11" x14ac:dyDescent="0.3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SUMIF(주문_리스트!C:C,거래처!B177,주문_리스트!K:K)+SUMIF(주문_리스트!C:C,거래처!B177,주문_리스트!L:L)</f>
        <v>0</v>
      </c>
      <c r="K177" t="s">
        <v>3405</v>
      </c>
    </row>
    <row r="178" spans="1:11" x14ac:dyDescent="0.3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3883</v>
      </c>
    </row>
    <row r="180" spans="1:11" x14ac:dyDescent="0.3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SUMIF(주문_리스트!C:C,거래처!B180,주문_리스트!K:K)+SUMIF(주문_리스트!C:C,거래처!B180,주문_리스트!L:L)</f>
        <v>0</v>
      </c>
      <c r="J180" t="s">
        <v>3625</v>
      </c>
    </row>
    <row r="181" spans="1:11" x14ac:dyDescent="0.3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3768</v>
      </c>
    </row>
    <row r="183" spans="1:11" x14ac:dyDescent="0.3">
      <c r="A183" s="47">
        <v>182</v>
      </c>
      <c r="B183" t="s">
        <v>3770</v>
      </c>
      <c r="C183" t="s">
        <v>3771</v>
      </c>
      <c r="E183" t="s">
        <v>3772</v>
      </c>
      <c r="F183" t="s">
        <v>3773</v>
      </c>
      <c r="G183" t="s">
        <v>3774</v>
      </c>
      <c r="H183" s="194">
        <f>SUMIF(주문_리스트!C:C,거래처!B183,주문_리스트!K:K)+SUMIF(주문_리스트!C:C,거래처!B183,주문_리스트!L:L)</f>
        <v>0</v>
      </c>
      <c r="I183" s="52" t="s">
        <v>3527</v>
      </c>
    </row>
    <row r="184" spans="1:11" x14ac:dyDescent="0.3">
      <c r="A184" s="47">
        <v>183</v>
      </c>
      <c r="B184" t="s">
        <v>3507</v>
      </c>
      <c r="C184" t="s">
        <v>3508</v>
      </c>
      <c r="E184" t="s">
        <v>3512</v>
      </c>
      <c r="F184" t="s">
        <v>973</v>
      </c>
      <c r="H184" s="194">
        <v>0</v>
      </c>
      <c r="I184" s="52" t="s">
        <v>3527</v>
      </c>
    </row>
    <row r="185" spans="1:11" x14ac:dyDescent="0.3">
      <c r="A185" s="47">
        <v>184</v>
      </c>
      <c r="B185" t="s">
        <v>3581</v>
      </c>
      <c r="C185" t="s">
        <v>3582</v>
      </c>
      <c r="E185" t="s">
        <v>3583</v>
      </c>
      <c r="F185" t="s">
        <v>963</v>
      </c>
      <c r="G185" t="s">
        <v>3584</v>
      </c>
      <c r="H185" s="194">
        <f>SUMIF(주문_리스트!C:C,거래처!B185,주문_리스트!K:K)+SUMIF(주문_리스트!C:C,거래처!B185,주문_리스트!L:L)</f>
        <v>0</v>
      </c>
      <c r="J185" t="s">
        <v>3625</v>
      </c>
    </row>
    <row r="186" spans="1:11" x14ac:dyDescent="0.3">
      <c r="A186" s="47">
        <v>185</v>
      </c>
      <c r="B186" t="s">
        <v>3640</v>
      </c>
      <c r="C186" t="s">
        <v>3641</v>
      </c>
      <c r="E186" t="s">
        <v>3642</v>
      </c>
      <c r="F186" t="s">
        <v>1181</v>
      </c>
      <c r="G186" t="s">
        <v>3639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3732</v>
      </c>
      <c r="C187" t="s">
        <v>3733</v>
      </c>
      <c r="E187" t="s">
        <v>3734</v>
      </c>
      <c r="F187" t="s">
        <v>1181</v>
      </c>
      <c r="G187" t="s">
        <v>3735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3829</v>
      </c>
      <c r="C188" t="s">
        <v>3830</v>
      </c>
      <c r="E188" t="s">
        <v>3831</v>
      </c>
      <c r="F188" t="s">
        <v>1181</v>
      </c>
      <c r="G188" t="s">
        <v>3831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3896</v>
      </c>
      <c r="C189" t="s">
        <v>3897</v>
      </c>
      <c r="E189" t="s">
        <v>3898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3918</v>
      </c>
    </row>
    <row r="190" spans="1:11" x14ac:dyDescent="0.3">
      <c r="A190" s="47">
        <v>190</v>
      </c>
      <c r="B190" t="s">
        <v>3928</v>
      </c>
      <c r="C190" t="s">
        <v>3929</v>
      </c>
      <c r="E190" t="s">
        <v>3930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243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-43</v>
      </c>
      <c r="I8"/>
    </row>
    <row r="9" spans="1:11" x14ac:dyDescent="0.3">
      <c r="A9">
        <v>8</v>
      </c>
      <c r="B9">
        <v>2</v>
      </c>
      <c r="C9" s="288" t="s">
        <v>3855</v>
      </c>
      <c r="D9" s="288" t="s">
        <v>1140</v>
      </c>
      <c r="E9" s="288" t="s">
        <v>3855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3856</v>
      </c>
      <c r="D15" s="288" t="s">
        <v>1654</v>
      </c>
      <c r="E15" s="288" t="s">
        <v>3673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-98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3470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-45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-24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-4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-41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-41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-34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-43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-65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-98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3856</v>
      </c>
      <c r="D139" s="288" t="s">
        <v>2685</v>
      </c>
      <c r="E139" s="288" t="s">
        <v>3856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3585</v>
      </c>
      <c r="D140" s="288" t="s">
        <v>2683</v>
      </c>
      <c r="E140" s="288" t="s">
        <v>3585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3775</v>
      </c>
      <c r="D148" s="288" t="s">
        <v>2683</v>
      </c>
      <c r="E148" s="288" t="s">
        <v>3775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3586</v>
      </c>
      <c r="D152" s="288" t="s">
        <v>2518</v>
      </c>
      <c r="E152" s="288" t="s">
        <v>3586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3071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3118</v>
      </c>
      <c r="D206" s="288" t="s">
        <v>3541</v>
      </c>
      <c r="E206" s="288" t="s">
        <v>3118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3125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3167</v>
      </c>
      <c r="D215" s="288" t="s">
        <v>2384</v>
      </c>
      <c r="E215" s="288" t="s">
        <v>3167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3576</v>
      </c>
      <c r="D216" s="288" t="s">
        <v>3577</v>
      </c>
      <c r="E216" s="288" t="s">
        <v>3576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3217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3278</v>
      </c>
      <c r="D218" s="288" t="s">
        <v>3218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3279</v>
      </c>
      <c r="D219" s="288" t="s">
        <v>3276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3277</v>
      </c>
    </row>
    <row r="220" spans="1:9" x14ac:dyDescent="0.3">
      <c r="A220">
        <v>219</v>
      </c>
      <c r="B220">
        <v>4</v>
      </c>
      <c r="C220" s="288" t="s">
        <v>3285</v>
      </c>
      <c r="D220" s="288" t="s">
        <v>3286</v>
      </c>
      <c r="E220" s="288" t="s">
        <v>3285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3314</v>
      </c>
      <c r="D221" s="288" t="s">
        <v>3315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3388</v>
      </c>
      <c r="D222" s="288" t="s">
        <v>3389</v>
      </c>
      <c r="E222" s="288" t="s">
        <v>3388</v>
      </c>
      <c r="H222">
        <f>SUMIF(재고!D:D,제품!D222,재고!F:F)-SUMIF(주문_리스트!E:E,제품!D222,주문_리스트!H:H)</f>
        <v>-1</v>
      </c>
      <c r="I222" s="52" t="s">
        <v>3390</v>
      </c>
    </row>
    <row r="223" spans="1:9" x14ac:dyDescent="0.3">
      <c r="A223">
        <v>222</v>
      </c>
      <c r="B223">
        <v>1</v>
      </c>
      <c r="C223" s="288" t="s">
        <v>3418</v>
      </c>
      <c r="D223" s="288" t="s">
        <v>3419</v>
      </c>
      <c r="E223" s="288" t="s">
        <v>3418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3481</v>
      </c>
      <c r="D225" s="288" t="s">
        <v>3482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3528</v>
      </c>
      <c r="D226" s="288" t="s">
        <v>3223</v>
      </c>
      <c r="E226" s="288" t="s">
        <v>3528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3554</v>
      </c>
      <c r="D227" s="288" t="s">
        <v>3555</v>
      </c>
      <c r="E227" s="288" t="s">
        <v>3554</v>
      </c>
    </row>
    <row r="228" spans="1:8" x14ac:dyDescent="0.3">
      <c r="A228">
        <v>227</v>
      </c>
      <c r="B228">
        <v>3</v>
      </c>
      <c r="D228" s="288" t="s">
        <v>3562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3578</v>
      </c>
      <c r="D229" s="288" t="s">
        <v>3579</v>
      </c>
      <c r="E229" s="288" t="s">
        <v>3578</v>
      </c>
      <c r="H229" s="52">
        <v>0</v>
      </c>
    </row>
    <row r="230" spans="1:8" x14ac:dyDescent="0.3">
      <c r="A230">
        <v>229</v>
      </c>
      <c r="B230">
        <v>3</v>
      </c>
      <c r="D230" s="288" t="s">
        <v>3590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3595</v>
      </c>
      <c r="D231" s="288" t="s">
        <v>3596</v>
      </c>
      <c r="E231" s="288" t="s">
        <v>3595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3598</v>
      </c>
      <c r="D232" s="288" t="s">
        <v>3599</v>
      </c>
      <c r="E232" s="288" t="s">
        <v>3598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3600</v>
      </c>
      <c r="D233" s="288" t="s">
        <v>3590</v>
      </c>
      <c r="E233" s="288" t="s">
        <v>3600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3601</v>
      </c>
      <c r="D234" s="288" t="s">
        <v>3602</v>
      </c>
      <c r="E234" s="288" t="s">
        <v>3601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3636</v>
      </c>
      <c r="D235" s="288" t="s">
        <v>3637</v>
      </c>
      <c r="E235" s="288" t="s">
        <v>3636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3836</v>
      </c>
      <c r="D236" s="288" t="s">
        <v>3837</v>
      </c>
      <c r="E236" s="288" t="s">
        <v>3836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3848</v>
      </c>
      <c r="D237" s="288" t="s">
        <v>3848</v>
      </c>
      <c r="E237" s="288" t="s">
        <v>3849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3862</v>
      </c>
      <c r="E238" s="288" t="s">
        <v>3863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3889</v>
      </c>
      <c r="D239" s="288" t="s">
        <v>3890</v>
      </c>
      <c r="E239" s="288" t="s">
        <v>3889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3126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3075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3125</v>
      </c>
      <c r="E215" s="190">
        <v>6058008122</v>
      </c>
    </row>
    <row r="216" spans="1:5" x14ac:dyDescent="0.3">
      <c r="D216" s="190" t="s">
        <v>3125</v>
      </c>
      <c r="E216" s="190">
        <v>6058008068</v>
      </c>
    </row>
    <row r="217" spans="1:5" x14ac:dyDescent="0.3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 x14ac:dyDescent="0.3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 x14ac:dyDescent="0.3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2025-10-15T03:09:30Z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