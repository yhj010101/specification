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A767B95-9102-4967-B152-E33E10B4BA3D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0" i="56" l="1"/>
  <c r="C214" i="56"/>
  <c r="C201" i="56"/>
  <c r="C199" i="56"/>
  <c r="C195" i="56"/>
  <c r="C194" i="56"/>
  <c r="C187" i="56"/>
  <c r="C168" i="56"/>
  <c r="C219" i="56"/>
  <c r="C18" i="56"/>
  <c r="C217" i="56"/>
  <c r="C35" i="56"/>
  <c r="C209" i="56"/>
  <c r="C33" i="56"/>
  <c r="C213" i="56"/>
  <c r="C179" i="56"/>
  <c r="C212" i="56"/>
  <c r="C178" i="56"/>
  <c r="C211" i="56"/>
  <c r="C177" i="56"/>
  <c r="C210" i="56"/>
  <c r="C176" i="56"/>
  <c r="C203" i="56"/>
  <c r="C169" i="56"/>
  <c r="C196" i="56"/>
  <c r="C207" i="56"/>
  <c r="C173" i="56"/>
  <c r="C206" i="56"/>
  <c r="C172" i="56"/>
  <c r="C205" i="56"/>
  <c r="C171" i="56"/>
  <c r="C204" i="56"/>
  <c r="C170" i="56"/>
  <c r="C197" i="56"/>
  <c r="C163" i="56"/>
  <c r="C190" i="56"/>
  <c r="C166" i="56"/>
  <c r="C164" i="56"/>
  <c r="C198" i="56"/>
  <c r="C156" i="56"/>
  <c r="C191" i="56"/>
  <c r="C162" i="56"/>
  <c r="C184" i="56"/>
  <c r="C165" i="56"/>
  <c r="C159" i="56"/>
  <c r="C193" i="56"/>
  <c r="C157" i="56"/>
  <c r="C192" i="56"/>
  <c r="C221" i="56"/>
  <c r="C185" i="56"/>
  <c r="C220" i="56"/>
  <c r="C180" i="56"/>
  <c r="C161" i="56"/>
  <c r="C155" i="56"/>
  <c r="C224" i="56"/>
  <c r="C186" i="56"/>
  <c r="C215" i="56"/>
  <c r="C181" i="56"/>
  <c r="C208" i="56"/>
  <c r="C174" i="56"/>
  <c r="C167" i="56"/>
  <c r="C200" i="56"/>
  <c r="C158" i="56"/>
  <c r="C189" i="56"/>
  <c r="C188" i="56"/>
  <c r="C223" i="56"/>
  <c r="C222" i="56"/>
  <c r="C183" i="56"/>
  <c r="C218" i="56"/>
  <c r="C182" i="56"/>
  <c r="C216" i="56"/>
  <c r="C175" i="56"/>
  <c r="C202" i="56"/>
  <c r="C132" i="56"/>
  <c r="C111" i="56"/>
  <c r="C41" i="56"/>
  <c r="C142" i="56"/>
  <c r="C79" i="56"/>
  <c r="C55" i="56"/>
  <c r="C30" i="56"/>
  <c r="C50" i="56"/>
  <c r="C150" i="56"/>
  <c r="C34" i="56"/>
  <c r="C118" i="56"/>
  <c r="C131" i="56"/>
  <c r="C63" i="56"/>
  <c r="C141" i="56"/>
  <c r="C87" i="56"/>
  <c r="C64" i="56"/>
  <c r="C114" i="56"/>
  <c r="C146" i="56"/>
  <c r="C145" i="56"/>
  <c r="C94" i="56"/>
  <c r="C124" i="56"/>
  <c r="C52" i="56"/>
  <c r="C130" i="56"/>
  <c r="C67" i="56"/>
  <c r="C135" i="56"/>
  <c r="C100" i="56"/>
  <c r="C137" i="56"/>
  <c r="C120" i="56"/>
  <c r="C81" i="56"/>
  <c r="C122" i="56"/>
  <c r="C105" i="56"/>
  <c r="C123" i="56"/>
  <c r="C71" i="56"/>
  <c r="C83" i="56"/>
  <c r="C68" i="56"/>
  <c r="C80" i="56"/>
  <c r="C103" i="56"/>
  <c r="C95" i="56"/>
  <c r="C106" i="56"/>
  <c r="C109" i="56"/>
  <c r="C24" i="56"/>
  <c r="C134" i="56"/>
  <c r="C129" i="56"/>
  <c r="C127" i="56"/>
  <c r="C107" i="56"/>
  <c r="C75" i="56"/>
  <c r="C74" i="56"/>
  <c r="C36" i="56"/>
  <c r="C102" i="56"/>
  <c r="C60" i="56"/>
  <c r="C86" i="56"/>
  <c r="C110" i="56"/>
  <c r="C77" i="56"/>
  <c r="C104" i="56"/>
  <c r="C97" i="56"/>
  <c r="C153" i="56"/>
  <c r="C42" i="56"/>
  <c r="C51" i="56"/>
  <c r="C121" i="56"/>
  <c r="C92" i="56"/>
  <c r="C32" i="56"/>
  <c r="C66" i="56"/>
  <c r="C126" i="56"/>
  <c r="C38" i="56"/>
  <c r="C58" i="56"/>
  <c r="C91" i="56"/>
  <c r="C40" i="56"/>
  <c r="C128" i="56"/>
  <c r="C149" i="56"/>
  <c r="C112" i="56"/>
  <c r="C5" i="56"/>
  <c r="C148" i="56"/>
  <c r="C136" i="56"/>
  <c r="C125" i="56"/>
  <c r="C82" i="56"/>
  <c r="C72" i="56"/>
  <c r="C65" i="56"/>
  <c r="C46" i="56"/>
  <c r="C44" i="56"/>
  <c r="C113" i="56"/>
  <c r="C98" i="56"/>
  <c r="C89" i="56"/>
  <c r="C117" i="56"/>
  <c r="C116" i="56"/>
  <c r="C56" i="56"/>
  <c r="C78" i="56"/>
  <c r="C69" i="56"/>
  <c r="C61" i="56"/>
  <c r="C140" i="56"/>
  <c r="C9" i="56"/>
  <c r="C19" i="56"/>
  <c r="C73" i="56"/>
  <c r="C6" i="56"/>
  <c r="C99" i="56"/>
  <c r="C29" i="56"/>
  <c r="C15" i="56"/>
  <c r="C154" i="56"/>
  <c r="C62" i="56"/>
  <c r="C152" i="56"/>
  <c r="C101" i="56"/>
  <c r="C20" i="56"/>
  <c r="C48" i="56"/>
  <c r="C151" i="56"/>
  <c r="C139" i="56"/>
  <c r="C26" i="56"/>
  <c r="C108" i="56"/>
  <c r="C49" i="56"/>
  <c r="C13" i="56"/>
  <c r="C96" i="56"/>
  <c r="C144" i="56"/>
  <c r="C23" i="56"/>
  <c r="C57" i="56"/>
  <c r="C59" i="56"/>
  <c r="C119" i="56"/>
  <c r="C76" i="56"/>
  <c r="C39" i="56"/>
  <c r="C37" i="56"/>
  <c r="C93" i="56"/>
  <c r="C12" i="56"/>
  <c r="C11" i="56"/>
  <c r="C4" i="56"/>
  <c r="C54" i="56"/>
  <c r="C8" i="56"/>
  <c r="C28" i="56"/>
  <c r="C25" i="56"/>
  <c r="C70" i="56"/>
  <c r="C147" i="56"/>
  <c r="C85" i="56"/>
  <c r="C10" i="56"/>
  <c r="C21" i="56"/>
  <c r="C53" i="56"/>
  <c r="C138" i="56"/>
  <c r="C143" i="56"/>
  <c r="C14" i="56"/>
  <c r="C133" i="56"/>
  <c r="C27" i="56"/>
  <c r="C17" i="56"/>
  <c r="C31" i="56"/>
  <c r="C7" i="56"/>
  <c r="C43" i="56"/>
  <c r="C84" i="56"/>
  <c r="C115" i="56"/>
  <c r="C88" i="56"/>
  <c r="C45" i="56"/>
  <c r="C3" i="56"/>
  <c r="C22" i="56"/>
  <c r="C90" i="56"/>
  <c r="C16" i="56"/>
  <c r="C2" i="56"/>
  <c r="C47" i="56"/>
  <c r="D80" i="56" l="1"/>
  <c r="D50" i="56"/>
  <c r="D45" i="56"/>
  <c r="D3" i="56"/>
  <c r="D31" i="56"/>
  <c r="D214" i="56"/>
  <c r="D158" i="56"/>
  <c r="D204" i="56"/>
  <c r="D8" i="56"/>
  <c r="D135" i="56"/>
  <c r="D10" i="56"/>
  <c r="D78" i="56"/>
  <c r="D221" i="56"/>
  <c r="D51" i="56"/>
  <c r="D76" i="56"/>
  <c r="D107" i="56"/>
  <c r="D126" i="56"/>
  <c r="D29" i="56"/>
  <c r="D160" i="56"/>
  <c r="D124" i="56"/>
  <c r="D220" i="56"/>
  <c r="D83" i="56"/>
  <c r="D7" i="56"/>
  <c r="D190" i="56"/>
  <c r="D215" i="56"/>
  <c r="D90" i="56"/>
  <c r="D62" i="56"/>
  <c r="D142" i="56"/>
  <c r="D12" i="56"/>
  <c r="D5" i="56"/>
  <c r="D130" i="56"/>
  <c r="D145" i="56"/>
  <c r="D178" i="56"/>
  <c r="D98" i="56"/>
  <c r="D66" i="56"/>
  <c r="D108" i="56"/>
  <c r="D73" i="56"/>
  <c r="D191" i="56"/>
  <c r="D198" i="56"/>
  <c r="D119" i="56"/>
  <c r="D68" i="56"/>
  <c r="D82" i="56"/>
  <c r="D55" i="56"/>
  <c r="D99" i="56"/>
  <c r="D167" i="56"/>
  <c r="D144" i="56"/>
  <c r="D49" i="56"/>
  <c r="D95" i="56"/>
  <c r="D22" i="56"/>
  <c r="D6" i="56"/>
  <c r="D67" i="56"/>
  <c r="D102" i="56"/>
  <c r="D122" i="56"/>
  <c r="D189" i="56"/>
  <c r="D219" i="56"/>
  <c r="D147" i="56"/>
  <c r="D89" i="56"/>
  <c r="D131" i="56"/>
  <c r="D85" i="56"/>
  <c r="D75" i="56"/>
  <c r="D91" i="56"/>
  <c r="D28" i="56"/>
  <c r="D9" i="56"/>
  <c r="D196" i="56"/>
  <c r="D133" i="56"/>
  <c r="D70" i="56"/>
  <c r="D19" i="56"/>
  <c r="D149" i="56"/>
  <c r="D118" i="56"/>
  <c r="D132" i="56"/>
  <c r="D186" i="56"/>
  <c r="D11" i="56"/>
  <c r="D156" i="56"/>
  <c r="D193" i="56"/>
  <c r="D71" i="56"/>
  <c r="D58" i="56"/>
  <c r="D195" i="56"/>
  <c r="D27" i="56"/>
  <c r="D173" i="56"/>
  <c r="D101" i="56"/>
  <c r="D15" i="56"/>
  <c r="D209" i="56"/>
  <c r="D105" i="56"/>
  <c r="D43" i="56"/>
  <c r="D148" i="56"/>
  <c r="D116" i="56"/>
  <c r="D30" i="56"/>
  <c r="D52" i="56"/>
  <c r="D17" i="56"/>
  <c r="D168" i="56"/>
  <c r="D163" i="56"/>
  <c r="D155" i="56"/>
  <c r="D183" i="56"/>
  <c r="D103" i="56"/>
  <c r="D223" i="56"/>
  <c r="D32" i="56"/>
  <c r="D125" i="56"/>
  <c r="D141" i="56"/>
  <c r="D207" i="56"/>
  <c r="D110" i="56"/>
  <c r="D54" i="56"/>
  <c r="D25" i="56"/>
  <c r="D154" i="56"/>
  <c r="D127" i="56"/>
  <c r="D111" i="56"/>
  <c r="D192" i="56"/>
  <c r="D166" i="56"/>
  <c r="D37" i="56"/>
  <c r="D20" i="56"/>
  <c r="D159" i="56"/>
  <c r="D188" i="56"/>
  <c r="D18" i="56"/>
  <c r="D213" i="56"/>
  <c r="D4" i="56"/>
  <c r="D48" i="56"/>
  <c r="D180" i="56"/>
  <c r="D97" i="56"/>
  <c r="D169" i="56"/>
  <c r="D172" i="56"/>
  <c r="D44" i="56"/>
  <c r="D153" i="56"/>
  <c r="D60" i="56"/>
  <c r="D194" i="56"/>
  <c r="D123" i="56"/>
  <c r="D176" i="56"/>
  <c r="D182" i="56"/>
  <c r="D96" i="56"/>
  <c r="D134" i="56"/>
  <c r="D47" i="56"/>
  <c r="D143" i="56"/>
  <c r="D46" i="56"/>
  <c r="D177" i="56"/>
  <c r="D200" i="56"/>
  <c r="D181" i="56"/>
  <c r="D41" i="56"/>
  <c r="D222" i="56"/>
  <c r="D199" i="56"/>
  <c r="D171" i="56"/>
  <c r="D81" i="56"/>
  <c r="D170" i="56"/>
  <c r="D65" i="56"/>
  <c r="D79" i="56"/>
  <c r="D93" i="56"/>
  <c r="D161" i="56"/>
  <c r="D40" i="56"/>
  <c r="D201" i="56"/>
  <c r="D120" i="56"/>
  <c r="D113" i="56"/>
  <c r="D84" i="56"/>
  <c r="D56" i="56"/>
  <c r="D36" i="56"/>
  <c r="D136" i="56"/>
  <c r="D23" i="56"/>
  <c r="D106" i="56"/>
  <c r="D21" i="56"/>
  <c r="D33" i="56"/>
  <c r="D87" i="56"/>
  <c r="D63" i="56"/>
  <c r="D211" i="56"/>
  <c r="D179" i="56"/>
  <c r="D69" i="56"/>
  <c r="D164" i="56"/>
  <c r="D128" i="56"/>
  <c r="D34" i="56"/>
  <c r="D210" i="56"/>
  <c r="D217" i="56"/>
  <c r="D74" i="56"/>
  <c r="D117" i="56"/>
  <c r="D206" i="56"/>
  <c r="D38" i="56"/>
  <c r="D137" i="56"/>
  <c r="D61" i="56"/>
  <c r="D202" i="56"/>
  <c r="D86" i="56"/>
  <c r="D72" i="56"/>
  <c r="D121" i="56"/>
  <c r="D88" i="56"/>
  <c r="D39" i="56"/>
  <c r="D157" i="56"/>
  <c r="D140" i="56"/>
  <c r="D212" i="56"/>
  <c r="D146" i="56"/>
  <c r="D14" i="56"/>
  <c r="D205" i="56"/>
  <c r="D59" i="56"/>
  <c r="D13" i="56"/>
  <c r="D24" i="56"/>
  <c r="D2" i="56"/>
  <c r="D138" i="56"/>
  <c r="D208" i="56"/>
  <c r="D64" i="56"/>
  <c r="D218" i="56"/>
  <c r="D150" i="56"/>
  <c r="D77" i="56"/>
  <c r="D203" i="56"/>
  <c r="D42" i="56"/>
  <c r="D100" i="56"/>
  <c r="D112" i="56"/>
  <c r="D224" i="56"/>
  <c r="D185" i="56"/>
  <c r="D216" i="56"/>
  <c r="D151" i="56"/>
  <c r="D139" i="56"/>
  <c r="D35" i="56"/>
  <c r="D92" i="56"/>
  <c r="D104" i="56"/>
  <c r="D115" i="56"/>
  <c r="D26" i="56"/>
  <c r="D152" i="56"/>
  <c r="D114" i="56"/>
  <c r="D129" i="56"/>
  <c r="D165" i="56"/>
  <c r="D187" i="56"/>
  <c r="D162" i="56"/>
  <c r="D57" i="56"/>
  <c r="D197" i="56"/>
  <c r="D109" i="56"/>
  <c r="D16" i="56"/>
  <c r="D53" i="56"/>
  <c r="D174" i="56"/>
  <c r="D175" i="56"/>
  <c r="D184" i="56"/>
  <c r="D94" i="56"/>
  <c r="F14" i="56" l="1"/>
  <c r="F13" i="56"/>
  <c r="F12" i="56"/>
</calcChain>
</file>

<file path=xl/sharedStrings.xml><?xml version="1.0" encoding="utf-8"?>
<sst xmlns="http://schemas.openxmlformats.org/spreadsheetml/2006/main" count="12006" uniqueCount="3989">
  <si>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</si>
  <si>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</si>
  <si>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</si>
  <si>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</si>
  <si>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</si>
  <si>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</si>
  <si>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</si>
  <si>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</si>
  <si>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</si>
  <si>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</si>
  <si>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</si>
  <si>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</si>
  <si>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</si>
  <si>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</si>
  <si>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</si>
  <si>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</si>
  <si>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</si>
  <si>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</si>
  <si>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</si>
  <si>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</si>
  <si>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</si>
  <si>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</si>
  <si>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</si>
  <si>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</si>
  <si>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</si>
  <si>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</si>
  <si>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</si>
  <si>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</si>
  <si>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</si>
  <si>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</si>
  <si>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</si>
  <si>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</si>
  <si>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</si>
  <si>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</si>
  <si>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</si>
  <si>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</si>
  <si>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</si>
  <si>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</si>
  <si>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</si>
  <si>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</si>
  <si>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</si>
  <si>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</si>
  <si>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</si>
  <si>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</si>
  <si>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</si>
  <si>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</si>
  <si>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</si>
  <si>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</si>
  <si>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</si>
  <si>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</si>
  <si>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</si>
  <si>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</si>
  <si>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</si>
  <si>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</si>
  <si>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</si>
  <si>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</si>
  <si>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</si>
  <si>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</si>
  <si>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</si>
  <si>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</si>
  <si>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</si>
  <si>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</si>
  <si>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</si>
  <si>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</si>
  <si>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</si>
  <si>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</si>
  <si>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</si>
  <si>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</si>
  <si>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</si>
  <si>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</si>
  <si>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</si>
  <si>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</si>
  <si>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</si>
  <si>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</si>
  <si>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</si>
  <si>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</si>
  <si>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</si>
  <si>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</si>
  <si>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</si>
  <si>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</si>
  <si>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</si>
  <si>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</si>
  <si>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</si>
  <si>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</si>
  <si>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</si>
  <si>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</si>
  <si>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</si>
  <si>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</si>
  <si>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</si>
  <si>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</si>
  <si>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</si>
  <si>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</si>
  <si>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</si>
  <si>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</si>
  <si>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</si>
  <si>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</si>
  <si>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</si>
  <si>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</si>
  <si>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</si>
  <si>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</si>
  <si>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</si>
  <si>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</si>
  <si>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</si>
  <si>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</si>
  <si>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</si>
  <si>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</si>
  <si>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</si>
  <si>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</si>
  <si>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</si>
  <si>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</si>
  <si>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</si>
  <si>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</si>
  <si>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</si>
  <si>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</si>
  <si>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</si>
  <si>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</si>
  <si>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</si>
  <si>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</si>
  <si>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</si>
  <si>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</si>
  <si>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</si>
  <si>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</si>
  <si>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</si>
  <si>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</si>
  <si>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</si>
  <si>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</si>
  <si>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</si>
  <si>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</si>
  <si>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</si>
  <si>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</si>
  <si>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</si>
  <si>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</si>
  <si>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</si>
  <si>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</si>
  <si>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</si>
  <si>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</si>
  <si>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</si>
  <si>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</si>
  <si>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</si>
  <si>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</si>
  <si>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</si>
  <si>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</si>
  <si>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</si>
  <si>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</si>
  <si>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</si>
  <si>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</si>
  <si>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</si>
  <si>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</si>
  <si>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</si>
  <si>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</si>
  <si>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</si>
  <si>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</si>
  <si>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</si>
  <si>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</si>
  <si>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</si>
  <si>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</si>
  <si>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</si>
  <si>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</si>
  <si>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</si>
  <si>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</si>
  <si>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</si>
  <si>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</si>
  <si>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</si>
  <si>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</si>
  <si>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</si>
  <si>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</si>
  <si>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</si>
  <si>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</si>
  <si>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</si>
  <si>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</si>
  <si>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</si>
  <si>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</si>
  <si>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</si>
  <si>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</si>
  <si>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</si>
  <si>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</si>
  <si>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</si>
  <si>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</si>
  <si>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</si>
  <si>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</si>
  <si>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</si>
  <si>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</si>
  <si>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</si>
  <si>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</si>
  <si>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</si>
  <si>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</si>
  <si>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</si>
  <si>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</si>
  <si>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</si>
  <si>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</si>
  <si>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</si>
  <si>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</si>
  <si>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</si>
  <si>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</si>
  <si>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</si>
  <si>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</si>
  <si>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</si>
  <si>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</si>
  <si>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</si>
  <si>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</si>
  <si>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</si>
  <si>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</si>
  <si>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</si>
  <si>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</si>
  <si>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</si>
  <si>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</si>
  <si>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</si>
  <si>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</si>
  <si>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</si>
  <si>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</si>
  <si>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</si>
  <si>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</si>
  <si>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</si>
  <si>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</si>
  <si>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</si>
  <si>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</si>
  <si>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</si>
  <si>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</si>
  <si>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</si>
  <si>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</si>
  <si>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</si>
  <si>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</si>
  <si>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</si>
  <si>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</si>
  <si>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</si>
  <si>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</si>
  <si>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</si>
  <si>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</si>
  <si>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</si>
  <si>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</si>
  <si>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</si>
  <si>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</si>
  <si>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</si>
  <si>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</si>
  <si>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</si>
  <si>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</si>
  <si>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</si>
  <si>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</si>
  <si>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</si>
  <si>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</si>
  <si>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</si>
  <si>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</si>
  <si>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</si>
  <si>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</si>
  <si>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</si>
  <si>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</si>
  <si>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</si>
  <si>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</si>
  <si>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</si>
  <si>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</si>
  <si>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</si>
  <si>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</si>
  <si>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</si>
  <si>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</si>
  <si>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</si>
  <si>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</si>
  <si>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</si>
  <si>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</si>
  <si>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</si>
  <si>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</si>
  <si>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</si>
  <si>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</si>
  <si>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</si>
  <si>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</si>
  <si>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</si>
  <si>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</si>
  <si>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</si>
  <si>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</si>
  <si>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</si>
  <si>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</si>
  <si>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</si>
  <si>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</si>
  <si>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</si>
  <si>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</si>
  <si>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</si>
  <si>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</si>
  <si>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</si>
  <si>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</si>
  <si>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</si>
  <si>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</si>
  <si>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</si>
  <si>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</si>
  <si>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</si>
  <si>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</si>
  <si>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</si>
  <si>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</si>
  <si>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</si>
  <si>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</si>
  <si>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</si>
  <si>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</si>
  <si>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</si>
  <si>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</si>
  <si>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</si>
  <si>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</si>
  <si>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</si>
  <si>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</si>
  <si>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</si>
  <si>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</si>
  <si>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</si>
  <si>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</si>
  <si>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</si>
  <si>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</si>
  <si>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</si>
  <si>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</si>
  <si>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</si>
  <si>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</si>
  <si>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</si>
  <si>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</si>
  <si>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</si>
  <si>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</si>
  <si>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</si>
  <si>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</si>
  <si>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</si>
  <si>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</si>
  <si>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</si>
  <si>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</si>
  <si>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</si>
  <si>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</si>
  <si>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</si>
  <si>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</si>
  <si>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</si>
  <si>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</si>
  <si>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</si>
  <si>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</si>
  <si>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</si>
  <si>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</si>
  <si>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</si>
  <si>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</si>
  <si>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</si>
  <si>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</si>
  <si>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</si>
  <si>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</si>
  <si>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</si>
  <si>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</si>
  <si>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</si>
  <si>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</si>
  <si>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</si>
  <si>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</si>
  <si>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</si>
  <si>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</si>
  <si>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</si>
  <si>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</si>
  <si>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</si>
  <si>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</si>
  <si>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</si>
  <si>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</si>
  <si>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</si>
  <si>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</si>
  <si>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</si>
  <si>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</si>
  <si>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</si>
  <si>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</si>
  <si>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</si>
  <si>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</si>
  <si>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</si>
  <si>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</si>
  <si>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</si>
  <si>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</si>
  <si>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</si>
  <si>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</si>
  <si>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</si>
  <si>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</si>
  <si>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</si>
  <si>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</si>
  <si>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</si>
  <si>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</si>
  <si>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</si>
  <si>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</si>
  <si>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</si>
  <si>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</si>
  <si>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</si>
  <si>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</si>
  <si>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</si>
  <si>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</si>
  <si>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</si>
  <si>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</si>
  <si>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</si>
  <si>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</si>
  <si>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</si>
  <si>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</si>
  <si>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</si>
  <si>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</si>
  <si>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</si>
  <si>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</si>
  <si>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</si>
  <si>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</si>
  <si>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</si>
  <si>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</si>
  <si>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</si>
  <si>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</si>
  <si>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</si>
  <si>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</si>
  <si>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</si>
  <si>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</si>
  <si>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</si>
  <si>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</si>
  <si>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</si>
  <si>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</si>
  <si>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</si>
  <si>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</si>
  <si>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</si>
  <si>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</si>
  <si>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</si>
  <si>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</si>
  <si>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</si>
  <si>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</si>
  <si>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</si>
  <si>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</si>
  <si>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</si>
  <si>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</si>
  <si>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</si>
  <si>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</si>
  <si>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</si>
  <si>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</si>
  <si>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</si>
  <si>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</si>
  <si>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</si>
  <si>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</si>
  <si>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</si>
  <si>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</si>
  <si>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</si>
  <si>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</si>
  <si>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</si>
  <si>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</si>
  <si>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</si>
  <si>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</si>
  <si>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</si>
  <si>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</si>
  <si>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</si>
  <si>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</si>
  <si>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</si>
  <si>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</si>
  <si>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</si>
  <si>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</si>
  <si>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</si>
  <si>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</si>
  <si>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</si>
  <si>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</si>
  <si>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</si>
  <si>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</si>
  <si>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</si>
  <si>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</si>
  <si>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</si>
  <si>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</si>
  <si>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</si>
  <si>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</si>
  <si>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</si>
  <si>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</si>
  <si>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</si>
  <si>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</si>
  <si>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</si>
  <si>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</si>
  <si>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</si>
  <si>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</si>
  <si>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</si>
  <si>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</si>
  <si>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</si>
  <si>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</si>
  <si>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</si>
  <si>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</si>
  <si>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</si>
  <si>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</si>
  <si>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</si>
  <si>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</si>
  <si>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</si>
  <si>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</si>
  <si>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</si>
  <si>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</si>
  <si>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</si>
  <si>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</si>
  <si>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</si>
  <si>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</si>
  <si>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</si>
  <si>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</si>
  <si>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</si>
  <si>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</si>
  <si>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</si>
  <si>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</si>
  <si>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</si>
  <si>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</si>
  <si>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</si>
  <si>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</si>
  <si>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</si>
  <si>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</si>
  <si>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</si>
  <si>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</si>
  <si>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</si>
  <si>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</si>
  <si>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</si>
  <si>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</si>
  <si>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</si>
  <si>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</si>
  <si>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</si>
  <si>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</si>
  <si>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</si>
  <si>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</si>
  <si>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</si>
  <si>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</si>
  <si>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</si>
  <si>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</si>
  <si>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</si>
  <si>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</si>
  <si>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</si>
  <si>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</si>
  <si>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</si>
  <si>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</si>
  <si>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</si>
  <si>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</si>
  <si>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</si>
  <si>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</si>
  <si>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</si>
  <si>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</si>
  <si>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</si>
  <si>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</si>
  <si>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</si>
  <si>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</si>
  <si>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</si>
  <si>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</si>
  <si>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</si>
  <si>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</si>
  <si>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</si>
  <si>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</si>
  <si>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</si>
  <si>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</si>
  <si>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</si>
  <si>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</si>
  <si>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</si>
  <si>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</si>
  <si>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</si>
  <si>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</si>
  <si>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</si>
  <si>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</si>
  <si>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</si>
  <si>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</si>
  <si>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</si>
  <si>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</si>
  <si>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</si>
  <si>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</si>
  <si>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</si>
  <si>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</si>
  <si>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</si>
  <si>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</si>
  <si>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</si>
  <si>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</si>
  <si>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</si>
  <si>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</si>
  <si>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</si>
  <si>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</si>
  <si>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</si>
  <si>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</si>
  <si>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</si>
  <si>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</si>
  <si>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</si>
  <si>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</si>
  <si>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</si>
  <si>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</si>
  <si>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</si>
  <si>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</si>
  <si>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</si>
  <si>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</si>
  <si>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</si>
  <si>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</si>
  <si>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</si>
  <si>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</si>
  <si>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</si>
  <si>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</si>
  <si>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</si>
  <si>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</si>
  <si>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</si>
  <si>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</si>
  <si>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</si>
  <si>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</si>
  <si>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</si>
  <si>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</si>
  <si>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</si>
  <si>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</si>
  <si>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</si>
  <si>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</si>
  <si>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</si>
  <si>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</si>
  <si>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</si>
  <si>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</si>
  <si>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</si>
  <si>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</si>
  <si>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</si>
  <si>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</si>
  <si>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</si>
  <si>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</si>
  <si>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</si>
  <si>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</si>
  <si>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</si>
  <si>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</si>
  <si>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</si>
  <si>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</si>
  <si>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</si>
  <si>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</si>
  <si>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</si>
  <si>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</si>
  <si>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</si>
  <si>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</si>
  <si>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</si>
  <si>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</si>
  <si>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</si>
  <si>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</si>
  <si>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</si>
  <si>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</si>
  <si>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</si>
  <si>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</si>
  <si>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</si>
  <si>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</si>
  <si>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</si>
  <si>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</si>
  <si>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</si>
  <si>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</si>
  <si>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</si>
  <si>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</si>
  <si>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</si>
  <si>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</si>
  <si>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</si>
  <si>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</si>
  <si>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</si>
  <si>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</si>
  <si>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</si>
  <si>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</si>
  <si>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</si>
  <si>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</si>
  <si>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</si>
  <si>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</si>
  <si>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</si>
  <si>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</si>
  <si>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</si>
  <si>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</si>
  <si>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</si>
  <si>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</si>
  <si>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</si>
  <si>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</si>
  <si>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</si>
  <si>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</si>
  <si>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</si>
  <si>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</si>
  <si>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</si>
  <si>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</si>
  <si>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</si>
  <si>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</si>
  <si>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</si>
  <si>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</si>
  <si>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</si>
  <si>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</si>
  <si>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</si>
  <si>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</si>
  <si>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</si>
  <si>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</si>
  <si>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</si>
  <si>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</si>
  <si>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</si>
  <si>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</si>
  <si>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</si>
  <si>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</si>
  <si>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</si>
  <si>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</si>
  <si>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</si>
  <si>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</si>
  <si>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</si>
  <si>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</si>
  <si>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</si>
  <si>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</si>
  <si>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</si>
  <si>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</si>
  <si>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</si>
  <si>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</si>
  <si>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</si>
  <si>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</si>
  <si>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</si>
  <si>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</si>
  <si>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</si>
  <si>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</si>
  <si>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</si>
  <si>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</si>
  <si>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</si>
  <si>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</si>
  <si>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</si>
  <si>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</si>
  <si>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</si>
  <si>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</si>
  <si>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</si>
  <si>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</si>
  <si>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</si>
  <si>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</si>
  <si>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</si>
  <si>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</si>
  <si>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</si>
  <si>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</si>
  <si>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</si>
  <si>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</si>
  <si>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</si>
  <si>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</si>
  <si>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</si>
  <si>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</si>
  <si>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</si>
  <si>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</si>
  <si>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</si>
  <si>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</si>
  <si>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</si>
  <si>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</si>
  <si>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</si>
  <si>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</si>
  <si>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</si>
  <si>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</si>
  <si>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</si>
  <si>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</si>
  <si>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</si>
  <si>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</si>
  <si>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</si>
  <si>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</si>
  <si>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</si>
  <si>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</si>
  <si>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</si>
  <si>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</si>
  <si>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</si>
  <si>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</si>
  <si>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</si>
  <si>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</si>
  <si>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</si>
  <si>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</si>
  <si>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</si>
  <si>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</si>
  <si>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</si>
  <si>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</si>
  <si>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</si>
  <si>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</si>
  <si>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</si>
  <si>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</si>
  <si>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</si>
  <si>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</si>
  <si>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</si>
  <si>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</si>
  <si>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</si>
  <si>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</si>
  <si>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</si>
  <si>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</si>
  <si>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</si>
  <si>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</si>
  <si>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</si>
  <si>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</si>
  <si>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</si>
  <si>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</si>
  <si>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</si>
  <si>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</si>
  <si>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</si>
  <si>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</si>
  <si>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</si>
  <si>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</si>
  <si>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</si>
  <si>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</si>
  <si>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</si>
  <si>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</si>
  <si>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</si>
  <si>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</si>
  <si>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</si>
  <si>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</si>
  <si>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</si>
  <si>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</si>
  <si>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</si>
  <si>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</si>
  <si>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</si>
  <si>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</si>
  <si>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</si>
  <si>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</si>
  <si>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</si>
  <si>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</si>
  <si>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</si>
  <si>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</si>
  <si>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</si>
  <si>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</si>
  <si>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</si>
  <si>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</si>
  <si>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</si>
  <si>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</si>
  <si>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</si>
  <si>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</si>
  <si>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</si>
  <si>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</si>
  <si>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</si>
  <si>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</si>
  <si>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</si>
  <si>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</si>
  <si>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</si>
  <si>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</si>
  <si>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</si>
  <si>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</si>
  <si>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</si>
  <si>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</si>
  <si>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</si>
  <si>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</si>
  <si>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</si>
  <si>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</si>
  <si>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</si>
  <si>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</si>
  <si>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</si>
  <si>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</si>
  <si>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</si>
  <si>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</si>
  <si>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</si>
  <si>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</si>
  <si>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</si>
  <si>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</si>
  <si>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</si>
  <si>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</si>
  <si>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</si>
  <si>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</si>
  <si>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</si>
  <si>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</si>
  <si>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</si>
  <si>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</si>
  <si>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</si>
  <si>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</si>
  <si>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</si>
  <si>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</si>
  <si>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</si>
  <si>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</si>
  <si>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</si>
  <si>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</si>
  <si>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</si>
  <si>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</si>
  <si>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</si>
  <si>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</si>
  <si>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</si>
  <si>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</si>
  <si>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</si>
  <si>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</si>
  <si>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</si>
  <si>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</si>
  <si>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</si>
  <si>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</si>
  <si>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</si>
  <si>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</si>
  <si>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</si>
  <si>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</si>
  <si>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</si>
  <si>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</si>
  <si>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</si>
  <si>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</si>
  <si>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</si>
  <si>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</si>
  <si>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</si>
  <si>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</si>
  <si>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</si>
  <si>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</si>
  <si>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</si>
  <si>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</si>
  <si>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</si>
  <si>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</si>
  <si>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</si>
  <si>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</si>
  <si>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</si>
  <si>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</si>
  <si>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</si>
  <si>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</si>
  <si>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</si>
  <si>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</si>
  <si>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</si>
  <si>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</si>
  <si>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</si>
  <si>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</si>
  <si>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</si>
  <si>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</si>
  <si>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</si>
  <si>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</si>
  <si>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</si>
  <si>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</si>
  <si>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</si>
  <si>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</si>
  <si>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</si>
  <si>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</si>
  <si>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</si>
  <si>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</si>
  <si>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</si>
  <si>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</si>
  <si>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</si>
  <si>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</si>
  <si>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</si>
  <si>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</si>
  <si>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</si>
  <si>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</si>
  <si>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</si>
  <si>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</si>
  <si>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</si>
  <si>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</si>
  <si>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</si>
  <si>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</si>
  <si>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</si>
  <si>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</si>
  <si>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</si>
  <si>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</si>
  <si>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</si>
  <si>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</si>
  <si>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</si>
  <si>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</si>
  <si>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</si>
  <si>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</si>
  <si>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</si>
  <si>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</si>
  <si>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</si>
  <si>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</si>
  <si>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</si>
  <si>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</si>
  <si>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</si>
  <si>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</si>
  <si>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</si>
  <si>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</si>
  <si>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</si>
  <si>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</si>
  <si>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</si>
  <si>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</si>
  <si>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</si>
  <si>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</si>
  <si>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</si>
  <si>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</si>
  <si>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</si>
  <si>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</si>
  <si>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</si>
  <si>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</si>
  <si>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</si>
  <si>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</si>
  <si>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</si>
  <si>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</si>
  <si>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</si>
  <si>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</si>
  <si>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</si>
  <si>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</si>
  <si>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</si>
  <si>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</si>
  <si>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</si>
  <si>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</si>
  <si>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</si>
  <si>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</si>
  <si>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</si>
  <si>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</si>
  <si>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</si>
  <si>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</si>
  <si>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</si>
  <si>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</si>
  <si>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</si>
  <si>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</si>
  <si>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</si>
  <si>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</si>
  <si>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</si>
  <si>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</si>
  <si>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</si>
  <si>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</si>
  <si>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</si>
  <si>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</si>
  <si>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</si>
  <si>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</si>
  <si>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</si>
  <si>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</si>
  <si>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</si>
  <si>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</si>
  <si>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</si>
  <si>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</si>
  <si>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</si>
  <si>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</si>
  <si>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</si>
  <si>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</si>
  <si>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</si>
  <si>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</si>
  <si>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</si>
  <si>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</si>
  <si>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</si>
  <si>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</si>
  <si>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</si>
  <si>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</si>
  <si>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</si>
  <si>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</si>
  <si>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</si>
  <si>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</si>
  <si>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</si>
  <si>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</si>
  <si>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</si>
  <si>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</si>
  <si>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</si>
  <si>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</si>
  <si>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</si>
  <si>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</si>
  <si>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</si>
  <si>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</si>
  <si>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</si>
  <si>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</si>
  <si>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</si>
  <si>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</si>
  <si>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</si>
  <si>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</si>
  <si>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</si>
  <si>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</si>
  <si>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</si>
  <si>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</si>
  <si>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</si>
  <si>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</si>
  <si>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</si>
  <si>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</si>
  <si>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</si>
  <si>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</si>
  <si>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</si>
  <si>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</si>
  <si>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</si>
  <si>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</si>
  <si>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</si>
  <si>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</si>
  <si>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</si>
  <si>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</si>
  <si>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</si>
  <si>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</si>
  <si>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</si>
  <si>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</si>
  <si>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</si>
  <si>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</si>
  <si>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</si>
  <si>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</si>
  <si>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</si>
  <si>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</si>
  <si>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</si>
  <si>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</si>
  <si>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</si>
  <si>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</si>
  <si>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</si>
  <si>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</si>
  <si>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</si>
  <si>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</si>
  <si>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</si>
  <si>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</si>
  <si>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</si>
  <si>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</si>
  <si>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</si>
  <si>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</si>
  <si>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</si>
  <si>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</si>
  <si>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</si>
  <si>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</si>
  <si>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</si>
  <si>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</si>
  <si>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</si>
  <si>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</si>
  <si>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</si>
  <si>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</si>
  <si>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</si>
  <si>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</si>
  <si>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</si>
  <si>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</si>
  <si>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</si>
  <si>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</si>
  <si>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</si>
  <si>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</si>
  <si>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</si>
  <si>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</si>
  <si>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</si>
  <si>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</si>
  <si>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</si>
  <si>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</si>
  <si>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</si>
  <si>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</si>
  <si>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</si>
  <si>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</si>
  <si>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</si>
  <si>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</si>
  <si>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</si>
  <si>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</si>
  <si>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</si>
  <si>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</si>
  <si>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</si>
  <si>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</si>
  <si>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</si>
  <si>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</si>
  <si>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</si>
  <si>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</si>
  <si>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</si>
  <si>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</si>
  <si>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</si>
  <si>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</si>
  <si>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</si>
  <si>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</si>
  <si>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</si>
  <si>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</si>
  <si>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</si>
  <si>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</si>
  <si>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</si>
  <si>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</si>
  <si>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</si>
  <si>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</si>
  <si>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</si>
  <si>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</si>
  <si>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</si>
  <si>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</si>
  <si>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</si>
  <si>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</si>
  <si>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</si>
  <si>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</si>
  <si>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</si>
  <si>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</si>
  <si>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</si>
  <si>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</si>
  <si>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</si>
  <si>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</si>
  <si>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</si>
  <si>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</si>
  <si>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</si>
  <si>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</si>
  <si>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</si>
  <si>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</si>
  <si>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</si>
  <si>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</si>
  <si>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</si>
  <si>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</si>
  <si>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</si>
  <si>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</si>
  <si>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</si>
  <si>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</si>
  <si>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</si>
  <si>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</si>
  <si>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</si>
  <si>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</si>
  <si>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</si>
  <si>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</si>
  <si>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</si>
  <si>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</si>
  <si>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</si>
  <si>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</si>
  <si>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</si>
  <si>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</si>
  <si>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</si>
  <si>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</si>
  <si>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</si>
  <si>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</si>
  <si>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</si>
  <si>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</si>
  <si>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</si>
  <si>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</si>
  <si>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</si>
  <si>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</si>
  <si>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</si>
  <si>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</si>
  <si>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</si>
  <si>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</si>
  <si>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</si>
  <si>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</si>
  <si>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</si>
  <si>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</si>
  <si>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</si>
  <si>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</si>
  <si>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</si>
  <si>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</si>
  <si>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</si>
  <si>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</si>
  <si>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</si>
  <si>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</si>
  <si>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</si>
  <si>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</si>
  <si>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</si>
  <si>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</si>
  <si>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</si>
  <si>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</si>
  <si>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</si>
  <si>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</si>
  <si>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</si>
  <si>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</si>
  <si>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</si>
  <si>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</si>
  <si>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</si>
  <si>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</si>
  <si>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</si>
  <si>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</si>
  <si>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</si>
  <si>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</si>
  <si>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</si>
  <si>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</si>
  <si>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</si>
  <si>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</si>
  <si>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</si>
  <si>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</si>
  <si>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</si>
  <si>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</si>
  <si>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</si>
  <si>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</si>
  <si>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</si>
  <si>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</si>
  <si>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</si>
  <si>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</si>
  <si>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</si>
  <si>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</si>
  <si>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</si>
  <si>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</si>
  <si>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</si>
  <si>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</si>
  <si>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</si>
  <si>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</si>
  <si>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</si>
  <si>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</si>
  <si>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</si>
  <si>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</si>
  <si>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</si>
  <si>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</si>
  <si>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</si>
  <si>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</si>
  <si>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</si>
  <si>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</si>
  <si>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</si>
  <si>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</si>
  <si>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</si>
  <si>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</si>
  <si>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</si>
  <si>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</si>
  <si>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</si>
  <si>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</si>
  <si>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</si>
  <si>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</si>
  <si>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</si>
  <si>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</si>
  <si>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</si>
  <si>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</si>
  <si>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</si>
  <si>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</si>
  <si>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</si>
  <si>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</si>
  <si>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</si>
  <si>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</si>
  <si>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</si>
  <si>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</si>
  <si>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</si>
  <si>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</si>
  <si>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</si>
  <si>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</si>
  <si>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</si>
  <si>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</si>
  <si>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</si>
  <si>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</si>
  <si>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</si>
  <si>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</si>
  <si>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</si>
  <si>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</si>
  <si>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</si>
  <si>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</si>
  <si>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</si>
  <si>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</si>
  <si>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</si>
  <si>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</si>
  <si>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</si>
  <si>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</si>
  <si>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</si>
  <si>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</si>
  <si>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</si>
  <si>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</si>
  <si>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</si>
  <si>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</si>
  <si>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</si>
  <si>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</si>
  <si>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</si>
  <si>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</si>
  <si>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</si>
  <si>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</si>
  <si>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</si>
  <si>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</si>
  <si>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</si>
  <si>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</si>
  <si>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</si>
  <si>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</si>
  <si>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</si>
  <si>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</si>
  <si>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</si>
  <si>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</si>
  <si>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</si>
  <si>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</si>
  <si>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</si>
  <si>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</si>
  <si>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</si>
  <si>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</si>
  <si>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</si>
  <si>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</si>
  <si>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</si>
  <si>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</si>
  <si>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</si>
  <si>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</si>
  <si>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</si>
  <si>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</si>
  <si>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</si>
  <si>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</si>
  <si>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</si>
  <si>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</si>
  <si>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</si>
  <si>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</si>
  <si>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</si>
  <si>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</si>
  <si>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</si>
  <si>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</si>
  <si>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</si>
  <si>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</si>
  <si>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</si>
  <si>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</si>
  <si>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</si>
  <si>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</si>
  <si>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</si>
  <si>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</si>
  <si>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</si>
  <si>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</si>
  <si>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</si>
  <si>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</si>
  <si>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</si>
  <si>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</si>
  <si>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</si>
  <si>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</si>
  <si>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</si>
  <si>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</si>
  <si>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</si>
  <si>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</si>
  <si>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</si>
  <si>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</si>
  <si>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</si>
  <si>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</si>
  <si>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</si>
  <si>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</si>
  <si>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</si>
  <si>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</si>
  <si>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</si>
  <si>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</si>
  <si>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</si>
  <si>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</si>
  <si>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</si>
  <si>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</si>
  <si>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</si>
  <si>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</si>
  <si>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</si>
  <si>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</si>
  <si>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</si>
  <si>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</si>
  <si>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</si>
  <si>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</si>
  <si>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</si>
  <si>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</si>
  <si>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</si>
  <si>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</si>
  <si>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</si>
  <si>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</si>
  <si>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</si>
  <si>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</si>
  <si>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</si>
  <si>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</si>
  <si>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</si>
  <si>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</si>
  <si>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</si>
  <si>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</si>
  <si>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</si>
  <si>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</si>
  <si>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</si>
  <si>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</si>
  <si>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</si>
  <si>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</si>
  <si>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</si>
  <si>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</si>
  <si>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</si>
  <si>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</si>
  <si>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</si>
  <si>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</si>
  <si>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</si>
  <si>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</si>
  <si>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</si>
  <si>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</si>
  <si>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</si>
  <si>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</si>
  <si>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</si>
  <si>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</si>
  <si>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</si>
  <si>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</si>
  <si>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</si>
  <si>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</si>
  <si>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</si>
  <si>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</si>
  <si>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</si>
  <si>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</si>
  <si>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</si>
  <si>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</si>
  <si>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</si>
  <si>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</si>
  <si>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</si>
  <si>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</si>
  <si>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</si>
  <si>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</si>
  <si>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</si>
  <si>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</si>
  <si>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</si>
  <si>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</si>
  <si>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</si>
  <si>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</si>
  <si>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</si>
  <si>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</si>
  <si>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</si>
  <si>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</si>
  <si>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</si>
  <si>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</si>
  <si>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</si>
  <si>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</si>
  <si>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</si>
  <si>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</si>
  <si>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</si>
  <si>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</si>
  <si>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</si>
  <si>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</si>
  <si>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</si>
  <si>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</si>
  <si>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</si>
  <si>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</si>
  <si>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</si>
  <si>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</si>
  <si>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</si>
  <si>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</si>
  <si>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</si>
  <si>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</si>
  <si>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</si>
  <si>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</si>
  <si>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</si>
  <si>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</si>
  <si>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</si>
  <si>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</si>
  <si>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</si>
  <si>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</si>
  <si>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</si>
  <si>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</si>
  <si>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</si>
  <si>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</si>
  <si>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</si>
  <si>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</si>
  <si>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</si>
  <si>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</si>
  <si>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</si>
  <si>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</si>
  <si>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</si>
  <si>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</si>
  <si>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</si>
  <si>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</si>
  <si>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</si>
  <si>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</si>
  <si>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</si>
  <si>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</si>
  <si>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</si>
  <si>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</si>
  <si>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</si>
  <si>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</si>
  <si>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</si>
  <si>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</si>
  <si>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</si>
  <si>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</si>
  <si>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</si>
  <si>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</si>
  <si>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</si>
  <si>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</si>
  <si>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</si>
  <si>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</si>
  <si>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</si>
  <si>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</si>
  <si>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</si>
  <si>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</si>
  <si>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</si>
  <si>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</si>
  <si>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</si>
  <si>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</si>
  <si>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</si>
  <si>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</si>
  <si>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</si>
  <si>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</si>
  <si>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</si>
  <si>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</si>
  <si>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</si>
  <si>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</si>
  <si>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</si>
  <si>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</si>
  <si>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</si>
  <si>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</si>
  <si>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</si>
  <si>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</si>
  <si>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</si>
  <si>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</si>
  <si>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</si>
  <si>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</si>
  <si>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</si>
  <si>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</si>
  <si>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</si>
  <si>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</si>
  <si>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</si>
  <si>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</si>
  <si>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</si>
  <si>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</si>
  <si>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</si>
  <si>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</si>
  <si>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</si>
  <si>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</si>
  <si>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</si>
  <si>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</si>
  <si>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</si>
  <si>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</si>
  <si>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</si>
  <si>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</si>
  <si>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</si>
  <si>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</si>
  <si>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</si>
  <si>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</si>
  <si>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</si>
  <si>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</si>
  <si>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</si>
  <si>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</si>
  <si>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</si>
  <si>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</si>
  <si>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</si>
  <si>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</si>
  <si>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</si>
  <si>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</si>
  <si>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</si>
  <si>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</si>
  <si>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</si>
  <si>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</si>
  <si>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</si>
  <si>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</si>
  <si>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</si>
  <si>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</si>
  <si>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</si>
  <si>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</si>
  <si>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</si>
  <si>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</si>
  <si>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</si>
  <si>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</si>
  <si>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</si>
  <si>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</si>
  <si>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</si>
  <si>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</si>
  <si>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</si>
  <si>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</si>
  <si>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</si>
  <si>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</si>
  <si>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</si>
  <si>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</si>
  <si>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</si>
  <si>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</si>
  <si>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</si>
  <si>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</si>
  <si>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</si>
  <si>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</si>
  <si>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</si>
  <si>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</si>
  <si>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</si>
  <si>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</si>
  <si>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</si>
  <si>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</si>
  <si>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</si>
  <si>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</si>
  <si>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</si>
  <si>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</si>
  <si>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</si>
  <si>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</si>
  <si>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</si>
  <si>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</si>
  <si>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</si>
  <si>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</si>
  <si>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</si>
  <si>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</si>
  <si>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</si>
  <si>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</si>
  <si>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</si>
  <si>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</si>
  <si>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</si>
  <si>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</si>
  <si>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</si>
  <si>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</si>
  <si>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</si>
  <si>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</si>
  <si>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</si>
  <si>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</si>
  <si>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</si>
  <si>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</si>
  <si>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</si>
  <si>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</si>
  <si>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</si>
  <si>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</si>
  <si>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</si>
  <si>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</si>
  <si>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</si>
  <si>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</si>
  <si>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</si>
  <si>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</si>
  <si>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</si>
  <si>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</si>
  <si>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</si>
  <si>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</si>
  <si>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</si>
  <si>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</si>
  <si>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</si>
  <si>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</si>
  <si>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</si>
  <si>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</si>
  <si>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</si>
  <si>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</si>
  <si>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</si>
  <si>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</si>
  <si>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</si>
  <si>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</si>
  <si>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</si>
  <si>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</si>
  <si>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</si>
  <si>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</si>
  <si>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</si>
  <si>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</si>
  <si>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</si>
  <si>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</si>
  <si>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</si>
  <si>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</si>
  <si>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</si>
  <si>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</si>
  <si>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</si>
  <si>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</si>
  <si>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</si>
  <si>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</si>
  <si>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</si>
  <si>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</si>
  <si>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</si>
  <si>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</si>
  <si>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</si>
  <si>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</si>
  <si>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</si>
  <si>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</si>
  <si>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</si>
  <si>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</si>
  <si>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</si>
  <si>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</si>
  <si>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</si>
  <si>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</si>
  <si>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</si>
  <si>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</si>
  <si>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</si>
  <si>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</si>
  <si>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</si>
  <si>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</si>
  <si>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</si>
  <si>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</si>
  <si>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</si>
  <si>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</si>
  <si>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</si>
  <si>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</si>
  <si>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</si>
  <si>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</si>
  <si>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</si>
  <si>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</si>
  <si>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</si>
  <si>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</si>
  <si>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</si>
  <si>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</si>
  <si>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</si>
  <si>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</si>
  <si>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</si>
  <si>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</si>
  <si>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</si>
  <si>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</si>
  <si>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</si>
  <si>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</si>
  <si>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</si>
  <si>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</si>
  <si>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</si>
  <si>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</si>
  <si>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</si>
  <si>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</si>
  <si>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</si>
  <si>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</si>
  <si>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</si>
  <si>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</si>
  <si>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</si>
  <si>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</si>
  <si>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</si>
  <si>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</si>
  <si>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</si>
  <si>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</si>
  <si>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</si>
  <si>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</si>
  <si>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</si>
  <si>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</si>
  <si>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</si>
  <si>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</si>
  <si>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</si>
  <si>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</si>
  <si>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</si>
  <si>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</si>
  <si>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</si>
  <si>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</si>
  <si>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</si>
  <si>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</si>
  <si>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</si>
  <si>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</si>
  <si>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</si>
  <si>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</si>
  <si>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</si>
  <si>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</si>
  <si>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</si>
  <si>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</si>
  <si>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</si>
  <si>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</si>
  <si>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</si>
  <si>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</si>
  <si>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</si>
  <si>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</si>
  <si>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</si>
  <si>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</si>
  <si>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</si>
  <si>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</si>
  <si>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</si>
  <si>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</si>
  <si>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</si>
  <si>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</si>
  <si>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</si>
  <si>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</si>
  <si>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</si>
  <si>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</si>
  <si>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</si>
  <si>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</si>
  <si>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</si>
  <si>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</si>
  <si>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</si>
  <si>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</si>
  <si>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</si>
  <si>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</si>
  <si>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</si>
  <si>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</si>
  <si>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</si>
  <si>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</si>
  <si>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</si>
  <si>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</si>
  <si>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</si>
  <si>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</si>
  <si>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</si>
  <si>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</si>
  <si>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</si>
  <si>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</si>
  <si>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</si>
  <si>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</si>
  <si>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</si>
  <si>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</si>
  <si>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</si>
  <si>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</si>
  <si>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</si>
  <si>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</si>
  <si>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</si>
  <si>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</si>
  <si>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</si>
  <si>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</si>
  <si>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</si>
  <si>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</si>
  <si>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</si>
  <si>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</si>
  <si>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</si>
  <si>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</si>
  <si>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</si>
  <si>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</si>
  <si>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</si>
  <si>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</si>
  <si>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</si>
  <si>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</si>
  <si>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</si>
  <si>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</si>
  <si>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</si>
  <si>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</si>
  <si>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</si>
  <si>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</si>
  <si>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</si>
  <si>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</si>
  <si>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</si>
  <si>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</si>
  <si>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</si>
  <si>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</si>
  <si>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</si>
  <si>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</si>
  <si>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</si>
  <si>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</si>
  <si>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</si>
  <si>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</si>
  <si>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</si>
  <si>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</si>
  <si>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</si>
  <si>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</si>
  <si>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</si>
  <si>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</si>
  <si>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</si>
  <si>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</si>
  <si>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</si>
  <si>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</si>
  <si>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</si>
  <si>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</si>
  <si>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</si>
  <si>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</si>
  <si>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</si>
  <si>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</si>
  <si>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</si>
  <si>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</si>
  <si>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</si>
  <si>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</si>
  <si>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</si>
  <si>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</si>
  <si>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</si>
  <si>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</si>
  <si>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</si>
  <si>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</si>
  <si>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</si>
  <si>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</si>
  <si>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</si>
  <si>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</si>
  <si>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</si>
  <si>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</si>
  <si>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</si>
  <si>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</si>
  <si>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</si>
  <si>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</si>
  <si>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</si>
  <si>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</si>
  <si>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</si>
  <si>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</si>
  <si>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</si>
  <si>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</si>
  <si>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</si>
  <si>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</si>
  <si>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</si>
  <si>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</si>
  <si>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</si>
  <si>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</si>
  <si>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</si>
  <si>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</si>
  <si>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</si>
  <si>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</si>
  <si>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</si>
  <si>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</si>
  <si>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</si>
  <si>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</si>
  <si>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</si>
  <si>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</si>
  <si>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</si>
  <si>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</si>
  <si>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</si>
  <si>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</si>
  <si>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</si>
  <si>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</si>
  <si>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</si>
  <si>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</si>
  <si>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</si>
  <si>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</si>
  <si>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</si>
  <si>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</si>
  <si>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</si>
  <si>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</si>
  <si>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</si>
  <si>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</si>
  <si>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</si>
  <si>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</si>
  <si>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</si>
  <si>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</si>
  <si>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</si>
  <si>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</si>
  <si>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</si>
  <si>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</si>
  <si>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</si>
  <si>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</si>
  <si>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</si>
  <si>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</si>
  <si>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</si>
  <si>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</si>
  <si>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</si>
  <si>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</si>
  <si>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</si>
  <si>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</si>
  <si>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</si>
  <si>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</si>
  <si>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</si>
  <si>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</si>
  <si>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</si>
  <si>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</si>
  <si>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</si>
  <si>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</si>
  <si>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</si>
  <si>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</si>
  <si>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</si>
  <si>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</si>
  <si>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</si>
  <si>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</si>
  <si>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</si>
  <si>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</si>
  <si>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</si>
  <si>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</si>
  <si>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</si>
  <si>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</si>
  <si>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</si>
  <si>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</si>
  <si>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</si>
  <si>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</si>
  <si>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</si>
  <si>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</si>
  <si>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</si>
  <si>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</si>
  <si>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</si>
  <si>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</si>
  <si>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</si>
  <si>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</si>
  <si>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</si>
  <si>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</si>
  <si>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</si>
  <si>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</si>
  <si>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</si>
  <si>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</si>
  <si>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</si>
  <si>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</si>
  <si>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</si>
  <si>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</si>
  <si>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</si>
  <si>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</si>
  <si>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</si>
  <si>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</si>
  <si>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</si>
  <si>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</si>
  <si>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</si>
  <si>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</si>
  <si>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</si>
  <si>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</si>
  <si>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</si>
  <si>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</si>
  <si>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</si>
  <si>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</si>
  <si>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</si>
  <si>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</si>
  <si>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</si>
  <si>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</si>
  <si>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</si>
  <si>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</si>
  <si>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</si>
  <si>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</si>
  <si>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</si>
  <si>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</si>
  <si>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</si>
  <si>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</si>
  <si>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</si>
  <si>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</si>
  <si>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</si>
  <si>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</si>
  <si>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</si>
  <si>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</si>
  <si>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</si>
  <si>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</si>
  <si>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</si>
  <si>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</si>
  <si>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</si>
  <si>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</si>
  <si>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</si>
  <si>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</si>
  <si>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</si>
  <si>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</si>
  <si>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</si>
  <si>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</si>
  <si>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</si>
  <si>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</si>
  <si>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</si>
  <si>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</si>
  <si>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</si>
  <si>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</si>
  <si>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</si>
  <si>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</si>
  <si>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</si>
  <si>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</si>
  <si>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</si>
  <si>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</si>
  <si>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</si>
  <si>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</si>
  <si>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</si>
  <si>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</si>
  <si>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</si>
  <si>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</si>
  <si>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</si>
  <si>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</si>
  <si>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</si>
  <si>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</si>
  <si>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</si>
  <si>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</si>
  <si>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</si>
  <si>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</si>
  <si>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</si>
  <si>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</si>
  <si>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</si>
  <si>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</si>
  <si>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</si>
  <si>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</si>
  <si>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</si>
  <si>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</si>
  <si>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</si>
  <si>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</si>
  <si>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</si>
  <si>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</si>
  <si>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</si>
  <si>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</si>
  <si>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</si>
  <si>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</si>
  <si>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</si>
  <si>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</si>
  <si>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</si>
  <si>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</si>
  <si>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</si>
  <si>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</si>
  <si>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</si>
  <si>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</si>
  <si>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</si>
  <si>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</si>
  <si>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</si>
  <si>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</si>
  <si>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</si>
  <si>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</si>
  <si>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</si>
  <si>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</si>
  <si>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</si>
  <si>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</si>
  <si>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</si>
  <si>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</si>
  <si>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</si>
  <si>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</si>
  <si>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</si>
  <si>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</si>
  <si>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</si>
  <si>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</si>
  <si>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</si>
  <si>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</si>
  <si>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</si>
  <si>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</si>
  <si>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</si>
  <si>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</si>
  <si>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</si>
  <si>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</si>
  <si>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</si>
  <si>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</si>
  <si>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</si>
  <si>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</si>
  <si>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</si>
  <si>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</si>
  <si>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</si>
  <si>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</si>
  <si>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</si>
  <si>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</si>
  <si>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</si>
  <si>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</si>
  <si>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</si>
  <si>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</si>
  <si>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</si>
  <si>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</si>
  <si>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</si>
  <si>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</si>
  <si>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</si>
  <si>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</si>
  <si>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</si>
  <si>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</si>
  <si>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</si>
  <si>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</si>
  <si>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</si>
  <si>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</si>
  <si>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</si>
  <si>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</si>
  <si>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</si>
  <si>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</si>
  <si>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</si>
  <si>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</si>
  <si>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</si>
  <si>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</si>
  <si>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</si>
  <si>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</si>
  <si>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</si>
  <si>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</si>
  <si>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</si>
  <si>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</si>
  <si>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</si>
  <si>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</si>
  <si>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</si>
  <si>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</si>
  <si>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</si>
  <si>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</si>
  <si>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</si>
  <si>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</si>
  <si>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</si>
  <si>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</si>
  <si>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</si>
  <si>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</si>
  <si>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</si>
  <si>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</si>
  <si>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</si>
  <si>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</si>
  <si>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</si>
  <si>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</si>
  <si>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</si>
  <si>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</si>
  <si>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</si>
  <si>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</si>
  <si>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</si>
  <si>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</si>
  <si>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</si>
  <si>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</si>
  <si>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</si>
  <si>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</si>
  <si>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</si>
  <si>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</si>
  <si>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</si>
  <si>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</si>
  <si>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</si>
  <si>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</si>
  <si>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</si>
  <si>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</si>
  <si>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</si>
  <si>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</si>
  <si>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</si>
  <si>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</si>
  <si>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</si>
  <si>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</si>
  <si>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</si>
  <si>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</si>
  <si>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</si>
  <si>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</si>
  <si>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</si>
  <si>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</si>
  <si>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</si>
  <si>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</si>
  <si>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</si>
  <si>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</si>
  <si>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</si>
  <si>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</si>
  <si>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</si>
  <si>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</si>
  <si>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</si>
  <si>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</si>
  <si>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</si>
  <si>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</si>
  <si>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</si>
  <si>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</si>
  <si>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</si>
  <si>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</si>
  <si>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</si>
  <si>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</si>
  <si>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</si>
  <si>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</si>
  <si>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</si>
  <si>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</si>
  <si>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</si>
  <si>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</si>
  <si>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</si>
  <si>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</si>
  <si>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</si>
  <si>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</si>
  <si>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</si>
  <si>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</si>
  <si>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</si>
  <si>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</si>
  <si>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</si>
  <si>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</si>
  <si>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</si>
  <si>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</si>
  <si>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</si>
  <si>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</si>
  <si>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</si>
  <si>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</si>
  <si>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</si>
  <si>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</si>
  <si>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</si>
  <si>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</si>
  <si>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</si>
  <si>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</si>
  <si>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</si>
  <si>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</si>
  <si>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</si>
  <si>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</si>
  <si>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</si>
  <si>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</si>
  <si>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</si>
  <si>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</si>
  <si>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</si>
  <si>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</si>
  <si>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</si>
  <si>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</si>
  <si>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</si>
  <si>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</si>
  <si>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</si>
  <si>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</si>
  <si>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</si>
  <si>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</si>
  <si>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</si>
  <si>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</si>
  <si>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</si>
  <si>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</si>
  <si>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</si>
  <si>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</si>
  <si>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</si>
  <si>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</si>
  <si>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</si>
  <si>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</si>
  <si>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</si>
  <si>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</si>
  <si>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</si>
  <si>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</si>
  <si>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</si>
  <si>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</si>
  <si>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</si>
  <si>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</si>
  <si>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</si>
  <si>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</si>
  <si>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</si>
  <si>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</si>
  <si>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</si>
  <si>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</si>
  <si>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</si>
  <si>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</si>
  <si>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</si>
  <si>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</si>
  <si>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</si>
  <si>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</si>
  <si>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</si>
  <si>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</si>
  <si>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</si>
  <si>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</si>
  <si>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</si>
  <si>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</si>
  <si>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</si>
  <si>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</si>
  <si>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</si>
  <si>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</si>
  <si>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</si>
  <si>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</si>
  <si>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</si>
  <si>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</si>
  <si>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</si>
  <si>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</si>
  <si>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</si>
  <si>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</si>
  <si>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</si>
  <si>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</si>
  <si>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</si>
  <si>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</si>
  <si>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</si>
  <si>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</si>
  <si>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</si>
  <si>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</si>
  <si>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</si>
  <si>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</si>
  <si>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</si>
  <si>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</si>
  <si>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</si>
  <si>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</si>
  <si>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</si>
  <si>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</si>
  <si>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</si>
  <si>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</si>
  <si>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</si>
  <si>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</si>
  <si>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</si>
  <si>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</si>
  <si>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</si>
  <si>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</si>
  <si>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</si>
  <si>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</si>
  <si>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</si>
  <si>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</si>
  <si>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</si>
  <si>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</si>
  <si>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</si>
  <si>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</si>
  <si>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</si>
  <si>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</si>
  <si>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</si>
  <si>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</si>
  <si>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</si>
  <si>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</si>
  <si>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</si>
  <si>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</si>
  <si>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</si>
  <si>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</si>
  <si>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</si>
  <si>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</si>
  <si>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</si>
  <si>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</si>
  <si>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</si>
  <si>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</si>
  <si>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</si>
  <si>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</si>
  <si>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</si>
  <si>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</si>
  <si>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</si>
  <si>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</si>
  <si>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</si>
  <si>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</si>
  <si>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</si>
  <si>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</si>
  <si>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</si>
  <si>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</si>
  <si>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</si>
  <si>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</si>
  <si>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</si>
  <si>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</si>
  <si>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</si>
  <si>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</si>
  <si>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</si>
  <si>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</si>
  <si>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</si>
  <si>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</si>
  <si>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</si>
  <si>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</si>
  <si>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</si>
  <si>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</si>
  <si>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</si>
  <si>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</si>
  <si>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</si>
  <si>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</si>
  <si>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</si>
  <si>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</si>
  <si>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</si>
  <si>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</si>
  <si>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</si>
  <si>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</si>
  <si>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</si>
  <si>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</si>
  <si>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</si>
  <si>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</si>
  <si>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</si>
  <si>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</si>
  <si>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</si>
  <si>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</si>
  <si>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</si>
  <si>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</si>
  <si>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</si>
  <si>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</si>
  <si>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</si>
  <si>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</si>
  <si>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</si>
  <si>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</si>
  <si>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</si>
  <si>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</si>
  <si>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</si>
  <si>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</si>
  <si>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</si>
  <si>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</si>
  <si>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</si>
  <si>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</si>
  <si>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</si>
  <si>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</si>
  <si>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</si>
  <si>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</si>
  <si>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</si>
  <si>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</si>
  <si>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</si>
  <si>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</si>
  <si>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</si>
  <si>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</si>
  <si>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</si>
  <si>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</si>
  <si>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</si>
  <si>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</si>
  <si>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</si>
  <si>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</si>
  <si>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</si>
  <si>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</si>
  <si>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</si>
  <si>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</si>
  <si>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</si>
  <si>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</si>
  <si>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</si>
  <si>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</si>
  <si>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</si>
  <si>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</si>
  <si>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</si>
  <si>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</si>
  <si>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</si>
  <si>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</si>
  <si>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</si>
  <si>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</si>
  <si>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</si>
  <si>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</si>
  <si>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</si>
  <si>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</si>
  <si>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</si>
  <si>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</si>
  <si>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</si>
  <si>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</si>
  <si>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</si>
  <si>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</si>
  <si>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</si>
  <si>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</si>
  <si>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</si>
  <si>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</si>
  <si>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</si>
  <si>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</si>
  <si>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</si>
  <si>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</si>
  <si>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</si>
  <si>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</si>
  <si>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</si>
  <si>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</si>
  <si>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</si>
  <si>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</si>
  <si>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</si>
  <si>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</si>
  <si>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</si>
  <si>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</si>
  <si>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</si>
  <si>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</si>
  <si>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</si>
  <si>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</si>
  <si>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</si>
  <si>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</si>
  <si>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</si>
  <si>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</si>
  <si>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</si>
  <si>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</si>
  <si>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</si>
  <si>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</si>
  <si>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</si>
  <si>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</si>
  <si>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</si>
  <si>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</si>
  <si>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</si>
  <si>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</si>
  <si>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</si>
  <si>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</si>
  <si>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</si>
  <si>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</si>
  <si>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</si>
  <si>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</si>
  <si>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</si>
  <si>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</si>
  <si>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</si>
  <si>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</si>
  <si>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</si>
  <si>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</si>
  <si>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</si>
  <si>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</si>
  <si>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</si>
  <si>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</si>
  <si>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</si>
  <si>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</si>
  <si>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</si>
  <si>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</si>
  <si>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</si>
  <si>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</si>
  <si>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</si>
  <si>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</si>
  <si>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</si>
  <si>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</si>
  <si>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</si>
  <si>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</si>
  <si>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</si>
  <si>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</si>
  <si>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</si>
  <si>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</si>
  <si>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</si>
  <si>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</si>
  <si>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</si>
  <si>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</si>
  <si>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</si>
  <si>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</si>
  <si>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</si>
  <si>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</si>
  <si>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</si>
  <si>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</si>
  <si>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</si>
  <si>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</si>
  <si>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</si>
  <si>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</si>
  <si>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</si>
  <si>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</si>
  <si>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</si>
  <si>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</si>
  <si>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</si>
  <si>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</si>
  <si>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</si>
  <si>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</si>
  <si>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</si>
  <si>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</si>
  <si>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</si>
  <si>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</si>
  <si>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</si>
  <si>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</si>
  <si>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</si>
  <si>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</si>
  <si>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</si>
  <si>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</si>
  <si>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</si>
  <si>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</si>
  <si>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</si>
  <si>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</si>
  <si>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</si>
  <si>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</si>
  <si>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</si>
  <si>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</si>
  <si>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</si>
  <si>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</si>
  <si>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</si>
  <si>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</si>
  <si>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</si>
  <si>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</si>
  <si>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</si>
  <si>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</si>
  <si>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</si>
  <si>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</si>
  <si>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</si>
  <si>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</si>
  <si>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</si>
  <si>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</si>
  <si>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</si>
  <si>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</si>
  <si>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</si>
  <si>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</si>
  <si>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</si>
  <si>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</si>
  <si>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</si>
  <si>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</si>
  <si>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</si>
  <si>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</si>
  <si>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</si>
  <si>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</si>
  <si>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</si>
  <si>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</si>
  <si>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</si>
  <si>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</si>
  <si>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</si>
  <si>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</si>
  <si>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</si>
  <si>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</si>
  <si>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</si>
  <si>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</si>
  <si>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</si>
  <si>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</si>
  <si>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</si>
  <si>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</si>
  <si>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</si>
  <si>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</si>
  <si>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</si>
  <si>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</si>
  <si>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</si>
  <si>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</si>
  <si>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</si>
  <si>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</si>
  <si>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</si>
  <si>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</si>
  <si>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</si>
  <si>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</si>
  <si>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</si>
  <si>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</si>
  <si>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</si>
  <si>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</si>
  <si>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</si>
  <si>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</si>
  <si>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</si>
  <si>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</si>
  <si>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</si>
  <si>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</si>
  <si>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</si>
  <si>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</si>
  <si>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</si>
  <si>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</si>
  <si>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</si>
  <si>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</si>
  <si>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</si>
  <si>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</si>
  <si>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</si>
  <si>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</si>
  <si>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</si>
  <si>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</si>
  <si>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</si>
  <si>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</si>
  <si>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</si>
  <si>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</si>
  <si>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</si>
  <si>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</si>
  <si>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</si>
  <si>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</si>
  <si>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</si>
  <si>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</si>
  <si>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</si>
  <si>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</si>
  <si>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</si>
  <si>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</si>
  <si>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</si>
  <si>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</si>
  <si>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</si>
  <si>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</si>
  <si>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</si>
  <si>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</si>
  <si>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</si>
  <si>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</si>
  <si>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</si>
  <si>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</si>
  <si>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</si>
  <si>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</si>
  <si>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</si>
  <si>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</si>
  <si>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</si>
  <si>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</si>
  <si>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</si>
  <si>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</si>
  <si>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</si>
  <si>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</si>
  <si>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</si>
  <si>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</si>
  <si>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</si>
  <si>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</si>
  <si>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</si>
  <si>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</si>
  <si>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</si>
  <si>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</si>
  <si>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</si>
  <si>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</si>
  <si>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</si>
  <si>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</si>
  <si>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</si>
  <si>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</si>
  <si>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</si>
  <si>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</si>
  <si>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</si>
  <si>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</si>
  <si>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</si>
  <si>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</si>
  <si>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</si>
  <si>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</si>
  <si>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</si>
  <si>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</si>
  <si>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</si>
  <si>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</si>
  <si>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</si>
  <si>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</si>
  <si>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</si>
  <si>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</si>
  <si>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</si>
  <si>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</si>
  <si>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</si>
  <si>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</si>
  <si>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</si>
  <si>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</si>
  <si>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</si>
  <si>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</si>
  <si>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</si>
  <si>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</si>
  <si>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</si>
  <si>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</si>
  <si>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</si>
  <si>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</si>
  <si>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</si>
  <si>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</si>
  <si>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</si>
  <si>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</si>
  <si>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</si>
  <si>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</si>
  <si>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</si>
  <si>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</si>
  <si>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</si>
  <si>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</si>
  <si>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</si>
  <si>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</si>
  <si>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</si>
  <si>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</si>
  <si>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</si>
  <si>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</si>
  <si>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</si>
  <si>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</si>
  <si>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</si>
  <si>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</si>
  <si>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</si>
  <si>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</si>
  <si>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</si>
  <si>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</si>
  <si>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</si>
  <si>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</si>
  <si>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</si>
  <si>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</si>
  <si>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</si>
  <si>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</si>
  <si>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</si>
  <si>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</si>
  <si>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</si>
  <si>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</si>
  <si>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</si>
  <si>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</si>
  <si>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</si>
  <si>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</si>
  <si>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</si>
  <si>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</si>
  <si>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</si>
  <si>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</si>
  <si>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</si>
  <si>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</si>
  <si>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</si>
  <si>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</si>
  <si>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</si>
  <si>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</si>
  <si>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</si>
  <si>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</si>
  <si>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</si>
  <si>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</si>
  <si>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</si>
  <si>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</si>
  <si>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</si>
  <si>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</si>
  <si>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</si>
  <si>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</si>
  <si>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</si>
  <si>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</si>
  <si>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</si>
  <si>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</si>
  <si>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</si>
  <si>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</si>
  <si>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</si>
  <si>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</si>
  <si>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</si>
  <si>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</si>
  <si>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</si>
  <si>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</si>
  <si>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</si>
  <si>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</si>
  <si>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</si>
  <si>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</si>
  <si>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</si>
  <si>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</si>
  <si>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</si>
  <si>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</si>
  <si>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</si>
  <si>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</si>
  <si>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</si>
  <si>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</si>
  <si>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</si>
  <si>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</si>
  <si>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</si>
  <si>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</si>
  <si>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</si>
  <si>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</si>
  <si>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</si>
  <si>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</si>
  <si>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</si>
  <si>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</si>
  <si>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</si>
  <si>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</si>
  <si>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</si>
  <si>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</si>
  <si>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</si>
  <si>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</si>
  <si>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</si>
  <si>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</si>
  <si>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</si>
  <si>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</si>
  <si>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</si>
  <si>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</si>
  <si>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</si>
  <si>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</si>
  <si>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</si>
  <si>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</si>
  <si>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</si>
  <si>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</si>
  <si>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</si>
  <si>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</si>
  <si>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</si>
  <si>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</si>
  <si>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</si>
  <si>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</si>
  <si>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</si>
  <si>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</si>
  <si>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</si>
  <si>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</si>
  <si>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</si>
  <si>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</si>
  <si>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</si>
  <si>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</si>
  <si>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</si>
  <si>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</si>
  <si>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</si>
  <si>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</si>
  <si>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</si>
  <si>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</si>
  <si>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</si>
  <si>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</si>
  <si>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</si>
  <si>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</si>
  <si>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</si>
  <si>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</si>
  <si>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</si>
  <si>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</si>
  <si>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</si>
  <si>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</si>
  <si>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</si>
  <si>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</si>
  <si>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</si>
  <si>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</si>
  <si>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</si>
  <si>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</si>
  <si>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</si>
  <si>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</si>
  <si>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</si>
  <si>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</si>
  <si>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</si>
  <si>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</si>
  <si>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</si>
  <si>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</si>
  <si>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</si>
  <si>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</si>
  <si>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</si>
  <si>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</si>
  <si>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</si>
  <si>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</si>
  <si>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</si>
  <si>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</si>
  <si>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</si>
  <si>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</si>
  <si>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</si>
  <si>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</si>
  <si>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</si>
  <si>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</si>
  <si>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</si>
  <si>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</si>
  <si>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</si>
  <si>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</si>
  <si>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</si>
  <si>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</si>
  <si>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</si>
  <si>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</si>
  <si>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</si>
  <si>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</si>
  <si>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</si>
  <si>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</si>
  <si>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</si>
  <si>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</si>
  <si>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</si>
  <si>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</si>
  <si>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</si>
  <si>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</si>
  <si>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</si>
  <si>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</si>
  <si>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</si>
  <si>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</si>
  <si>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</si>
  <si>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</si>
  <si>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</si>
  <si>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</si>
  <si>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</si>
  <si>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</si>
  <si>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</si>
  <si>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</si>
  <si>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</si>
  <si>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</si>
  <si>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</si>
  <si>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</si>
  <si>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</si>
  <si>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</si>
  <si>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</si>
  <si>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</si>
  <si>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</si>
  <si>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</si>
  <si>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</si>
  <si>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</si>
  <si>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</si>
  <si>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</si>
  <si>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</si>
  <si>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</si>
  <si>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</si>
  <si>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</si>
  <si>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</si>
  <si>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</si>
  <si>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</si>
  <si>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</si>
  <si>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</si>
  <si>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</si>
  <si>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</si>
  <si>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</si>
  <si>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</si>
  <si>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</si>
  <si>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</si>
  <si>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</si>
  <si>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</si>
  <si>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</si>
  <si>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</si>
  <si>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</si>
  <si>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</si>
  <si>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</si>
  <si>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</si>
  <si>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</si>
  <si>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</si>
  <si>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</si>
  <si>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</si>
  <si>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</si>
  <si>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</si>
  <si>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</si>
  <si>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</si>
  <si>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</si>
  <si>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</si>
  <si>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</si>
  <si>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</si>
  <si>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</si>
  <si>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</si>
  <si>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</si>
  <si>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</si>
  <si>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</si>
  <si>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</si>
  <si>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</si>
  <si>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</si>
  <si>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</si>
  <si>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</si>
  <si>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</si>
  <si>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</si>
  <si>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</si>
  <si>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</si>
  <si>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</si>
  <si>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</si>
  <si>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</si>
  <si>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</si>
  <si>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</si>
  <si>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</si>
  <si>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</si>
  <si>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</si>
  <si>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</si>
  <si>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</si>
  <si>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</si>
  <si>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</si>
  <si>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</si>
  <si>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</si>
  <si>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</si>
  <si>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</si>
  <si>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</si>
  <si>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</si>
  <si>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</si>
  <si>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</si>
  <si>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</si>
  <si>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</si>
  <si>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</si>
  <si>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</si>
  <si>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</si>
  <si>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</si>
  <si>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</si>
  <si>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</si>
  <si>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</si>
  <si>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</si>
  <si>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</si>
  <si>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</si>
  <si>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</si>
  <si>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</si>
  <si>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</si>
  <si>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</si>
  <si>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</si>
  <si>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</si>
  <si>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</si>
  <si>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</si>
  <si>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</si>
  <si>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</si>
  <si>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</si>
  <si>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</si>
  <si>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</si>
  <si>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</si>
  <si>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</si>
  <si>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</si>
  <si>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</si>
  <si>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</si>
  <si>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</si>
  <si>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</si>
  <si>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</si>
  <si>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</si>
  <si>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</si>
  <si>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</si>
  <si>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</si>
  <si>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</si>
  <si>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</si>
  <si>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</si>
  <si>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</si>
  <si>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</si>
  <si>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</si>
  <si>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</si>
  <si>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</si>
  <si>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</si>
  <si>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</si>
  <si>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</si>
  <si>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</si>
  <si>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</si>
  <si>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</si>
  <si>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</si>
  <si>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</si>
  <si>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</si>
  <si>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</si>
  <si>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</si>
  <si>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</si>
  <si>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</si>
  <si>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</si>
  <si>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</si>
  <si>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</si>
  <si>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</si>
  <si>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</si>
  <si>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</si>
  <si>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</si>
  <si>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</si>
  <si>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</si>
  <si>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</si>
  <si>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</si>
  <si>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</si>
  <si>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</si>
  <si>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</si>
  <si>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</si>
  <si>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</si>
  <si>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</si>
  <si>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</si>
  <si>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</si>
  <si>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</si>
  <si>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</si>
  <si>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</si>
  <si>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</si>
  <si>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</si>
  <si>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</si>
  <si>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</si>
  <si>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</si>
  <si>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</si>
  <si>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</si>
  <si>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</si>
  <si>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</si>
  <si>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</si>
  <si>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</si>
  <si>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</si>
  <si>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</si>
  <si>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</si>
  <si>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</si>
  <si>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</si>
  <si>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</si>
  <si>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</si>
  <si>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</si>
  <si>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</si>
  <si>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</si>
  <si>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</si>
  <si>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</si>
  <si>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</si>
  <si>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</si>
  <si>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</si>
  <si>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</si>
  <si>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</si>
  <si>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</si>
  <si>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</si>
  <si>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</si>
  <si>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</si>
  <si>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</si>
  <si>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</si>
  <si>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</si>
  <si>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</si>
  <si>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</si>
  <si>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</si>
  <si>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</si>
  <si>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</si>
  <si>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</si>
  <si>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</si>
  <si>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</si>
  <si>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</si>
  <si>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</si>
  <si>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</si>
  <si>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</si>
  <si>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</si>
  <si>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</si>
  <si>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</si>
  <si>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</si>
  <si>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</si>
  <si>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</si>
  <si>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</si>
  <si>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</si>
  <si>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</si>
  <si>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</si>
  <si>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</si>
  <si>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</si>
  <si>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</si>
  <si>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</si>
  <si>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</si>
  <si>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</si>
  <si>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</si>
  <si>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</si>
  <si>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</si>
  <si>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</si>
  <si>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</si>
  <si>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</si>
  <si>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</si>
  <si>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</si>
  <si>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</si>
  <si>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</si>
  <si>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</si>
  <si>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</si>
  <si>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</si>
  <si>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</si>
  <si>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</si>
  <si>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</si>
  <si>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</si>
  <si>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</si>
  <si>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</si>
  <si>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</si>
  <si>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</si>
  <si>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</si>
  <si>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</si>
  <si>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</si>
  <si>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</si>
  <si>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</si>
  <si>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</si>
  <si>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</si>
  <si>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</si>
  <si>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</si>
  <si>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</si>
  <si>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</si>
  <si>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</si>
  <si>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</si>
  <si>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</si>
  <si>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</si>
  <si>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</si>
  <si>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</si>
  <si>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</si>
  <si>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</si>
  <si>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</si>
  <si>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</si>
  <si>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</si>
  <si>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</si>
  <si>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</si>
  <si>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</si>
  <si>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</si>
  <si>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</si>
  <si>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</si>
  <si>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</si>
  <si>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</si>
  <si>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</si>
  <si>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</si>
  <si>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</si>
  <si>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</si>
  <si>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</si>
  <si>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</si>
  <si>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</si>
  <si>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</si>
  <si>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</si>
  <si>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</si>
  <si>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</si>
  <si>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</si>
  <si>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</si>
  <si>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</si>
  <si>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</si>
  <si>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</si>
  <si>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</si>
  <si>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</si>
  <si>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</si>
  <si>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</si>
  <si>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</si>
  <si>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</si>
  <si>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</si>
  <si>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</si>
  <si>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</si>
  <si>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</si>
  <si>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</si>
  <si>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</si>
  <si>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</si>
  <si>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</si>
  <si>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</si>
  <si>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</si>
  <si>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</si>
  <si>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</si>
  <si>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</si>
  <si>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</si>
  <si>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</si>
  <si>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</si>
  <si>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</si>
  <si>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</si>
  <si>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</si>
  <si>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</si>
  <si>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</si>
  <si>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</si>
  <si>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</si>
  <si>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</si>
  <si>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</si>
  <si>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</si>
  <si>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</si>
  <si>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</si>
  <si>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</si>
  <si>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</si>
  <si>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</si>
  <si>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</si>
  <si>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</si>
  <si>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</si>
  <si>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</si>
  <si>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</si>
  <si>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</si>
  <si>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</si>
  <si>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</si>
  <si>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</si>
  <si>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</si>
  <si>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</si>
  <si>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</si>
  <si>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</si>
  <si>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</si>
  <si>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</si>
  <si>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</si>
  <si>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</si>
  <si>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</si>
  <si>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</si>
  <si>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</si>
  <si>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</si>
  <si>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</si>
  <si>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</si>
  <si>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</si>
  <si>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</si>
  <si>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</si>
  <si>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</si>
  <si>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</si>
  <si>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</si>
  <si>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</si>
  <si>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</si>
  <si>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</si>
  <si>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</si>
  <si>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</si>
  <si>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</si>
  <si>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</si>
  <si>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</si>
  <si>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</si>
  <si>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</si>
  <si>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</si>
  <si>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</si>
  <si>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</si>
  <si>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</si>
  <si>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</si>
  <si>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</si>
  <si>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</si>
  <si>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</si>
  <si>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</si>
  <si>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</si>
  <si>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</si>
  <si>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</si>
  <si>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</si>
  <si>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</si>
  <si>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</si>
  <si>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</si>
  <si>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</si>
  <si>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</si>
  <si>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</si>
  <si>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</si>
  <si>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</si>
  <si>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</si>
  <si>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</si>
  <si>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</si>
  <si>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</si>
  <si>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</si>
  <si>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</si>
  <si>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</si>
  <si>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</si>
  <si>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</si>
  <si>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</si>
  <si>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</si>
  <si>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</si>
  <si>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</si>
  <si>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</si>
  <si>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</si>
  <si>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</si>
  <si>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</si>
  <si>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</si>
  <si>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</si>
  <si>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</si>
  <si>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</si>
  <si>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</si>
  <si>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</si>
  <si>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</si>
  <si>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</si>
  <si>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</si>
  <si>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</si>
  <si>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</si>
  <si>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</si>
  <si>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</si>
  <si>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</si>
  <si>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</si>
  <si>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</si>
  <si>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</si>
  <si>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</si>
  <si>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</si>
  <si>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</si>
  <si>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</si>
  <si>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</si>
  <si>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</si>
  <si>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</si>
  <si>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</si>
  <si>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</si>
  <si>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</si>
  <si>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</si>
  <si>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</si>
  <si>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</si>
  <si>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</si>
  <si>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</si>
  <si>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</si>
  <si>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</si>
  <si>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</si>
  <si>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</si>
  <si>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</si>
  <si>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</si>
  <si>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</si>
  <si>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</si>
  <si>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</si>
  <si>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</si>
  <si>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</si>
  <si>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</si>
  <si>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</si>
  <si>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</si>
  <si>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</si>
  <si>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</si>
  <si>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</si>
  <si>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</si>
  <si>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</si>
  <si>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</si>
  <si>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</si>
  <si>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</si>
  <si>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</si>
  <si>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</si>
  <si>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</si>
  <si>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</si>
  <si>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</si>
  <si>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</si>
  <si>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</si>
  <si>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</si>
  <si>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</si>
  <si>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</si>
  <si>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</si>
  <si>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</si>
  <si>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</si>
  <si>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</si>
  <si>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</si>
  <si>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</si>
  <si>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</si>
  <si>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</si>
  <si>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</si>
  <si>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</si>
  <si>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</si>
  <si>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</si>
  <si>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</si>
  <si>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</si>
  <si>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</si>
  <si>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</si>
  <si>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</si>
  <si>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</si>
  <si>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</si>
  <si>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</si>
  <si>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</si>
  <si>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</si>
  <si>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</si>
  <si>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</si>
  <si>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</si>
  <si>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</si>
  <si>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</si>
  <si>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</si>
  <si>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</si>
  <si>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</si>
  <si>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</si>
  <si>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</si>
  <si>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</si>
  <si>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</si>
  <si>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</si>
  <si>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</si>
  <si>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</si>
  <si>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</si>
  <si>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</si>
  <si>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</si>
  <si>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</si>
  <si>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</si>
  <si>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</si>
  <si>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</si>
  <si>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</si>
  <si>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</si>
  <si>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</si>
  <si>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</si>
  <si>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</si>
  <si>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</si>
  <si>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</si>
  <si>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</si>
  <si>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</si>
  <si>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</si>
  <si>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</si>
  <si>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</si>
  <si>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</si>
  <si>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</si>
  <si>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</si>
  <si>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</si>
  <si>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</si>
  <si>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</si>
  <si>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</si>
  <si>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</si>
  <si>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</si>
  <si>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</si>
  <si>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</si>
  <si>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</si>
  <si>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</si>
  <si>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</si>
  <si>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</si>
  <si>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</si>
  <si>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</si>
  <si>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</si>
  <si>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</si>
  <si>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</si>
  <si>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</si>
  <si>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</si>
  <si>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</si>
  <si>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</si>
  <si>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</si>
  <si>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</si>
  <si>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</si>
  <si>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</si>
  <si>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</si>
  <si>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</si>
  <si>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</si>
  <si>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</si>
  <si>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</si>
  <si>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</si>
  <si>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</si>
  <si>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</si>
  <si>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</si>
  <si>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</si>
  <si>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</si>
  <si>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</si>
  <si>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</si>
  <si>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</si>
  <si>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</si>
  <si>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</si>
  <si>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</si>
  <si>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</si>
  <si>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</si>
  <si>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</si>
  <si>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</si>
  <si>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</si>
  <si>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</si>
  <si>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</si>
  <si>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</si>
  <si>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</si>
  <si>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</si>
  <si>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</si>
  <si>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</si>
  <si>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</si>
  <si>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</si>
  <si>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</si>
  <si>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</si>
  <si>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</si>
  <si>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</si>
  <si>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</si>
  <si>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</si>
  <si>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</si>
  <si>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</si>
  <si>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</si>
  <si>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</si>
  <si>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</si>
  <si>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</si>
  <si>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</si>
  <si>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</si>
  <si>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</si>
  <si>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</si>
  <si>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</si>
  <si>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</si>
  <si>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</si>
  <si>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</si>
  <si>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</si>
  <si>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</si>
  <si>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</si>
  <si>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</si>
  <si>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</si>
  <si>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</si>
  <si>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</si>
  <si>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</si>
  <si>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</si>
  <si>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</si>
  <si>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</si>
  <si>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</si>
  <si>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</si>
  <si>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</si>
  <si>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</si>
  <si>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</si>
  <si>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</si>
  <si>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</si>
  <si>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</si>
  <si>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</si>
  <si>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</si>
  <si>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</si>
  <si>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</si>
  <si>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</si>
  <si>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</si>
  <si>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</si>
  <si>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</si>
  <si>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</si>
  <si>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</si>
  <si>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</si>
  <si>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</si>
  <si>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</si>
  <si>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</si>
  <si>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</si>
  <si>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</si>
  <si>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</si>
  <si>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</si>
  <si>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</si>
  <si>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</si>
  <si>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</si>
  <si>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</si>
  <si>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</si>
  <si>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</si>
  <si>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</si>
  <si>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</si>
  <si>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</si>
  <si>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</si>
  <si>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</si>
  <si>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</si>
  <si>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</si>
  <si>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</si>
  <si>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</si>
  <si>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</si>
  <si>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</si>
  <si>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</si>
  <si>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</si>
  <si>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</si>
  <si>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</si>
  <si>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</si>
  <si>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</si>
  <si>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</si>
  <si>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</si>
  <si>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</si>
  <si>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</si>
  <si>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</si>
  <si>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</si>
  <si>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</si>
  <si>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</si>
  <si>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</si>
  <si>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</si>
  <si>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</si>
  <si>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</si>
  <si>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</si>
  <si>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</si>
  <si>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</si>
  <si>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</si>
  <si>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</si>
  <si>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</si>
  <si>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</si>
  <si>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</si>
  <si>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</si>
  <si>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</si>
  <si>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</si>
  <si>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</si>
  <si>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</si>
  <si>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</si>
  <si>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</si>
  <si>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</si>
  <si>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</si>
  <si>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</si>
  <si>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</si>
  <si>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</si>
  <si>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</si>
  <si>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</si>
  <si>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</si>
  <si>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</si>
  <si>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</si>
  <si>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</si>
  <si>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</si>
  <si>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</si>
  <si>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</si>
  <si>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</si>
  <si>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</si>
  <si>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</si>
  <si>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</si>
  <si>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</si>
  <si>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</si>
  <si>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</si>
  <si>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</si>
  <si>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</si>
  <si>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</si>
  <si>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</si>
  <si>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</si>
  <si>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</si>
  <si>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</si>
  <si>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</si>
  <si>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</si>
  <si>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</si>
  <si>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</si>
  <si>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</si>
  <si>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</si>
  <si>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</si>
  <si>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</si>
  <si>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</si>
  <si>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</si>
  <si>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</si>
  <si>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</si>
  <si>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</si>
  <si>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</si>
  <si>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</si>
  <si>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</si>
  <si>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</si>
  <si>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</si>
  <si>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</si>
  <si>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</si>
  <si>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</si>
  <si>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</si>
  <si>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</si>
  <si>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</si>
  <si>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</si>
  <si>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</si>
  <si>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</si>
  <si>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</si>
  <si>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</si>
  <si>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</si>
  <si>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</si>
  <si>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</si>
  <si>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</si>
  <si>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</si>
  <si>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</si>
  <si>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</si>
  <si>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</si>
  <si>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</si>
  <si>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</si>
  <si>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</si>
  <si>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</si>
  <si>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</si>
  <si>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</si>
  <si>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</si>
  <si>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</si>
  <si>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</si>
  <si>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</si>
  <si>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</si>
  <si>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</si>
  <si>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</si>
  <si>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</si>
  <si>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</si>
  <si>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</si>
  <si>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</si>
  <si>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</si>
  <si>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</si>
  <si>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</si>
  <si>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</si>
  <si>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</si>
  <si>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</si>
  <si>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</si>
  <si>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</si>
  <si>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</si>
  <si>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</si>
  <si>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</si>
  <si>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</si>
  <si>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</si>
  <si>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</si>
  <si>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</si>
  <si>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</si>
  <si>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</si>
  <si>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</si>
  <si>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</si>
  <si>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</si>
  <si>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</si>
  <si>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</si>
  <si>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</si>
  <si>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</si>
  <si>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</si>
  <si>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</si>
  <si>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</si>
  <si>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</si>
  <si>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</si>
  <si>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</si>
  <si>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</si>
  <si>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</si>
  <si>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</si>
  <si>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</si>
  <si>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</si>
  <si>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</si>
  <si>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</si>
  <si>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</si>
  <si>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</si>
  <si>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</si>
  <si>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</si>
  <si>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</si>
  <si>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</si>
  <si>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</si>
  <si>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</si>
  <si>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</si>
  <si>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</si>
  <si>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</si>
  <si>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</si>
  <si>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</si>
  <si>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</si>
  <si>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</si>
  <si>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</si>
  <si>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</si>
  <si>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</si>
  <si>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</si>
  <si>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</si>
  <si>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</si>
  <si>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</si>
  <si>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</si>
  <si>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</si>
  <si>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</si>
  <si>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</si>
  <si>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</si>
  <si>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</si>
  <si>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</si>
  <si>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</si>
  <si>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</si>
  <si>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</si>
  <si>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</si>
  <si>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</si>
  <si>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</si>
  <si>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</si>
  <si>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</si>
  <si>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</si>
  <si>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</si>
  <si>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</si>
  <si>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</si>
  <si>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</si>
  <si>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</si>
  <si>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</si>
  <si>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</si>
  <si>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</si>
  <si>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</si>
  <si>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</si>
  <si>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</si>
  <si>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</si>
  <si>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</si>
  <si>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</si>
  <si>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</si>
  <si>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</si>
  <si>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</si>
  <si>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</si>
  <si>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</si>
  <si>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</si>
  <si>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</si>
  <si>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</si>
  <si>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</si>
  <si>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</si>
  <si>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</si>
  <si>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</si>
  <si>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</si>
  <si>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</si>
  <si>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</si>
  <si>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</si>
  <si>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</si>
  <si>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</si>
  <si>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</si>
  <si>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</si>
  <si>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</si>
  <si>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</si>
  <si>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</si>
  <si>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</si>
  <si>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</si>
  <si>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</si>
  <si>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</si>
  <si>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</si>
  <si>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</si>
  <si>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</si>
  <si>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</si>
  <si>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</si>
  <si>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</si>
  <si>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</si>
  <si>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</si>
  <si>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</si>
  <si>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</si>
  <si>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</si>
  <si>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</si>
  <si>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</si>
  <si>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</si>
  <si>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</si>
  <si>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</si>
  <si>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</si>
  <si>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</si>
  <si>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</si>
  <si>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</si>
  <si>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</si>
  <si>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</si>
  <si>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</si>
  <si>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</si>
  <si>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</si>
  <si>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</si>
  <si>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</si>
  <si>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</si>
  <si>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</si>
  <si>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</si>
  <si>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</si>
  <si>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</si>
  <si>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</si>
  <si>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</si>
  <si>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</si>
  <si>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</si>
  <si>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</si>
  <si>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</si>
  <si>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</si>
  <si>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</si>
  <si>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</si>
  <si>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</si>
  <si>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</si>
  <si>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</si>
  <si>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</si>
  <si>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</si>
  <si>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</si>
  <si>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</si>
  <si>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</si>
  <si>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</si>
  <si>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</si>
  <si>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</si>
  <si>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</si>
  <si>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</si>
  <si>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</si>
  <si>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</si>
  <si>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</si>
  <si>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</si>
  <si>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</si>
  <si>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</si>
  <si>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</si>
  <si>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</si>
  <si>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</si>
  <si>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</si>
  <si>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</si>
  <si>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</si>
  <si>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</si>
  <si>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</si>
  <si>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</si>
  <si>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</si>
  <si>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</si>
  <si>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</si>
  <si>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</si>
  <si>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</si>
  <si>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</si>
  <si>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</si>
  <si>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</si>
  <si>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</si>
  <si>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</si>
  <si>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</si>
  <si>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</si>
  <si>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</si>
  <si>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</si>
  <si>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</si>
  <si>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</si>
  <si>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</si>
  <si>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</si>
  <si>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</si>
  <si>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</si>
  <si>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</si>
  <si>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</si>
  <si>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</si>
  <si>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</si>
  <si>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</si>
  <si>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</si>
  <si>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</si>
  <si>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</si>
  <si>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</si>
  <si>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</si>
  <si>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</si>
  <si>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</si>
  <si>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</si>
  <si>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</si>
  <si>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</si>
  <si>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</si>
  <si>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</si>
  <si>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</si>
  <si>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</si>
  <si>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</si>
  <si>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</si>
  <si>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</si>
  <si>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</si>
  <si>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</si>
  <si>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</si>
  <si>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</si>
  <si>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</si>
  <si>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</si>
  <si>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</si>
  <si>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</si>
  <si>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</si>
  <si>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</si>
  <si>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</si>
  <si>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</si>
  <si>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</si>
  <si>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</si>
  <si>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</si>
  <si>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</si>
  <si>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</si>
  <si>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</si>
  <si>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</si>
  <si>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</si>
  <si>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</si>
  <si>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</si>
  <si>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</si>
  <si>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</si>
  <si>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</si>
  <si>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</si>
  <si>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</si>
  <si>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</si>
  <si>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</si>
  <si>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</si>
  <si>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</si>
  <si>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</si>
  <si>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</si>
  <si>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</si>
  <si>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</si>
  <si>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</si>
  <si>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</si>
  <si>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</si>
  <si>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</si>
  <si>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</si>
  <si>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</si>
  <si>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</si>
  <si>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</si>
  <si>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</si>
  <si>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</si>
  <si>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</si>
  <si>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</si>
  <si>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</si>
  <si>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</si>
  <si>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</si>
  <si>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</si>
  <si>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</si>
  <si>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</si>
  <si>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</si>
  <si>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</si>
  <si>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</si>
  <si>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</si>
  <si>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</si>
  <si>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</si>
  <si>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</si>
  <si>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</si>
  <si>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</si>
  <si>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</si>
  <si>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</si>
  <si>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</si>
  <si>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</si>
  <si>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</si>
  <si>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</si>
  <si>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</si>
  <si>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</si>
  <si>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</si>
  <si>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</si>
  <si>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</si>
  <si>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</si>
  <si>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</si>
  <si>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</si>
  <si>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</si>
  <si>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</si>
  <si>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</si>
  <si>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</si>
  <si>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</si>
  <si>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</si>
  <si>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</si>
  <si>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</si>
  <si>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</si>
  <si>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</si>
  <si>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</si>
  <si>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</si>
  <si>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</si>
  <si>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</si>
  <si>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</si>
  <si>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</si>
  <si>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</si>
  <si>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</si>
  <si>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</si>
  <si>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</si>
  <si>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</si>
  <si>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</si>
  <si>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</si>
  <si>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</si>
  <si>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</si>
  <si>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</si>
  <si>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</si>
  <si>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</si>
  <si>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</si>
  <si>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</si>
  <si>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</si>
  <si>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</si>
  <si>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</si>
  <si>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</si>
  <si>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</si>
  <si>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</si>
  <si>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</si>
  <si>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</si>
  <si>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</si>
  <si>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</si>
  <si>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</si>
  <si>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</si>
  <si>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</si>
  <si>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</si>
  <si>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</si>
  <si>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</si>
  <si>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</si>
  <si>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</si>
  <si>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</si>
  <si>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</si>
  <si>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</si>
  <si>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</si>
  <si>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</si>
  <si>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</si>
  <si>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</si>
  <si>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</si>
  <si>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</si>
  <si>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</si>
  <si>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2025-10-20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</si>
  <si>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</si>
  <si>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</si>
  <si>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</si>
  <si>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</si>
  <si>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</si>
  <si>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</si>
  <si>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</si>
  <si>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</si>
  <si>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</si>
  <si>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</si>
  <si>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</si>
  <si>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</si>
  <si>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</si>
  <si>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미르오토(대구)_251020_212019.xlsx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</si>
</sst>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하나오토(청주)</c:v>
                </c:pt>
                <c:pt idx="3">
                  <c:v>오토젠(남양주)</c:v>
                </c:pt>
                <c:pt idx="4">
                  <c:v>조이오토(대구)</c:v>
                </c:pt>
                <c:pt idx="5">
                  <c:v>대명오토(서울서초)</c:v>
                </c:pt>
                <c:pt idx="6">
                  <c:v>그린오토매틱(제주)</c:v>
                </c:pt>
                <c:pt idx="7">
                  <c:v>부산비엔비(부산)</c:v>
                </c:pt>
                <c:pt idx="8">
                  <c:v>경남오토미션(창원)</c:v>
                </c:pt>
                <c:pt idx="9">
                  <c:v>진홍오토(대구)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4550000</c:v>
                </c:pt>
                <c:pt idx="2">
                  <c:v>2970000</c:v>
                </c:pt>
                <c:pt idx="3">
                  <c:v>2895000</c:v>
                </c:pt>
                <c:pt idx="4">
                  <c:v>2305000</c:v>
                </c:pt>
                <c:pt idx="5">
                  <c:v>2255000</c:v>
                </c:pt>
                <c:pt idx="6">
                  <c:v>2100000</c:v>
                </c:pt>
                <c:pt idx="7">
                  <c:v>1955000</c:v>
                </c:pt>
                <c:pt idx="8">
                  <c:v>5400000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하나오토(청주)</c:v>
                      </c:pt>
                      <c:pt idx="3">
                        <c:v>오토젠(남양주)</c:v>
                      </c:pt>
                      <c:pt idx="4">
                        <c:v>조이오토(대구)</c:v>
                      </c:pt>
                      <c:pt idx="5">
                        <c:v>대명오토(서울서초)</c:v>
                      </c:pt>
                      <c:pt idx="6">
                        <c:v>그린오토매틱(제주)</c:v>
                      </c:pt>
                      <c:pt idx="7">
                        <c:v>부산비엔비(부산)</c:v>
                      </c:pt>
                      <c:pt idx="8">
                        <c:v>경남오토미션(창원)</c:v>
                      </c:pt>
                      <c:pt idx="9">
                        <c:v>진홍오토(대구)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2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45950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1302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21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20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2657</v>
      </c>
      <c r="B8" s="424"/>
      <c r="C8" s="424"/>
      <c r="D8" s="424"/>
      <c r="E8" s="425"/>
      <c r="F8" s="426"/>
      <c r="G8" s="427"/>
      <c r="H8" s="427"/>
      <c r="I8" s="428"/>
      <c r="J8" s="434">
        <v>450000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450000</v>
      </c>
      <c r="U8" s="433"/>
    </row>
    <row r="9" spans="1:21" ht="15.6" customHeight="1" x14ac:dyDescent="0.3">
      <c r="A9" s="412" t="s">
        <v>1266</v>
      </c>
      <c r="B9" s="413"/>
      <c r="C9" s="413"/>
      <c r="D9" s="413"/>
      <c r="E9" s="414"/>
      <c r="F9" s="415" t="s">
        <v>1265</v>
      </c>
      <c r="G9" s="413"/>
      <c r="H9" s="413"/>
      <c r="I9" s="414"/>
      <c r="J9" s="421">
        <v>50000</v>
      </c>
      <c r="K9" s="421"/>
      <c r="L9" s="421"/>
      <c r="M9" s="421"/>
      <c r="N9" s="421"/>
      <c r="O9" s="422">
        <v>1</v>
      </c>
      <c r="P9" s="422"/>
      <c r="Q9" s="416"/>
      <c r="R9" s="417"/>
      <c r="S9" s="418"/>
      <c r="T9" s="419">
        <v>50000</v>
      </c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4050000</v>
      </c>
      <c r="G20" s="318"/>
      <c r="H20" s="318"/>
      <c r="I20" s="319"/>
      <c r="J20" s="355">
        <f>SUM(J8:N19)</f>
        <v>500000</v>
      </c>
      <c r="K20" s="356"/>
      <c r="L20" s="356"/>
      <c r="M20" s="356"/>
      <c r="N20" s="357"/>
      <c r="O20" s="320">
        <f>SUM(O8:P19)</f>
        <v>2</v>
      </c>
      <c r="P20" s="320"/>
      <c r="Q20" s="358">
        <f>SUM(Q8:S19)</f>
        <v>0</v>
      </c>
      <c r="R20" s="318"/>
      <c r="S20" s="319"/>
      <c r="T20" s="318">
        <f>SUM(T8:U15)</f>
        <v>500000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4550000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미르오토(대구)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3988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45950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미르오토(대구)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 서구 가르뱅이로10길 3-5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010-6859-2065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0GC_Repair</v>
      </c>
      <c r="B31" s="373"/>
      <c r="C31" s="373"/>
      <c r="D31" s="373"/>
      <c r="E31" s="373"/>
      <c r="F31" s="373">
        <f>F8</f>
        <v>0</v>
      </c>
      <c r="G31" s="373"/>
      <c r="H31" s="373"/>
      <c r="I31" s="373"/>
      <c r="J31" s="377">
        <f>J8</f>
        <v>450000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450000</v>
      </c>
      <c r="U31" s="376"/>
    </row>
    <row r="32" spans="1:21" ht="15.6" customHeight="1" x14ac:dyDescent="0.3">
      <c r="A32" s="365" t="str">
        <f t="shared" ref="A32:A38" si="0">A9</f>
        <v>8HP_OILPAN</v>
      </c>
      <c r="B32" s="366"/>
      <c r="C32" s="366"/>
      <c r="D32" s="366"/>
      <c r="E32" s="366"/>
      <c r="F32" s="366" t="str">
        <f t="shared" ref="F32:F38" si="1">F9</f>
        <v>B24117624192</v>
      </c>
      <c r="G32" s="366"/>
      <c r="H32" s="366"/>
      <c r="I32" s="366"/>
      <c r="J32" s="370">
        <f t="shared" ref="J32:J38" si="2">J9</f>
        <v>50000</v>
      </c>
      <c r="K32" s="370"/>
      <c r="L32" s="370"/>
      <c r="M32" s="370"/>
      <c r="N32" s="370"/>
      <c r="O32" s="370">
        <f t="shared" ref="O32:O38" si="3">O9</f>
        <v>1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50000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4050000</v>
      </c>
      <c r="G43" s="318"/>
      <c r="H43" s="318"/>
      <c r="I43" s="319"/>
      <c r="J43" s="355">
        <f>J20</f>
        <v>500000</v>
      </c>
      <c r="K43" s="356"/>
      <c r="L43" s="356"/>
      <c r="M43" s="356"/>
      <c r="N43" s="357"/>
      <c r="O43" s="320">
        <f>O20</f>
        <v>2</v>
      </c>
      <c r="P43" s="320"/>
      <c r="Q43" s="358">
        <f>Q20</f>
        <v>0</v>
      </c>
      <c r="R43" s="318"/>
      <c r="S43" s="318"/>
      <c r="T43" s="318">
        <f>T20</f>
        <v>500000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4550000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미르오토(대구)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3974</v>
      </c>
      <c r="C2" s="47" t="s">
        <v>1399</v>
      </c>
      <c r="E2" t="s">
        <v>1743</v>
      </c>
      <c r="G2">
        <v>450000</v>
      </c>
      <c r="H2">
        <v>1</v>
      </c>
      <c r="I2" s="226"/>
      <c r="J2" s="226">
        <v>450000</v>
      </c>
    </row>
    <row r="3" spans="1:12" x14ac:dyDescent="0.3">
      <c r="A3" s="47">
        <v>2</v>
      </c>
      <c r="B3" s="47" t="s">
        <v>3974</v>
      </c>
      <c r="C3" s="47" t="s">
        <v>1399</v>
      </c>
      <c r="D3" s="290" t="s">
        <v>1265</v>
      </c>
      <c r="E3" t="s">
        <v>1266</v>
      </c>
      <c r="F3" s="290" t="s">
        <v>1265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62"/>
  <sheetViews>
    <sheetView workbookViewId="0">
      <pane xSplit="1" ySplit="1" topLeftCell="B1921" activePane="bottomRight" state="frozen"/>
      <selection activeCell="N26" sqref="N26"/>
      <selection pane="topRight" activeCell="N26" sqref="N26"/>
      <selection pane="bottomLeft" activeCell="N26" sqref="N26"/>
      <selection pane="bottomRight" activeCell="J1952" sqref="J195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1963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3668</v>
      </c>
      <c r="E196" s="292" t="s">
        <v>1859</v>
      </c>
      <c r="F196" s="269" t="s">
        <v>3668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3668</v>
      </c>
      <c r="E236" s="292" t="s">
        <v>1859</v>
      </c>
      <c r="F236" s="269" t="s">
        <v>3668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3668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3668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3207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3330</v>
      </c>
      <c r="F1261" s="269" t="s">
        <v>3331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3210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3210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3223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3227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3229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3231</v>
      </c>
    </row>
    <row r="1293" spans="1:13" x14ac:dyDescent="0.3">
      <c r="A1293" s="271">
        <v>1292</v>
      </c>
      <c r="B1293" s="264">
        <v>45887</v>
      </c>
      <c r="C1293" s="292" t="s">
        <v>3210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3233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3238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3240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3244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3483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3483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3483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3253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3255</v>
      </c>
      <c r="H1318" s="269">
        <v>1</v>
      </c>
      <c r="L1318" s="265">
        <v>-600000</v>
      </c>
      <c r="M1318" s="269" t="s">
        <v>3256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3483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3483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3483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3261</v>
      </c>
      <c r="N1328" t="s">
        <v>3483</v>
      </c>
    </row>
    <row r="1329" spans="1:14" x14ac:dyDescent="0.3">
      <c r="A1329" s="271">
        <v>1328</v>
      </c>
      <c r="B1329" s="264">
        <v>45891</v>
      </c>
      <c r="C1329" s="292" t="s">
        <v>3263</v>
      </c>
      <c r="E1329" s="292" t="s">
        <v>3266</v>
      </c>
      <c r="G1329" s="265">
        <v>200000</v>
      </c>
      <c r="H1329" s="269">
        <v>1</v>
      </c>
      <c r="K1329" s="265">
        <v>200000</v>
      </c>
      <c r="M1329" s="269"/>
      <c r="N1329" t="s">
        <v>3483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3483</v>
      </c>
    </row>
    <row r="1331" spans="1:14" x14ac:dyDescent="0.3">
      <c r="A1331" s="271">
        <v>1330</v>
      </c>
      <c r="B1331" s="264">
        <v>45891</v>
      </c>
      <c r="C1331" s="292" t="s">
        <v>3269</v>
      </c>
      <c r="E1331" s="292" t="s">
        <v>3270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3271</v>
      </c>
      <c r="N1331" t="s">
        <v>3483</v>
      </c>
    </row>
    <row r="1332" spans="1:14" x14ac:dyDescent="0.3">
      <c r="A1332" s="271">
        <v>1331</v>
      </c>
      <c r="B1332" s="264">
        <v>45891</v>
      </c>
      <c r="C1332" s="292" t="s">
        <v>3263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3269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3483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3483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3483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3483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3483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3483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3483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3282</v>
      </c>
      <c r="F1352" s="269" t="s">
        <v>3283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3483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3483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3483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3483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3483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3483</v>
      </c>
    </row>
    <row r="1358" spans="1:14" x14ac:dyDescent="0.3">
      <c r="A1358" s="271">
        <v>1357</v>
      </c>
      <c r="B1358" s="264">
        <v>45894</v>
      </c>
      <c r="C1358" s="292" t="s">
        <v>3290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3483</v>
      </c>
    </row>
    <row r="1359" spans="1:14" x14ac:dyDescent="0.3">
      <c r="A1359" s="271">
        <v>1358</v>
      </c>
      <c r="B1359" s="264">
        <v>45894</v>
      </c>
      <c r="C1359" s="292" t="s">
        <v>3290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3483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3483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3297</v>
      </c>
      <c r="G1361" s="265">
        <v>300000</v>
      </c>
      <c r="H1361" s="269">
        <v>1</v>
      </c>
      <c r="K1361" s="265">
        <v>300000</v>
      </c>
      <c r="M1361" s="269"/>
      <c r="N1361" t="s">
        <v>3483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3483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3483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3483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3483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3483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3483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3483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3483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3483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3483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3483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3303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3304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3290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3483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3483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3309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3483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3483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3483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3483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3483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3483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3483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3317</v>
      </c>
      <c r="F1397" s="269" t="s">
        <v>3318</v>
      </c>
      <c r="M1397" s="269"/>
      <c r="N1397" t="s">
        <v>3483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3320</v>
      </c>
      <c r="N1398" t="s">
        <v>3483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3483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3483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3325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3339</v>
      </c>
      <c r="G1408" s="265">
        <v>2500000</v>
      </c>
      <c r="H1408" s="269">
        <v>1</v>
      </c>
      <c r="J1408" s="266" t="s">
        <v>3340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3483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3483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3483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3483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3483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3483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3483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3483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3483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3483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3363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3483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3483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3483</v>
      </c>
    </row>
    <row r="1430" spans="1:14" x14ac:dyDescent="0.3">
      <c r="A1430" s="271">
        <v>1429</v>
      </c>
      <c r="B1430" s="264">
        <v>45898</v>
      </c>
      <c r="C1430" s="292" t="s">
        <v>3484</v>
      </c>
      <c r="E1430" s="292" t="s">
        <v>3485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3484</v>
      </c>
      <c r="E1431" s="292" t="s">
        <v>3486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3484</v>
      </c>
      <c r="E1432" s="292" t="s">
        <v>3487</v>
      </c>
      <c r="F1432" s="269" t="s">
        <v>3488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3484</v>
      </c>
      <c r="E1433" s="292" t="s">
        <v>3489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3484</v>
      </c>
      <c r="E1434" s="292" t="s">
        <v>3490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3483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3483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3364</v>
      </c>
      <c r="N1438" t="s">
        <v>3483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3483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3914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3914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3914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3914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3914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3914</v>
      </c>
    </row>
    <row r="1453" spans="1:14" x14ac:dyDescent="0.3">
      <c r="A1453" s="271">
        <v>1452</v>
      </c>
      <c r="B1453" s="264">
        <v>45901</v>
      </c>
      <c r="C1453" s="292" t="s">
        <v>3484</v>
      </c>
      <c r="E1453" s="292" t="s">
        <v>3491</v>
      </c>
      <c r="F1453" s="269" t="s">
        <v>3492</v>
      </c>
      <c r="G1453" s="265">
        <v>800000</v>
      </c>
      <c r="H1453" s="269">
        <v>1</v>
      </c>
      <c r="K1453" s="265">
        <v>800000</v>
      </c>
      <c r="M1453" s="269" t="s">
        <v>3493</v>
      </c>
      <c r="N1453" t="s">
        <v>3914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3914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3914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3914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3914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3914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3914</v>
      </c>
    </row>
    <row r="1460" spans="1:14" x14ac:dyDescent="0.3">
      <c r="A1460" s="271">
        <v>1459</v>
      </c>
      <c r="B1460" s="264">
        <v>45901</v>
      </c>
      <c r="C1460" s="292" t="s">
        <v>3348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3914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3914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3348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3914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3914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3914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3914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3914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3914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3370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3914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3914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3914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3914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3914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3914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3914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3376</v>
      </c>
      <c r="G1484" s="265">
        <v>150000</v>
      </c>
      <c r="H1484" s="269">
        <v>1</v>
      </c>
      <c r="K1484" s="265">
        <v>150000</v>
      </c>
      <c r="M1484" s="269"/>
      <c r="N1484" t="s">
        <v>3914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3378</v>
      </c>
      <c r="G1485" s="265">
        <v>450000</v>
      </c>
      <c r="H1485" s="269">
        <v>1</v>
      </c>
      <c r="K1485" s="265">
        <v>450000</v>
      </c>
      <c r="M1485" s="269"/>
      <c r="N1485" t="s">
        <v>3914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3290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3914</v>
      </c>
    </row>
    <row r="1489" spans="1:14" x14ac:dyDescent="0.3">
      <c r="A1489" s="271">
        <v>1488</v>
      </c>
      <c r="B1489" s="264">
        <v>45903</v>
      </c>
      <c r="C1489" s="292" t="s">
        <v>3446</v>
      </c>
      <c r="E1489" s="292" t="s">
        <v>3447</v>
      </c>
      <c r="F1489" s="269" t="s">
        <v>3448</v>
      </c>
      <c r="G1489" s="265">
        <v>1850000</v>
      </c>
      <c r="H1489" s="269">
        <v>1</v>
      </c>
      <c r="J1489" s="266" t="s">
        <v>3449</v>
      </c>
      <c r="K1489" s="265">
        <v>2035000</v>
      </c>
      <c r="M1489" s="269"/>
      <c r="N1489" t="s">
        <v>3914</v>
      </c>
    </row>
    <row r="1490" spans="1:14" x14ac:dyDescent="0.3">
      <c r="A1490" s="271">
        <v>1489</v>
      </c>
      <c r="B1490" s="264">
        <v>45903</v>
      </c>
      <c r="C1490" s="292" t="s">
        <v>3615</v>
      </c>
      <c r="E1490" s="292" t="s">
        <v>3616</v>
      </c>
      <c r="F1490" s="269" t="s">
        <v>3617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3914</v>
      </c>
    </row>
    <row r="1491" spans="1:14" x14ac:dyDescent="0.3">
      <c r="A1491" s="271">
        <v>1490</v>
      </c>
      <c r="B1491" s="264">
        <v>45903</v>
      </c>
      <c r="C1491" s="292" t="s">
        <v>3389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3914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3914</v>
      </c>
    </row>
    <row r="1493" spans="1:14" x14ac:dyDescent="0.3">
      <c r="A1493" s="271">
        <v>1492</v>
      </c>
      <c r="B1493" s="264">
        <v>45903</v>
      </c>
      <c r="C1493" s="292" t="s">
        <v>3615</v>
      </c>
      <c r="E1493" s="292" t="s">
        <v>3618</v>
      </c>
      <c r="G1493" s="265">
        <v>150000</v>
      </c>
      <c r="H1493" s="269">
        <v>1</v>
      </c>
      <c r="J1493" s="266" t="s">
        <v>3619</v>
      </c>
      <c r="K1493" s="265">
        <v>165000</v>
      </c>
      <c r="M1493" s="269"/>
      <c r="N1493" t="s">
        <v>3914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3396</v>
      </c>
      <c r="N1494" t="s">
        <v>3914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3914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3483</v>
      </c>
    </row>
    <row r="1497" spans="1:14" x14ac:dyDescent="0.3">
      <c r="A1497" s="271">
        <v>1496</v>
      </c>
      <c r="B1497" s="264">
        <v>45904</v>
      </c>
      <c r="C1497" s="292" t="s">
        <v>3429</v>
      </c>
      <c r="E1497" s="292" t="s">
        <v>3430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3290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3398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3914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3914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3914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3914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3415</v>
      </c>
      <c r="F1505" s="269" t="s">
        <v>3414</v>
      </c>
      <c r="G1505" s="265">
        <v>1500000</v>
      </c>
      <c r="H1505" s="269">
        <v>1</v>
      </c>
      <c r="K1505" s="265">
        <v>1500000</v>
      </c>
      <c r="N1505" t="s">
        <v>3914</v>
      </c>
    </row>
    <row r="1506" spans="1:14" x14ac:dyDescent="0.3">
      <c r="A1506" s="271">
        <v>1505</v>
      </c>
      <c r="B1506" s="264">
        <v>45904</v>
      </c>
      <c r="C1506" s="292" t="s">
        <v>3405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3914</v>
      </c>
    </row>
    <row r="1507" spans="1:14" x14ac:dyDescent="0.3">
      <c r="A1507" s="271">
        <v>1506</v>
      </c>
      <c r="B1507" s="264">
        <v>45904</v>
      </c>
      <c r="C1507" s="292" t="s">
        <v>3405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3914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3914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3914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3914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3914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3398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3431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3432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3433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3434</v>
      </c>
      <c r="N1519" t="s">
        <v>3483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3914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3914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3914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3437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3914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3914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3440</v>
      </c>
      <c r="G1526" s="265">
        <v>750000</v>
      </c>
      <c r="H1526" s="269">
        <v>1</v>
      </c>
      <c r="K1526" s="265">
        <v>750000</v>
      </c>
      <c r="N1526" t="s">
        <v>3914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3914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3914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3914</v>
      </c>
    </row>
    <row r="1530" spans="1:14" x14ac:dyDescent="0.3">
      <c r="A1530" s="271">
        <v>1529</v>
      </c>
      <c r="B1530" s="264">
        <v>45905</v>
      </c>
      <c r="C1530" s="290" t="s">
        <v>3451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3914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3914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3914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3451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3914</v>
      </c>
    </row>
    <row r="1538" spans="1:14" x14ac:dyDescent="0.3">
      <c r="A1538" s="271">
        <v>1537</v>
      </c>
      <c r="B1538" s="264">
        <v>45904</v>
      </c>
      <c r="C1538" s="292" t="s">
        <v>3405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3458</v>
      </c>
      <c r="E1539" s="292" t="s">
        <v>3465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3914</v>
      </c>
    </row>
    <row r="1540" spans="1:14" x14ac:dyDescent="0.3">
      <c r="A1540" s="271">
        <v>1539</v>
      </c>
      <c r="B1540" s="264">
        <v>45906</v>
      </c>
      <c r="C1540" s="292" t="s">
        <v>3458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3914</v>
      </c>
    </row>
    <row r="1541" spans="1:14" x14ac:dyDescent="0.3">
      <c r="A1541" s="271">
        <v>1540</v>
      </c>
      <c r="B1541" s="264">
        <v>45906</v>
      </c>
      <c r="C1541" s="292" t="s">
        <v>3458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3914</v>
      </c>
    </row>
    <row r="1542" spans="1:14" x14ac:dyDescent="0.3">
      <c r="A1542" s="271">
        <v>1541</v>
      </c>
      <c r="B1542" s="264">
        <v>45906</v>
      </c>
      <c r="C1542" s="292" t="s">
        <v>3458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3914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3468</v>
      </c>
      <c r="G1543" s="265">
        <v>100000</v>
      </c>
      <c r="H1543" s="269">
        <v>1</v>
      </c>
      <c r="K1543" s="265">
        <v>100000</v>
      </c>
      <c r="N1543" t="s">
        <v>3914</v>
      </c>
    </row>
    <row r="1544" spans="1:14" x14ac:dyDescent="0.3">
      <c r="A1544" s="271">
        <v>1543</v>
      </c>
      <c r="B1544" s="264">
        <v>45906</v>
      </c>
      <c r="C1544" s="292" t="s">
        <v>3461</v>
      </c>
      <c r="E1544" s="292" t="s">
        <v>3470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3914</v>
      </c>
    </row>
    <row r="1545" spans="1:14" x14ac:dyDescent="0.3">
      <c r="A1545" s="271">
        <v>1544</v>
      </c>
      <c r="B1545" s="264">
        <v>45906</v>
      </c>
      <c r="C1545" s="292" t="s">
        <v>3458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3461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3472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3914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3914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3465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3914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3914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3914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3914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3465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3478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3914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3914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3465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3914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3914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3914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3914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3914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3519</v>
      </c>
      <c r="E1567" s="292" t="s">
        <v>3520</v>
      </c>
      <c r="G1567" s="265">
        <v>1100000</v>
      </c>
      <c r="H1567" s="269">
        <v>1</v>
      </c>
      <c r="J1567" s="266" t="s">
        <v>3521</v>
      </c>
      <c r="K1567" s="265">
        <v>1210000</v>
      </c>
      <c r="N1567" t="s">
        <v>3914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3914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3914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3914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3914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3507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3914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3914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3914</v>
      </c>
    </row>
    <row r="1578" spans="1:14" x14ac:dyDescent="0.3">
      <c r="A1578" s="271">
        <v>1577</v>
      </c>
      <c r="B1578" s="264">
        <v>45910</v>
      </c>
      <c r="C1578" s="292" t="s">
        <v>3662</v>
      </c>
      <c r="E1578" s="292" t="s">
        <v>3664</v>
      </c>
      <c r="F1578" s="269" t="s">
        <v>3665</v>
      </c>
      <c r="G1578" s="265">
        <v>150000</v>
      </c>
      <c r="H1578" s="269">
        <v>1</v>
      </c>
      <c r="K1578" s="265">
        <v>150000</v>
      </c>
      <c r="M1578" s="292" t="s">
        <v>3666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3914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3506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3914</v>
      </c>
    </row>
    <row r="1581" spans="1:14" x14ac:dyDescent="0.3">
      <c r="A1581" s="271">
        <v>1580</v>
      </c>
      <c r="B1581" s="264">
        <v>45910</v>
      </c>
      <c r="C1581" s="292" t="s">
        <v>3503</v>
      </c>
      <c r="E1581" s="292" t="s">
        <v>3465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3914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3437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3914</v>
      </c>
    </row>
    <row r="1583" spans="1:14" x14ac:dyDescent="0.3">
      <c r="A1583" s="271">
        <v>1582</v>
      </c>
      <c r="B1583" s="264">
        <v>45910</v>
      </c>
      <c r="C1583" s="292" t="s">
        <v>3389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3914</v>
      </c>
    </row>
    <row r="1584" spans="1:14" x14ac:dyDescent="0.3">
      <c r="A1584" s="271">
        <v>1583</v>
      </c>
      <c r="B1584" s="264">
        <v>45910</v>
      </c>
      <c r="C1584" s="292" t="s">
        <v>3389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3914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3303</v>
      </c>
      <c r="G1585" s="265">
        <v>-300000</v>
      </c>
      <c r="H1585" s="269">
        <v>2</v>
      </c>
      <c r="L1585" s="265">
        <v>-600000</v>
      </c>
      <c r="N1585" t="s">
        <v>3914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3914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3914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3914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3465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3914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3914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3914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3914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3389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3503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3222</v>
      </c>
      <c r="F1601" s="269" t="s">
        <v>3523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3914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3914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3914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3914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3378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3914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3914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3530</v>
      </c>
      <c r="F1608" s="269" t="s">
        <v>3529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3914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3914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3378</v>
      </c>
      <c r="G1610" s="265">
        <v>450000</v>
      </c>
      <c r="H1610" s="269">
        <v>1</v>
      </c>
      <c r="K1610" s="265">
        <v>450000</v>
      </c>
      <c r="N1610" t="s">
        <v>3914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3914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3914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3914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3914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3914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3914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3541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3914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3914</v>
      </c>
    </row>
    <row r="1622" spans="1:14" x14ac:dyDescent="0.3">
      <c r="A1622" s="271">
        <v>1621</v>
      </c>
      <c r="B1622" s="264">
        <v>45912</v>
      </c>
      <c r="C1622" s="292" t="s">
        <v>3544</v>
      </c>
      <c r="E1622" s="292" t="s">
        <v>3274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3914</v>
      </c>
    </row>
    <row r="1623" spans="1:14" x14ac:dyDescent="0.3">
      <c r="A1623" s="271">
        <v>1622</v>
      </c>
      <c r="B1623" s="264">
        <v>45912</v>
      </c>
      <c r="C1623" s="292" t="s">
        <v>3546</v>
      </c>
      <c r="E1623" s="292" t="s">
        <v>3547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3544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3914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3914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3914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3914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3914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3914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3550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3914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3914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3914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3914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3559</v>
      </c>
      <c r="L1636" s="265">
        <v>-1000000</v>
      </c>
      <c r="N1636" t="s">
        <v>3914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3465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3914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3465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3914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3562</v>
      </c>
      <c r="N1644" t="s">
        <v>3914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3914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3914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3914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3914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3914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3914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3575</v>
      </c>
      <c r="E1658" s="292" t="s">
        <v>3465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3914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3465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3914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3914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3914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3914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3914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3914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3914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3914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3585</v>
      </c>
      <c r="G1667" s="265">
        <v>2200000</v>
      </c>
      <c r="H1667" s="269">
        <v>1</v>
      </c>
      <c r="K1667" s="265">
        <v>2200000</v>
      </c>
      <c r="N1667" t="s">
        <v>3914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3914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3465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3914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3914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3914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3914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3914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3585</v>
      </c>
      <c r="F1675" s="269" t="s">
        <v>3595</v>
      </c>
      <c r="G1675" s="265">
        <v>900000</v>
      </c>
      <c r="H1675" s="269">
        <v>1</v>
      </c>
      <c r="K1675" s="265">
        <v>900000</v>
      </c>
      <c r="N1675" t="s">
        <v>3914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3914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3914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3914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3605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3914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3914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3914</v>
      </c>
    </row>
    <row r="1683" spans="1:14" x14ac:dyDescent="0.3">
      <c r="A1683" s="271">
        <v>1682</v>
      </c>
      <c r="B1683" s="264">
        <v>45918</v>
      </c>
      <c r="C1683" s="292" t="s">
        <v>3450</v>
      </c>
      <c r="E1683" s="292" t="s">
        <v>3597</v>
      </c>
      <c r="F1683" s="269" t="s">
        <v>3596</v>
      </c>
      <c r="G1683" s="265">
        <v>300000</v>
      </c>
      <c r="H1683" s="269">
        <v>1</v>
      </c>
      <c r="K1683" s="265">
        <v>300000</v>
      </c>
      <c r="N1683" t="s">
        <v>3914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3914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3594</v>
      </c>
      <c r="F1685" s="269" t="s">
        <v>3593</v>
      </c>
      <c r="G1685" s="265">
        <v>130000</v>
      </c>
      <c r="H1685" s="269">
        <v>1</v>
      </c>
      <c r="K1685" s="265">
        <v>130000</v>
      </c>
      <c r="N1685" t="s">
        <v>3914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3585</v>
      </c>
      <c r="F1686" s="269" t="s">
        <v>3595</v>
      </c>
      <c r="G1686" s="265">
        <v>2200000</v>
      </c>
      <c r="H1686" s="269">
        <v>1</v>
      </c>
      <c r="K1686" s="265">
        <v>2200000</v>
      </c>
      <c r="N1686" t="s">
        <v>3914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3914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3914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3914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3915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3627</v>
      </c>
      <c r="E1692" s="292" t="s">
        <v>3628</v>
      </c>
      <c r="F1692" s="269" t="s">
        <v>3629</v>
      </c>
      <c r="G1692" s="265">
        <v>350000</v>
      </c>
      <c r="H1692" s="269">
        <v>2</v>
      </c>
      <c r="J1692" s="266" t="s">
        <v>3630</v>
      </c>
      <c r="K1692" s="265">
        <v>770000</v>
      </c>
      <c r="N1692" t="s">
        <v>3914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3450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3575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3914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3914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3585</v>
      </c>
      <c r="F1701" s="269" t="s">
        <v>3595</v>
      </c>
      <c r="G1701" s="265">
        <v>2000000</v>
      </c>
      <c r="H1701" s="269">
        <v>1</v>
      </c>
      <c r="K1701" s="265">
        <v>2000000</v>
      </c>
      <c r="N1701" t="s">
        <v>3914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3624</v>
      </c>
      <c r="G1702" s="265">
        <v>250000</v>
      </c>
      <c r="H1702" s="269">
        <v>1</v>
      </c>
      <c r="K1702" s="265">
        <v>250000</v>
      </c>
      <c r="N1702" t="s">
        <v>3914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3626</v>
      </c>
      <c r="L1703" s="265">
        <v>-2000000</v>
      </c>
      <c r="N1703" t="s">
        <v>3914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3914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3714</v>
      </c>
      <c r="E1714" s="292" t="s">
        <v>3715</v>
      </c>
      <c r="F1714" s="269" t="s">
        <v>3716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3914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3914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3914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3914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3914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3914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3914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3914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3914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3650</v>
      </c>
      <c r="N1730" t="s">
        <v>3914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3914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3585</v>
      </c>
      <c r="F1732" s="269" t="s">
        <v>3595</v>
      </c>
      <c r="G1732" s="265">
        <v>2200000</v>
      </c>
      <c r="H1732" s="269">
        <v>1</v>
      </c>
      <c r="K1732" s="265">
        <v>2200000</v>
      </c>
      <c r="N1732" t="s">
        <v>3914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3914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3914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3914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3914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3465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3914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3914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3914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3914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3914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3657</v>
      </c>
      <c r="G1742" s="265">
        <v>150000</v>
      </c>
      <c r="H1742" s="269">
        <v>1</v>
      </c>
      <c r="K1742" s="265">
        <v>150000</v>
      </c>
      <c r="N1742" t="s">
        <v>3914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3659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3914</v>
      </c>
    </row>
    <row r="1746" spans="1:14" x14ac:dyDescent="0.3">
      <c r="A1746" s="271">
        <v>1745</v>
      </c>
      <c r="B1746" s="264">
        <v>45924</v>
      </c>
      <c r="C1746" s="292" t="s">
        <v>3662</v>
      </c>
      <c r="E1746" s="292" t="s">
        <v>3663</v>
      </c>
      <c r="L1746" s="265">
        <v>-150000</v>
      </c>
      <c r="N1746" t="s">
        <v>3914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3661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3914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3668</v>
      </c>
      <c r="G1748" s="265">
        <v>1100000</v>
      </c>
      <c r="H1748" s="269">
        <v>1</v>
      </c>
      <c r="K1748" s="265">
        <v>1100000</v>
      </c>
      <c r="N1748" t="s">
        <v>3914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3585</v>
      </c>
      <c r="F1749" s="269" t="s">
        <v>3595</v>
      </c>
      <c r="G1749" s="265">
        <v>2200000</v>
      </c>
      <c r="H1749" s="269">
        <v>1</v>
      </c>
      <c r="K1749" s="265">
        <v>2200000</v>
      </c>
      <c r="N1749" t="s">
        <v>3914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3914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3914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3914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3914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3914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3914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3914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3914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3914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3914</v>
      </c>
    </row>
    <row r="1768" spans="1:14" x14ac:dyDescent="0.3">
      <c r="A1768" s="271">
        <v>1767</v>
      </c>
      <c r="B1768" s="264">
        <v>45926</v>
      </c>
      <c r="C1768" s="292" t="s">
        <v>3724</v>
      </c>
      <c r="E1768" s="292">
        <v>2703900</v>
      </c>
      <c r="F1768" s="269" t="s">
        <v>3725</v>
      </c>
      <c r="G1768" s="265">
        <v>1000000</v>
      </c>
      <c r="H1768" s="269">
        <v>1</v>
      </c>
      <c r="K1768" s="265">
        <v>1000000</v>
      </c>
      <c r="N1768" t="s">
        <v>3914</v>
      </c>
    </row>
    <row r="1769" spans="1:14" x14ac:dyDescent="0.3">
      <c r="A1769" s="271">
        <v>1768</v>
      </c>
      <c r="B1769" s="264">
        <v>45927</v>
      </c>
      <c r="C1769" s="292" t="s">
        <v>3724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3727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3914</v>
      </c>
    </row>
    <row r="1771" spans="1:14" x14ac:dyDescent="0.3">
      <c r="A1771" s="271">
        <v>1770</v>
      </c>
      <c r="B1771" s="264">
        <v>45927</v>
      </c>
      <c r="C1771" s="292" t="s">
        <v>3727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3732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3733</v>
      </c>
      <c r="N1774" t="s">
        <v>3914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3737</v>
      </c>
      <c r="H1775" s="269">
        <v>1</v>
      </c>
      <c r="K1775" s="265">
        <v>0</v>
      </c>
      <c r="M1775" s="292" t="s">
        <v>3738</v>
      </c>
      <c r="N1775" t="s">
        <v>3914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3744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3746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3914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3914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3914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3914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3914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3751</v>
      </c>
      <c r="N1784" t="s">
        <v>3914</v>
      </c>
    </row>
    <row r="1785" spans="1:14" x14ac:dyDescent="0.3">
      <c r="A1785" s="271">
        <v>1784</v>
      </c>
      <c r="B1785" s="264">
        <v>45929</v>
      </c>
      <c r="C1785" s="292" t="s">
        <v>3269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3753</v>
      </c>
      <c r="N1785" t="s">
        <v>3914</v>
      </c>
    </row>
    <row r="1786" spans="1:14" x14ac:dyDescent="0.3">
      <c r="A1786" s="271">
        <v>1785</v>
      </c>
      <c r="B1786" s="264">
        <v>45929</v>
      </c>
      <c r="C1786" s="292" t="s">
        <v>3461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3755</v>
      </c>
      <c r="N1786" t="s">
        <v>3914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3914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3914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3914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3914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3914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3914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3914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3914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3914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3762</v>
      </c>
      <c r="L1796" s="265">
        <v>-800000</v>
      </c>
      <c r="N1796" t="s">
        <v>3914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3269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3461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3914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3914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3774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3914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3914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3914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3783</v>
      </c>
      <c r="E1810" s="292" t="s">
        <v>3784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3914</v>
      </c>
    </row>
    <row r="1811" spans="1:14" x14ac:dyDescent="0.3">
      <c r="A1811" s="271">
        <v>1810</v>
      </c>
      <c r="B1811" s="264">
        <v>45930</v>
      </c>
      <c r="C1811" s="292" t="s">
        <v>3783</v>
      </c>
      <c r="E1811" s="292" t="s">
        <v>3785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3781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3782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3786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3787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3789</v>
      </c>
      <c r="E1819" s="292" t="s">
        <v>3790</v>
      </c>
      <c r="F1819" s="269" t="s">
        <v>3791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3465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3659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3819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3821</v>
      </c>
      <c r="E1827" s="292" t="s">
        <v>3465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3830</v>
      </c>
      <c r="F1834" s="269" t="s">
        <v>3829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3824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3834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3824</v>
      </c>
      <c r="E1838" s="292" t="s">
        <v>3838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3839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3632</v>
      </c>
      <c r="F1855" s="269" t="s">
        <v>3631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3862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3398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3398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3821</v>
      </c>
      <c r="E1864" s="292" t="s">
        <v>3465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3821</v>
      </c>
      <c r="E1870" s="292" t="s">
        <v>3874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3398</v>
      </c>
      <c r="E1872" s="292" t="s">
        <v>3876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3886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3884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3888</v>
      </c>
    </row>
    <row r="1880" spans="1:13" x14ac:dyDescent="0.3">
      <c r="A1880" s="271">
        <v>1879</v>
      </c>
      <c r="B1880" s="264">
        <v>45943</v>
      </c>
      <c r="C1880" s="292" t="s">
        <v>3890</v>
      </c>
      <c r="E1880" s="292" t="s">
        <v>3465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3465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3341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3896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3896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3269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3900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3896</v>
      </c>
      <c r="E1888" s="292" t="s">
        <v>3902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3904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3269</v>
      </c>
      <c r="E1891" s="292" t="s">
        <v>3908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3890</v>
      </c>
      <c r="E1892" s="292" t="s">
        <v>3910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3917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3919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3222</v>
      </c>
      <c r="F1903" s="269" t="s">
        <v>3523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3465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3927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3930</v>
      </c>
      <c r="F1909" s="269" t="s">
        <v>3929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3933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3936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3465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3944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3948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3936</v>
      </c>
      <c r="E1929" s="292" t="s">
        <v>3949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3465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3950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3821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3962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3821</v>
      </c>
      <c r="E1938" s="292" t="s">
        <v>3965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3950</v>
      </c>
      <c r="E1939" s="292" t="s">
        <v>3966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3948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3969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3971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1977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1870</v>
      </c>
      <c r="E1951" s="292" t="s">
        <v>1916</v>
      </c>
      <c r="F1951" s="269" t="s">
        <v>2054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3976</v>
      </c>
      <c r="E1952" s="292" t="s">
        <v>1855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2" x14ac:dyDescent="0.3">
      <c r="A1953" s="58">
        <v>1953</v>
      </c>
      <c r="B1953" s="264">
        <v>45950</v>
      </c>
      <c r="C1953" s="292" t="s">
        <v>3976</v>
      </c>
      <c r="E1953" s="292" t="s">
        <v>1717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2" x14ac:dyDescent="0.3">
      <c r="A1954" s="58">
        <v>1954</v>
      </c>
      <c r="B1954" s="264">
        <v>45950</v>
      </c>
      <c r="C1954" s="292" t="s">
        <v>2610</v>
      </c>
      <c r="E1954" s="292" t="s">
        <v>1717</v>
      </c>
      <c r="F1954" s="269">
        <v>2800802</v>
      </c>
      <c r="G1954" s="265">
        <v>200000</v>
      </c>
      <c r="H1954" s="269">
        <v>1</v>
      </c>
      <c r="K1954" s="265">
        <v>200000</v>
      </c>
    </row>
    <row r="1955" spans="1:12" x14ac:dyDescent="0.3">
      <c r="A1955" s="58">
        <v>1955</v>
      </c>
      <c r="B1955" s="264">
        <v>45950</v>
      </c>
      <c r="C1955" s="292" t="s">
        <v>1580</v>
      </c>
      <c r="E1955" s="292" t="s">
        <v>3981</v>
      </c>
      <c r="F1955" s="269" t="s">
        <v>2748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2" x14ac:dyDescent="0.3">
      <c r="A1956" s="58">
        <v>1956</v>
      </c>
      <c r="B1956" s="264">
        <v>45950</v>
      </c>
      <c r="C1956" s="292" t="s">
        <v>3976</v>
      </c>
      <c r="E1956" s="292" t="s">
        <v>1125</v>
      </c>
      <c r="L1956" s="265">
        <v>-300000</v>
      </c>
    </row>
    <row r="1957" spans="1:12" x14ac:dyDescent="0.3">
      <c r="A1957" s="58">
        <v>1957</v>
      </c>
      <c r="B1957" s="264">
        <v>45950</v>
      </c>
      <c r="C1957" s="292" t="s">
        <v>1870</v>
      </c>
      <c r="E1957" s="292" t="s">
        <v>1125</v>
      </c>
      <c r="L1957" s="265">
        <v>-1650000</v>
      </c>
    </row>
    <row r="1958" spans="1:12" x14ac:dyDescent="0.3">
      <c r="A1958" s="58">
        <v>1958</v>
      </c>
      <c r="B1958" s="264">
        <v>45950</v>
      </c>
      <c r="C1958" s="292" t="s">
        <v>3919</v>
      </c>
      <c r="E1958" s="292" t="s">
        <v>1125</v>
      </c>
      <c r="L1958" s="265">
        <v>-1320000</v>
      </c>
    </row>
    <row r="1959" spans="1:12" x14ac:dyDescent="0.3">
      <c r="A1959" s="58">
        <v>1959</v>
      </c>
      <c r="B1959" s="264">
        <v>45950</v>
      </c>
      <c r="C1959" s="292" t="s">
        <v>2410</v>
      </c>
      <c r="E1959" s="292" t="s">
        <v>2197</v>
      </c>
      <c r="F1959" s="269" t="s">
        <v>1198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2" x14ac:dyDescent="0.3">
      <c r="A1960" s="58">
        <v>1960</v>
      </c>
      <c r="B1960" s="264">
        <v>45950</v>
      </c>
      <c r="C1960" s="292" t="s">
        <v>3985</v>
      </c>
      <c r="E1960" s="292" t="s">
        <v>3984</v>
      </c>
      <c r="G1960" s="265">
        <v>835000</v>
      </c>
      <c r="H1960" s="269">
        <v>1</v>
      </c>
      <c r="K1960" s="265">
        <v>835000</v>
      </c>
    </row>
    <row r="1961" spans="1:12" x14ac:dyDescent="0.3">
      <c r="A1961" s="58">
        <v>1961</v>
      </c>
      <c r="B1961" s="264">
        <v>45950</v>
      </c>
      <c r="C1961" s="292" t="s">
        <v>1399</v>
      </c>
      <c r="E1961" s="292" t="s">
        <v>1743</v>
      </c>
      <c r="G1961" s="265">
        <v>450000</v>
      </c>
      <c r="H1961" s="269">
        <v>1</v>
      </c>
      <c r="K1961" s="265">
        <v>450000</v>
      </c>
    </row>
    <row r="1962" spans="1:12" x14ac:dyDescent="0.3">
      <c r="A1962" s="58">
        <v>1962</v>
      </c>
      <c r="B1962" s="264">
        <v>45950</v>
      </c>
      <c r="C1962" s="292" t="s">
        <v>1399</v>
      </c>
      <c r="E1962" s="292" t="s">
        <v>1266</v>
      </c>
      <c r="F1962" s="269" t="s">
        <v>1265</v>
      </c>
      <c r="G1962" s="265">
        <v>50000</v>
      </c>
      <c r="H1962" s="269">
        <v>1</v>
      </c>
      <c r="K1962" s="265">
        <v>50000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topLeftCell="A134" workbookViewId="0">
      <selection activeCell="N154" sqref="N15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45950</v>
      </c>
      <c r="B3" s="235" t="s">
        <v>1126</v>
      </c>
      <c r="C3" s="286">
        <f>SUMIF($B:$B,A3,I:I)</f>
        <v>4805000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69297500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69297500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3786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3787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3788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3465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3659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3819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3821</v>
      </c>
      <c r="D19" s="112" t="s">
        <v>3465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3821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3823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3830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3824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3837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3824</v>
      </c>
      <c r="D30" s="112" t="s">
        <v>3838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3839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3840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3841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3847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3855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3857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3632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3398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3398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3821</v>
      </c>
      <c r="D56" s="113" t="s">
        <v>3465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3872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3873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3821</v>
      </c>
      <c r="D62" s="113" t="s">
        <v>3874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3875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3398</v>
      </c>
      <c r="D64" s="113" t="s">
        <v>3876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3884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3890</v>
      </c>
      <c r="D72" s="113" t="s">
        <v>3465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3465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3341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3896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3896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3900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3896</v>
      </c>
      <c r="D80" s="113" t="s">
        <v>3902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3904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3906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3269</v>
      </c>
      <c r="D83" s="113" t="s">
        <v>3908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3890</v>
      </c>
      <c r="D84" s="113" t="s">
        <v>3910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3917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3919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3222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3465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3930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3936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3465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3944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3947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3948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3936</v>
      </c>
      <c r="D121" s="113" t="s">
        <v>3949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3465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3950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3821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3962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3964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1598</v>
      </c>
      <c r="D129" s="113" t="s">
        <v>3873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3821</v>
      </c>
      <c r="D130" s="113" t="s">
        <v>3965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3950</v>
      </c>
      <c r="D131" s="113" t="s">
        <v>3966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1931</v>
      </c>
      <c r="D132" s="113" t="s">
        <v>3948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1469</v>
      </c>
      <c r="D134" s="113" t="s">
        <v>3967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3969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1580</v>
      </c>
      <c r="D139" s="113" t="s">
        <v>3971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1790</v>
      </c>
      <c r="D140" s="113" t="s">
        <v>1829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1977</v>
      </c>
      <c r="D141" s="113" t="s">
        <v>1203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1977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1870</v>
      </c>
      <c r="D143" s="113" t="s">
        <v>1916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3976</v>
      </c>
      <c r="D144" s="113" t="s">
        <v>1855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3976</v>
      </c>
      <c r="D145" s="113" t="s">
        <v>1717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2610</v>
      </c>
      <c r="D146" s="113" t="s">
        <v>1717</v>
      </c>
      <c r="F146" s="120">
        <v>200000</v>
      </c>
      <c r="G146" s="85">
        <v>1</v>
      </c>
      <c r="I146" s="80">
        <v>200000</v>
      </c>
    </row>
    <row r="147" spans="1:10" ht="18" customHeight="1" x14ac:dyDescent="0.3">
      <c r="A147" s="82">
        <v>1955</v>
      </c>
      <c r="B147" s="93">
        <v>45950</v>
      </c>
      <c r="C147" s="83" t="s">
        <v>1580</v>
      </c>
      <c r="D147" s="113" t="s">
        <v>3981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3976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1870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3919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2410</v>
      </c>
      <c r="D151" s="113" t="s">
        <v>2197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3985</v>
      </c>
      <c r="D152" s="113" t="s">
        <v>3984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1399</v>
      </c>
      <c r="D153" s="113" t="s">
        <v>1743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1399</v>
      </c>
      <c r="D154" s="113" t="s">
        <v>1266</v>
      </c>
      <c r="F154" s="120">
        <v>50000</v>
      </c>
      <c r="G154" s="85">
        <v>1</v>
      </c>
      <c r="I154" s="80">
        <v>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1" sqref="D1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3673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1</v>
      </c>
      <c r="E2" t="s">
        <v>3807</v>
      </c>
    </row>
    <row r="3" spans="1:6" x14ac:dyDescent="0.3">
      <c r="B3" s="58" t="s">
        <v>1302</v>
      </c>
      <c r="C3" s="301">
        <f>SUMIF(BTS_매출관리!C:C,B3,BTS_매출관리!I:I)</f>
        <v>4550000</v>
      </c>
      <c r="D3" s="58">
        <f t="shared" si="0"/>
        <v>3</v>
      </c>
      <c r="E3" t="s">
        <v>3807</v>
      </c>
    </row>
    <row r="4" spans="1:6" x14ac:dyDescent="0.3">
      <c r="B4" s="58" t="s">
        <v>2215</v>
      </c>
      <c r="C4" s="301">
        <f>SUMIF(BTS_매출관리!C:C,B4,BTS_매출관리!I:I)</f>
        <v>2970000</v>
      </c>
      <c r="D4" s="58">
        <f t="shared" si="0"/>
        <v>4</v>
      </c>
      <c r="E4" t="s">
        <v>3807</v>
      </c>
    </row>
    <row r="5" spans="1:6" x14ac:dyDescent="0.3">
      <c r="B5" s="269" t="s">
        <v>1324</v>
      </c>
      <c r="C5" s="268">
        <f>SUMIF(BTS_매출관리!C:C,B5,BTS_매출관리!I:I)</f>
        <v>2895000</v>
      </c>
      <c r="D5" s="269">
        <f t="shared" si="0"/>
        <v>5</v>
      </c>
      <c r="E5" t="s">
        <v>3807</v>
      </c>
    </row>
    <row r="6" spans="1:6" x14ac:dyDescent="0.3">
      <c r="B6" s="58" t="s">
        <v>1336</v>
      </c>
      <c r="C6" s="301">
        <f>SUMIF(BTS_매출관리!C:C,B6,BTS_매출관리!I:I)</f>
        <v>2305000</v>
      </c>
      <c r="D6" s="58">
        <f t="shared" si="0"/>
        <v>6</v>
      </c>
      <c r="E6" t="s">
        <v>3807</v>
      </c>
    </row>
    <row r="7" spans="1:6" x14ac:dyDescent="0.3">
      <c r="B7" s="58" t="s">
        <v>1290</v>
      </c>
      <c r="C7" s="301">
        <f>SUMIF(BTS_매출관리!C:C,B7,BTS_매출관리!I:I)</f>
        <v>2255000</v>
      </c>
      <c r="D7" s="58">
        <f t="shared" si="0"/>
        <v>7</v>
      </c>
      <c r="E7" t="s">
        <v>3807</v>
      </c>
    </row>
    <row r="8" spans="1:6" x14ac:dyDescent="0.3">
      <c r="B8" s="269" t="s">
        <v>1281</v>
      </c>
      <c r="C8" s="268">
        <f>SUMIF(BTS_매출관리!C:C,B8,BTS_매출관리!I:I)</f>
        <v>2100000</v>
      </c>
      <c r="D8" s="269">
        <f t="shared" si="0"/>
        <v>8</v>
      </c>
      <c r="E8" t="s">
        <v>3807</v>
      </c>
    </row>
    <row r="9" spans="1:6" x14ac:dyDescent="0.3">
      <c r="B9" s="58" t="s">
        <v>1035</v>
      </c>
      <c r="C9" s="301">
        <f>SUMIF(BTS_매출관리!C:C,B9,BTS_매출관리!I:I)</f>
        <v>1955000</v>
      </c>
      <c r="D9" s="58">
        <f t="shared" si="0"/>
        <v>10</v>
      </c>
      <c r="E9" t="s">
        <v>3807</v>
      </c>
    </row>
    <row r="10" spans="1:6" x14ac:dyDescent="0.3">
      <c r="B10" s="58" t="s">
        <v>1279</v>
      </c>
      <c r="C10" s="301">
        <f>SUMIF(BTS_매출관리!C:C,B10,BTS_매출관리!I:I)</f>
        <v>5400000</v>
      </c>
      <c r="D10" s="58">
        <f t="shared" si="0"/>
        <v>2</v>
      </c>
      <c r="E10" t="s">
        <v>3807</v>
      </c>
    </row>
    <row r="11" spans="1:6" x14ac:dyDescent="0.3">
      <c r="B11" s="269" t="s">
        <v>1342</v>
      </c>
      <c r="C11" s="268">
        <f>SUMIF(BTS_매출관리!C:C,B11,BTS_매출관리!I:I)</f>
        <v>1650000</v>
      </c>
      <c r="D11" s="269">
        <f t="shared" si="0"/>
        <v>14</v>
      </c>
      <c r="E11" t="s">
        <v>3807</v>
      </c>
    </row>
    <row r="12" spans="1:6" x14ac:dyDescent="0.3">
      <c r="B12" s="269" t="s">
        <v>1374</v>
      </c>
      <c r="C12" s="268">
        <f>SUMIF(BTS_매출관리!C:C,B12,BTS_매출관리!I:I)</f>
        <v>1550000</v>
      </c>
      <c r="D12" s="269">
        <f t="shared" si="0"/>
        <v>15</v>
      </c>
      <c r="E12" t="s">
        <v>3807</v>
      </c>
      <c r="F12" t="str">
        <f>IF(D12 &lt; 10,,"")</f>
        <v/>
      </c>
    </row>
    <row r="13" spans="1:6" x14ac:dyDescent="0.3">
      <c r="B13" s="269" t="s">
        <v>3402</v>
      </c>
      <c r="C13" s="268">
        <f>SUMIF(BTS_매출관리!C:C,B13,BTS_매출관리!I:I)</f>
        <v>1550000</v>
      </c>
      <c r="D13" s="269">
        <f t="shared" si="0"/>
        <v>15</v>
      </c>
      <c r="E13" t="s">
        <v>3807</v>
      </c>
      <c r="F13" t="str">
        <f>IF(D13 &lt; 10,,"")</f>
        <v/>
      </c>
    </row>
    <row r="14" spans="1:6" x14ac:dyDescent="0.3">
      <c r="B14" s="269" t="s">
        <v>1268</v>
      </c>
      <c r="C14" s="268">
        <f>SUMIF(BTS_매출관리!C:C,B14,BTS_매출관리!I:I)</f>
        <v>1429000</v>
      </c>
      <c r="D14" s="269">
        <f t="shared" si="0"/>
        <v>18</v>
      </c>
      <c r="E14" t="s">
        <v>3807</v>
      </c>
      <c r="F14" t="str">
        <f>IF(D14 &lt; 10,,"")</f>
        <v/>
      </c>
    </row>
    <row r="15" spans="1:6" x14ac:dyDescent="0.3">
      <c r="B15" s="58" t="s">
        <v>1334</v>
      </c>
      <c r="C15" s="301">
        <f>SUMIF(BTS_매출관리!C:C,B15,BTS_매출관리!I:I)</f>
        <v>1376500</v>
      </c>
      <c r="D15" s="58">
        <f t="shared" si="0"/>
        <v>19</v>
      </c>
      <c r="E15" t="s">
        <v>3807</v>
      </c>
    </row>
    <row r="16" spans="1:6" x14ac:dyDescent="0.3">
      <c r="B16" s="58" t="s">
        <v>1349</v>
      </c>
      <c r="C16" s="301">
        <f>SUMIF(BTS_매출관리!C:C,B16,BTS_매출관리!I:I)</f>
        <v>1320000</v>
      </c>
      <c r="D16" s="58">
        <f t="shared" si="0"/>
        <v>20</v>
      </c>
      <c r="E16" t="s">
        <v>3807</v>
      </c>
    </row>
    <row r="17" spans="2:18" x14ac:dyDescent="0.3">
      <c r="B17" s="58" t="s">
        <v>1023</v>
      </c>
      <c r="C17" s="301">
        <f>SUMIF(BTS_매출관리!C:C,B17,BTS_매출관리!I:I)</f>
        <v>1200000</v>
      </c>
      <c r="D17" s="58">
        <f t="shared" si="0"/>
        <v>23</v>
      </c>
      <c r="E17" t="s">
        <v>3807</v>
      </c>
    </row>
    <row r="18" spans="2:18" x14ac:dyDescent="0.3">
      <c r="B18" s="269" t="s">
        <v>1094</v>
      </c>
      <c r="C18" s="268">
        <f>SUMIF(BTS_매출관리!C:C,B18,BTS_매출관리!I:I)</f>
        <v>1873000</v>
      </c>
      <c r="D18" s="269">
        <f t="shared" si="0"/>
        <v>11</v>
      </c>
      <c r="E18" t="s">
        <v>3771</v>
      </c>
    </row>
    <row r="19" spans="2:18" x14ac:dyDescent="0.3">
      <c r="B19" s="58" t="s">
        <v>1488</v>
      </c>
      <c r="C19" s="301">
        <f>SUMIF(BTS_매출관리!C:C,B19,BTS_매출관리!I:I)</f>
        <v>1100000</v>
      </c>
      <c r="D19" s="58">
        <f t="shared" si="0"/>
        <v>25</v>
      </c>
      <c r="E19" t="s">
        <v>3807</v>
      </c>
    </row>
    <row r="20" spans="2:18" x14ac:dyDescent="0.3">
      <c r="B20" s="269" t="s">
        <v>1315</v>
      </c>
      <c r="C20" s="268">
        <f>SUMIF(BTS_매출관리!C:C,B20,BTS_매출관리!I:I)</f>
        <v>1100000</v>
      </c>
      <c r="D20" s="269">
        <f t="shared" si="0"/>
        <v>25</v>
      </c>
      <c r="E20" t="s">
        <v>3807</v>
      </c>
    </row>
    <row r="21" spans="2:18" x14ac:dyDescent="0.3">
      <c r="B21" s="58" t="s">
        <v>1313</v>
      </c>
      <c r="C21" s="301">
        <f>SUMIF(BTS_매출관리!C:C,B21,BTS_매출관리!I:I)</f>
        <v>2000000</v>
      </c>
      <c r="D21" s="58">
        <f t="shared" si="0"/>
        <v>9</v>
      </c>
      <c r="E21" t="s">
        <v>3807</v>
      </c>
      <c r="F21" t="s">
        <v>3699</v>
      </c>
    </row>
    <row r="22" spans="2:18" x14ac:dyDescent="0.3">
      <c r="B22" s="58" t="s">
        <v>1287</v>
      </c>
      <c r="C22" s="301">
        <f>SUMIF(BTS_매출관리!C:C,B22,BTS_매출관리!I:I)</f>
        <v>986000</v>
      </c>
      <c r="D22" s="58">
        <f t="shared" si="0"/>
        <v>28</v>
      </c>
      <c r="E22" t="s">
        <v>3807</v>
      </c>
      <c r="F22" t="s">
        <v>3674</v>
      </c>
      <c r="G22" t="s">
        <v>3806</v>
      </c>
      <c r="I22" t="s">
        <v>3677</v>
      </c>
      <c r="J22" s="303" t="s">
        <v>3717</v>
      </c>
      <c r="O22" t="s">
        <v>3700</v>
      </c>
      <c r="P22">
        <v>2</v>
      </c>
      <c r="Q22" t="s">
        <v>3807</v>
      </c>
    </row>
    <row r="23" spans="2:18" x14ac:dyDescent="0.3">
      <c r="B23" s="58" t="s">
        <v>1353</v>
      </c>
      <c r="C23" s="301">
        <f>SUMIF(BTS_매출관리!C:C,B23,BTS_매출관리!I:I)</f>
        <v>844000</v>
      </c>
      <c r="D23" s="58">
        <f t="shared" si="0"/>
        <v>29</v>
      </c>
      <c r="E23" t="s">
        <v>3807</v>
      </c>
      <c r="F23" t="s">
        <v>3675</v>
      </c>
      <c r="G23" t="s">
        <v>3806</v>
      </c>
      <c r="I23" t="s">
        <v>3679</v>
      </c>
      <c r="J23" s="303" t="s">
        <v>3717</v>
      </c>
      <c r="O23" t="s">
        <v>3701</v>
      </c>
      <c r="P23">
        <v>3</v>
      </c>
      <c r="Q23" t="s">
        <v>3807</v>
      </c>
    </row>
    <row r="24" spans="2:18" x14ac:dyDescent="0.3">
      <c r="B24" s="58" t="s">
        <v>1326</v>
      </c>
      <c r="C24" s="301">
        <f>SUMIF(BTS_매출관리!C:C,B24,BTS_매출관리!I:I)</f>
        <v>700000</v>
      </c>
      <c r="D24" s="58">
        <f t="shared" si="0"/>
        <v>31</v>
      </c>
      <c r="E24" t="s">
        <v>3807</v>
      </c>
      <c r="F24" t="s">
        <v>3676</v>
      </c>
      <c r="G24" t="s">
        <v>3806</v>
      </c>
      <c r="I24" t="s">
        <v>3681</v>
      </c>
      <c r="J24" s="303" t="s">
        <v>3717</v>
      </c>
      <c r="O24" t="s">
        <v>3702</v>
      </c>
      <c r="P24">
        <v>2</v>
      </c>
      <c r="Q24" t="s">
        <v>3807</v>
      </c>
    </row>
    <row r="25" spans="2:18" x14ac:dyDescent="0.3">
      <c r="B25" s="269" t="s">
        <v>1890</v>
      </c>
      <c r="C25" s="268">
        <f>SUMIF(BTS_매출관리!C:C,B25,BTS_매출관리!I:I)</f>
        <v>650000</v>
      </c>
      <c r="D25" s="269">
        <f t="shared" si="0"/>
        <v>32</v>
      </c>
      <c r="E25" t="s">
        <v>3807</v>
      </c>
      <c r="F25" t="s">
        <v>3678</v>
      </c>
      <c r="G25" t="s">
        <v>3717</v>
      </c>
      <c r="I25" t="s">
        <v>3684</v>
      </c>
      <c r="J25" s="303" t="s">
        <v>3806</v>
      </c>
      <c r="O25" t="s">
        <v>3703</v>
      </c>
      <c r="P25">
        <v>1</v>
      </c>
      <c r="R25" t="s">
        <v>3806</v>
      </c>
    </row>
    <row r="26" spans="2:18" x14ac:dyDescent="0.3">
      <c r="B26" s="58" t="s">
        <v>1173</v>
      </c>
      <c r="C26" s="301">
        <f>SUMIF(BTS_매출관리!C:C,B26,BTS_매출관리!I:I)</f>
        <v>650000</v>
      </c>
      <c r="D26" s="58">
        <f t="shared" si="0"/>
        <v>32</v>
      </c>
      <c r="E26" t="s">
        <v>3807</v>
      </c>
      <c r="F26" t="s">
        <v>3680</v>
      </c>
      <c r="G26" t="s">
        <v>3806</v>
      </c>
      <c r="I26" t="s">
        <v>3697</v>
      </c>
      <c r="J26" s="303" t="s">
        <v>3736</v>
      </c>
      <c r="O26" t="s">
        <v>3704</v>
      </c>
      <c r="P26">
        <v>2</v>
      </c>
      <c r="Q26" t="s">
        <v>3718</v>
      </c>
    </row>
    <row r="27" spans="2:18" x14ac:dyDescent="0.3">
      <c r="B27" s="58" t="s">
        <v>1274</v>
      </c>
      <c r="C27" s="301">
        <f>SUMIF(BTS_매출관리!C:C,B27,BTS_매출관리!I:I)</f>
        <v>638000</v>
      </c>
      <c r="D27" s="58">
        <f t="shared" si="0"/>
        <v>34</v>
      </c>
      <c r="E27" t="s">
        <v>3807</v>
      </c>
      <c r="F27" t="s">
        <v>3792</v>
      </c>
      <c r="G27" t="s">
        <v>3814</v>
      </c>
      <c r="I27" t="s">
        <v>2860</v>
      </c>
      <c r="J27" s="303" t="s">
        <v>3736</v>
      </c>
      <c r="O27" t="s">
        <v>3705</v>
      </c>
      <c r="P27">
        <v>1</v>
      </c>
      <c r="Q27" t="s">
        <v>3717</v>
      </c>
    </row>
    <row r="28" spans="2:18" x14ac:dyDescent="0.3">
      <c r="B28" s="58" t="s">
        <v>1298</v>
      </c>
      <c r="C28" s="301">
        <f>SUMIF(BTS_매출관리!C:C,B28,BTS_매출관리!I:I)</f>
        <v>600000</v>
      </c>
      <c r="D28" s="58">
        <f t="shared" si="0"/>
        <v>35</v>
      </c>
      <c r="E28" t="s">
        <v>3807</v>
      </c>
      <c r="F28" t="s">
        <v>3683</v>
      </c>
      <c r="G28" t="s">
        <v>3812</v>
      </c>
      <c r="I28" t="s">
        <v>2258</v>
      </c>
      <c r="J28" s="303" t="s">
        <v>3736</v>
      </c>
      <c r="O28" t="s">
        <v>3706</v>
      </c>
      <c r="P28">
        <v>2</v>
      </c>
      <c r="R28" t="s">
        <v>3813</v>
      </c>
    </row>
    <row r="29" spans="2:18" x14ac:dyDescent="0.3">
      <c r="B29" s="269" t="s">
        <v>1295</v>
      </c>
      <c r="C29" s="268">
        <f>SUMIF(BTS_매출관리!C:C,B29,BTS_매출관리!I:I)</f>
        <v>540000</v>
      </c>
      <c r="D29" s="269">
        <f t="shared" si="0"/>
        <v>36</v>
      </c>
      <c r="E29" t="s">
        <v>2863</v>
      </c>
      <c r="F29" t="s">
        <v>3685</v>
      </c>
      <c r="G29" t="s">
        <v>3806</v>
      </c>
      <c r="O29" t="s">
        <v>3707</v>
      </c>
      <c r="P29">
        <v>2</v>
      </c>
      <c r="Q29" t="s">
        <v>3807</v>
      </c>
    </row>
    <row r="30" spans="2:18" x14ac:dyDescent="0.3">
      <c r="B30" s="269" t="s">
        <v>3269</v>
      </c>
      <c r="C30" s="268">
        <f>SUMIF(BTS_매출관리!C:C,B30,BTS_매출관리!I:I)</f>
        <v>200000</v>
      </c>
      <c r="D30" s="269">
        <f t="shared" si="0"/>
        <v>37</v>
      </c>
      <c r="F30" t="s">
        <v>3686</v>
      </c>
      <c r="G30" t="s">
        <v>3812</v>
      </c>
      <c r="O30" t="s">
        <v>3708</v>
      </c>
      <c r="P30">
        <v>2</v>
      </c>
      <c r="Q30" t="s">
        <v>3735</v>
      </c>
    </row>
    <row r="31" spans="2:18" x14ac:dyDescent="0.3">
      <c r="B31" s="58" t="s">
        <v>1159</v>
      </c>
      <c r="C31" s="301">
        <f>SUMIF(BTS_매출관리!C:C,B31,BTS_매출관리!I:I)</f>
        <v>1800000</v>
      </c>
      <c r="D31" s="58">
        <f t="shared" si="0"/>
        <v>12</v>
      </c>
      <c r="F31" t="s">
        <v>3687</v>
      </c>
      <c r="G31" t="s">
        <v>3806</v>
      </c>
      <c r="O31" t="s">
        <v>3709</v>
      </c>
      <c r="P31">
        <v>1</v>
      </c>
      <c r="R31" t="s">
        <v>3812</v>
      </c>
    </row>
    <row r="32" spans="2:18" x14ac:dyDescent="0.3">
      <c r="B32" s="58" t="s">
        <v>1289</v>
      </c>
      <c r="C32" s="301">
        <f>SUMIF(BTS_매출관리!C:C,B32,BTS_매출관리!I:I)</f>
        <v>150000</v>
      </c>
      <c r="D32" s="58">
        <f t="shared" si="0"/>
        <v>39</v>
      </c>
      <c r="E32" t="s">
        <v>3807</v>
      </c>
      <c r="F32" t="s">
        <v>3688</v>
      </c>
      <c r="G32" t="s">
        <v>3806</v>
      </c>
      <c r="O32" t="s">
        <v>3710</v>
      </c>
      <c r="P32">
        <v>1</v>
      </c>
      <c r="R32" t="s">
        <v>3806</v>
      </c>
    </row>
    <row r="33" spans="2:17" x14ac:dyDescent="0.3">
      <c r="B33" s="269" t="s">
        <v>2487</v>
      </c>
      <c r="C33" s="268">
        <f>SUMIF(BTS_매출관리!C:C,B33,BTS_매출관리!I:I)</f>
        <v>150000</v>
      </c>
      <c r="D33" s="269">
        <f t="shared" si="0"/>
        <v>39</v>
      </c>
      <c r="F33" t="s">
        <v>3689</v>
      </c>
      <c r="G33" t="s">
        <v>3806</v>
      </c>
      <c r="O33" t="s">
        <v>3711</v>
      </c>
      <c r="P33">
        <v>1</v>
      </c>
      <c r="Q33" t="s">
        <v>3719</v>
      </c>
    </row>
    <row r="34" spans="2:17" x14ac:dyDescent="0.3">
      <c r="B34" s="58" t="s">
        <v>980</v>
      </c>
      <c r="C34" s="301">
        <f>SUMIF(BTS_매출관리!C:C,B34,BTS_매출관리!I:I)</f>
        <v>143000</v>
      </c>
      <c r="D34" s="58">
        <f t="shared" si="0"/>
        <v>41</v>
      </c>
      <c r="E34" t="s">
        <v>3807</v>
      </c>
      <c r="F34" t="s">
        <v>3690</v>
      </c>
      <c r="G34" t="s">
        <v>3812</v>
      </c>
      <c r="O34" t="s">
        <v>3682</v>
      </c>
      <c r="P34">
        <v>2</v>
      </c>
      <c r="Q34" t="s">
        <v>3807</v>
      </c>
    </row>
    <row r="35" spans="2:17" x14ac:dyDescent="0.3">
      <c r="B35" s="269" t="s">
        <v>1355</v>
      </c>
      <c r="C35" s="268">
        <f>SUMIF(BTS_매출관리!C:C,B35,BTS_매출관리!I:I)</f>
        <v>143000</v>
      </c>
      <c r="D35" s="269">
        <f t="shared" si="0"/>
        <v>41</v>
      </c>
      <c r="E35" t="s">
        <v>3807</v>
      </c>
      <c r="F35" t="s">
        <v>3691</v>
      </c>
      <c r="G35" t="s">
        <v>3812</v>
      </c>
      <c r="O35" t="s">
        <v>3712</v>
      </c>
      <c r="P35">
        <v>1</v>
      </c>
    </row>
    <row r="36" spans="2:17" x14ac:dyDescent="0.3">
      <c r="B36" s="58" t="s">
        <v>1333</v>
      </c>
      <c r="C36" s="301">
        <f>SUMIF(BTS_매출관리!C:C,B36,BTS_매출관리!I:I)</f>
        <v>0</v>
      </c>
      <c r="D36" s="58">
        <f t="shared" si="0"/>
        <v>43</v>
      </c>
      <c r="F36" t="s">
        <v>3692</v>
      </c>
      <c r="G36" t="s">
        <v>3806</v>
      </c>
      <c r="O36" t="s">
        <v>3713</v>
      </c>
      <c r="P36">
        <v>1</v>
      </c>
      <c r="Q36" t="s">
        <v>3807</v>
      </c>
    </row>
    <row r="37" spans="2:17" x14ac:dyDescent="0.3">
      <c r="B37" s="58" t="s">
        <v>1784</v>
      </c>
      <c r="C37" s="301">
        <f>SUMIF(BTS_매출관리!C:C,B37,BTS_매출관리!I:I)</f>
        <v>0</v>
      </c>
      <c r="D37" s="58">
        <f t="shared" si="0"/>
        <v>43</v>
      </c>
      <c r="E37" t="s">
        <v>3807</v>
      </c>
      <c r="F37" t="s">
        <v>3693</v>
      </c>
      <c r="G37" t="s">
        <v>3806</v>
      </c>
    </row>
    <row r="38" spans="2:17" x14ac:dyDescent="0.3">
      <c r="B38" s="58" t="s">
        <v>1671</v>
      </c>
      <c r="C38" s="301">
        <f>SUMIF(BTS_매출관리!C:C,B38,BTS_매출관리!I:I)</f>
        <v>0</v>
      </c>
      <c r="D38" s="58">
        <f t="shared" si="0"/>
        <v>43</v>
      </c>
      <c r="E38" t="s">
        <v>3771</v>
      </c>
      <c r="F38" t="s">
        <v>3694</v>
      </c>
      <c r="G38" t="s">
        <v>3812</v>
      </c>
    </row>
    <row r="39" spans="2:17" x14ac:dyDescent="0.3">
      <c r="B39" s="58" t="s">
        <v>1018</v>
      </c>
      <c r="C39" s="301">
        <f>SUMIF(BTS_매출관리!C:C,B39,BTS_매출관리!I:I)</f>
        <v>0</v>
      </c>
      <c r="D39" s="58">
        <f t="shared" si="0"/>
        <v>43</v>
      </c>
      <c r="E39" t="s">
        <v>3807</v>
      </c>
      <c r="F39" t="s">
        <v>3695</v>
      </c>
      <c r="G39" t="s">
        <v>3812</v>
      </c>
    </row>
    <row r="40" spans="2:17" x14ac:dyDescent="0.3">
      <c r="B40" s="58" t="s">
        <v>1341</v>
      </c>
      <c r="C40" s="301">
        <f>SUMIF(BTS_매출관리!C:C,B40,BTS_매출관리!I:I)</f>
        <v>1040000</v>
      </c>
      <c r="D40" s="58">
        <f t="shared" si="0"/>
        <v>27</v>
      </c>
      <c r="F40" t="s">
        <v>3696</v>
      </c>
      <c r="G40" t="s">
        <v>3812</v>
      </c>
    </row>
    <row r="41" spans="2:17" x14ac:dyDescent="0.3">
      <c r="B41" s="58" t="s">
        <v>1276</v>
      </c>
      <c r="C41" s="301">
        <f>SUMIF(BTS_매출관리!C:C,B41,BTS_매출관리!I:I)</f>
        <v>1320000</v>
      </c>
      <c r="D41" s="58">
        <f t="shared" si="0"/>
        <v>20</v>
      </c>
      <c r="E41" t="s">
        <v>3807</v>
      </c>
      <c r="F41" t="s">
        <v>3698</v>
      </c>
      <c r="G41" t="s">
        <v>3806</v>
      </c>
    </row>
    <row r="42" spans="2:17" x14ac:dyDescent="0.3">
      <c r="B42" s="58" t="s">
        <v>1058</v>
      </c>
      <c r="C42" s="301">
        <f>SUMIF(BTS_매출관리!C:C,B42,BTS_매출관리!I:I)</f>
        <v>1210000</v>
      </c>
      <c r="D42" s="58">
        <f t="shared" si="0"/>
        <v>22</v>
      </c>
      <c r="F42" t="s">
        <v>1328</v>
      </c>
      <c r="G42" t="s">
        <v>3812</v>
      </c>
    </row>
    <row r="43" spans="2:17" x14ac:dyDescent="0.3">
      <c r="B43" s="58" t="s">
        <v>1148</v>
      </c>
      <c r="C43" s="301">
        <f>SUMIF(BTS_매출관리!C:C,B43,BTS_매출관리!I:I)</f>
        <v>1170000</v>
      </c>
      <c r="D43" s="58">
        <f t="shared" si="0"/>
        <v>24</v>
      </c>
      <c r="F43" t="s">
        <v>3793</v>
      </c>
      <c r="G43" t="s">
        <v>3806</v>
      </c>
    </row>
    <row r="44" spans="2:17" x14ac:dyDescent="0.3">
      <c r="B44" s="58" t="s">
        <v>2472</v>
      </c>
      <c r="C44" s="301">
        <f>SUMIF(BTS_매출관리!C:C,B44,BTS_매출관리!I:I)</f>
        <v>0</v>
      </c>
      <c r="D44" s="58">
        <f t="shared" si="0"/>
        <v>43</v>
      </c>
      <c r="E44" t="s">
        <v>3807</v>
      </c>
      <c r="F44" t="s">
        <v>3794</v>
      </c>
      <c r="G44" t="s">
        <v>3806</v>
      </c>
    </row>
    <row r="45" spans="2:17" x14ac:dyDescent="0.3">
      <c r="B45" s="58" t="s">
        <v>1317</v>
      </c>
      <c r="C45" s="301">
        <f>SUMIF(BTS_매출관리!C:C,B45,BTS_매출관리!I:I)</f>
        <v>0</v>
      </c>
      <c r="D45" s="58">
        <f t="shared" si="0"/>
        <v>43</v>
      </c>
      <c r="E45" t="s">
        <v>3807</v>
      </c>
      <c r="F45" t="s">
        <v>3795</v>
      </c>
      <c r="G45" t="s">
        <v>3806</v>
      </c>
      <c r="M45">
        <v>17</v>
      </c>
    </row>
    <row r="46" spans="2:17" x14ac:dyDescent="0.3">
      <c r="B46" s="58" t="s">
        <v>2361</v>
      </c>
      <c r="C46" s="301">
        <f>SUMIF(BTS_매출관리!C:C,B46,BTS_매출관리!I:I)</f>
        <v>0</v>
      </c>
      <c r="D46" s="58">
        <f t="shared" si="0"/>
        <v>43</v>
      </c>
      <c r="F46" t="s">
        <v>3808</v>
      </c>
      <c r="G46" t="s">
        <v>3806</v>
      </c>
    </row>
    <row r="47" spans="2:17" x14ac:dyDescent="0.3">
      <c r="B47" s="58" t="s">
        <v>1307</v>
      </c>
      <c r="C47" s="301">
        <f>SUMIF(BTS_매출관리!C:C,B47,BTS_매출관리!I:I)</f>
        <v>0</v>
      </c>
      <c r="D47" s="58">
        <f t="shared" si="0"/>
        <v>43</v>
      </c>
      <c r="E47" t="s">
        <v>3807</v>
      </c>
      <c r="F47" s="58" t="s">
        <v>1035</v>
      </c>
      <c r="G47" t="s">
        <v>3806</v>
      </c>
      <c r="K47" t="s">
        <v>3806</v>
      </c>
      <c r="L47">
        <f>COUNTIF(G22:G49,"스팸")</f>
        <v>17</v>
      </c>
    </row>
    <row r="48" spans="2:17" x14ac:dyDescent="0.3">
      <c r="B48" s="58" t="s">
        <v>1346</v>
      </c>
      <c r="C48" s="301">
        <f>SUMIF(BTS_매출관리!C:C,B48,BTS_매출관리!I:I)</f>
        <v>0</v>
      </c>
      <c r="D48" s="58">
        <f t="shared" si="0"/>
        <v>43</v>
      </c>
      <c r="F48" s="58" t="s">
        <v>1357</v>
      </c>
      <c r="G48" t="s">
        <v>3812</v>
      </c>
      <c r="K48" t="s">
        <v>3812</v>
      </c>
      <c r="L48">
        <f>COUNTIF(G22:G49,"반반")</f>
        <v>10</v>
      </c>
    </row>
    <row r="49" spans="2:7" x14ac:dyDescent="0.3">
      <c r="B49" s="58" t="s">
        <v>1271</v>
      </c>
      <c r="C49" s="301">
        <f>SUMIF(BTS_매출관리!C:C,B49,BTS_매출관리!I:I)</f>
        <v>0</v>
      </c>
      <c r="D49" s="58">
        <f t="shared" si="0"/>
        <v>43</v>
      </c>
      <c r="F49" t="s">
        <v>1321</v>
      </c>
      <c r="G49" t="s">
        <v>3812</v>
      </c>
    </row>
    <row r="50" spans="2:7" x14ac:dyDescent="0.3">
      <c r="B50" s="58" t="s">
        <v>2916</v>
      </c>
      <c r="C50" s="301">
        <f>SUMIF(BTS_매출관리!C:C,B50,BTS_매출관리!I:I)</f>
        <v>0</v>
      </c>
      <c r="D50" s="58">
        <f t="shared" si="0"/>
        <v>43</v>
      </c>
    </row>
    <row r="51" spans="2:7" x14ac:dyDescent="0.3">
      <c r="B51" s="58" t="s">
        <v>1617</v>
      </c>
      <c r="C51" s="301">
        <f>SUMIF(BTS_매출관리!C:C,B51,BTS_매출관리!I:I)</f>
        <v>0</v>
      </c>
      <c r="D51" s="58">
        <f t="shared" si="0"/>
        <v>43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43</v>
      </c>
    </row>
    <row r="53" spans="2:7" x14ac:dyDescent="0.3">
      <c r="B53" s="47" t="s">
        <v>2561</v>
      </c>
      <c r="C53" s="302">
        <f>SUMIF(BTS_매출관리!C:C,B53,BTS_매출관리!I:I)</f>
        <v>0</v>
      </c>
      <c r="D53" s="47">
        <f t="shared" si="0"/>
        <v>43</v>
      </c>
      <c r="E53" t="s">
        <v>3807</v>
      </c>
    </row>
    <row r="54" spans="2:7" x14ac:dyDescent="0.3">
      <c r="B54" s="47" t="s">
        <v>1288</v>
      </c>
      <c r="C54" s="302">
        <f>SUMIF(BTS_매출관리!C:C,B54,BTS_매출관리!I:I)</f>
        <v>0</v>
      </c>
      <c r="D54" s="47">
        <f t="shared" si="0"/>
        <v>43</v>
      </c>
    </row>
    <row r="55" spans="2:7" x14ac:dyDescent="0.3">
      <c r="B55" s="47" t="s">
        <v>1357</v>
      </c>
      <c r="C55" s="302">
        <f>SUMIF(BTS_매출관리!C:C,B55,BTS_매출관리!I:I)</f>
        <v>0</v>
      </c>
      <c r="D55" s="47">
        <f t="shared" si="0"/>
        <v>43</v>
      </c>
      <c r="E55" t="s">
        <v>2863</v>
      </c>
    </row>
    <row r="56" spans="2:7" x14ac:dyDescent="0.3">
      <c r="B56" t="s">
        <v>983</v>
      </c>
      <c r="C56" s="300">
        <f>SUMIF(BTS_매출관리!C:C,B56,BTS_매출관리!I:I)</f>
        <v>0</v>
      </c>
      <c r="D56" s="47">
        <f t="shared" si="0"/>
        <v>43</v>
      </c>
    </row>
    <row r="57" spans="2:7" x14ac:dyDescent="0.3">
      <c r="B57" s="47" t="s">
        <v>1303</v>
      </c>
      <c r="C57" s="302">
        <f>SUMIF(BTS_매출관리!C:C,B57,BTS_매출관리!I:I)</f>
        <v>0</v>
      </c>
      <c r="D57" s="47">
        <f t="shared" si="0"/>
        <v>43</v>
      </c>
    </row>
    <row r="58" spans="2:7" x14ac:dyDescent="0.3">
      <c r="B58" s="47" t="s">
        <v>1330</v>
      </c>
      <c r="C58" s="302">
        <f>SUMIF(BTS_매출관리!C:C,B58,BTS_매출관리!I:I)</f>
        <v>1500000</v>
      </c>
      <c r="D58" s="47">
        <f t="shared" si="0"/>
        <v>17</v>
      </c>
    </row>
    <row r="59" spans="2:7" x14ac:dyDescent="0.3">
      <c r="B59" s="47" t="s">
        <v>1284</v>
      </c>
      <c r="C59" s="302">
        <f>SUMIF(BTS_매출관리!C:C,B59,BTS_매출관리!I:I)</f>
        <v>0</v>
      </c>
      <c r="D59" s="47">
        <f t="shared" si="0"/>
        <v>43</v>
      </c>
    </row>
    <row r="60" spans="2:7" x14ac:dyDescent="0.3">
      <c r="B60" s="47" t="s">
        <v>1299</v>
      </c>
      <c r="C60" s="302">
        <f>SUMIF(BTS_매출관리!C:C,B60,BTS_매출관리!I:I)</f>
        <v>0</v>
      </c>
      <c r="D60" s="47">
        <f t="shared" si="0"/>
        <v>43</v>
      </c>
    </row>
    <row r="61" spans="2:7" x14ac:dyDescent="0.3">
      <c r="B61" s="47" t="s">
        <v>2865</v>
      </c>
      <c r="C61" s="302">
        <f>SUMIF(BTS_매출관리!C:C,B61,BTS_매출관리!I:I)</f>
        <v>0</v>
      </c>
      <c r="D61" s="47">
        <f t="shared" si="0"/>
        <v>43</v>
      </c>
    </row>
    <row r="62" spans="2:7" x14ac:dyDescent="0.3">
      <c r="B62" s="47" t="s">
        <v>1296</v>
      </c>
      <c r="C62" s="302">
        <f>SUMIF(BTS_매출관리!C:C,B62,BTS_매출관리!I:I)</f>
        <v>0</v>
      </c>
      <c r="D62" s="47">
        <f t="shared" si="0"/>
        <v>43</v>
      </c>
    </row>
    <row r="63" spans="2:7" x14ac:dyDescent="0.3">
      <c r="B63" s="47" t="s">
        <v>2784</v>
      </c>
      <c r="C63" s="302">
        <f>SUMIF(BTS_매출관리!C:C,B63,BTS_매출관리!I:I)</f>
        <v>0</v>
      </c>
      <c r="D63" s="47">
        <f t="shared" si="0"/>
        <v>43</v>
      </c>
      <c r="E63" t="s">
        <v>3807</v>
      </c>
    </row>
    <row r="64" spans="2:7" x14ac:dyDescent="0.3">
      <c r="B64" s="47" t="s">
        <v>1356</v>
      </c>
      <c r="C64" s="302">
        <f>SUMIF(BTS_매출관리!C:C,B64,BTS_매출관리!I:I)</f>
        <v>0</v>
      </c>
      <c r="D64" s="47">
        <f t="shared" si="0"/>
        <v>43</v>
      </c>
    </row>
    <row r="65" spans="2:5" x14ac:dyDescent="0.3">
      <c r="B65" s="47" t="s">
        <v>1359</v>
      </c>
      <c r="C65" s="302">
        <f>SUMIF(BTS_매출관리!C:C,B65,BTS_매출관리!I:I)</f>
        <v>0</v>
      </c>
      <c r="D65" s="47">
        <f t="shared" si="0"/>
        <v>43</v>
      </c>
      <c r="E65" t="s">
        <v>3807</v>
      </c>
    </row>
    <row r="66" spans="2:5" x14ac:dyDescent="0.3">
      <c r="B66" s="47" t="s">
        <v>3290</v>
      </c>
      <c r="C66" s="302">
        <f>SUMIF(BTS_매출관리!C:C,B66,BTS_매출관리!I:I)</f>
        <v>0</v>
      </c>
      <c r="D66" s="47">
        <f t="shared" ref="D66:D129" si="1">RANK(C66,C:C,0)</f>
        <v>43</v>
      </c>
    </row>
    <row r="67" spans="2:5" x14ac:dyDescent="0.3">
      <c r="B67" t="s">
        <v>2860</v>
      </c>
      <c r="C67" s="52">
        <f>SUMIF(BTS_매출관리!C:C,B67,BTS_매출관리!I:I)</f>
        <v>0</v>
      </c>
      <c r="D67">
        <f t="shared" si="1"/>
        <v>43</v>
      </c>
      <c r="E67" t="s">
        <v>3807</v>
      </c>
    </row>
    <row r="68" spans="2:5" x14ac:dyDescent="0.3">
      <c r="B68" t="s">
        <v>2283</v>
      </c>
      <c r="C68" s="52">
        <f>SUMIF(BTS_매출관리!C:C,B68,BTS_매출관리!I:I)</f>
        <v>0</v>
      </c>
      <c r="D68">
        <f t="shared" si="1"/>
        <v>43</v>
      </c>
    </row>
    <row r="69" spans="2:5" x14ac:dyDescent="0.3">
      <c r="B69" t="s">
        <v>1351</v>
      </c>
      <c r="C69" s="52">
        <f>SUMIF(BTS_매출관리!C:C,B69,BTS_매출관리!I:I)</f>
        <v>0</v>
      </c>
      <c r="D69">
        <f t="shared" si="1"/>
        <v>43</v>
      </c>
    </row>
    <row r="70" spans="2:5" x14ac:dyDescent="0.3">
      <c r="B70" t="s">
        <v>1321</v>
      </c>
      <c r="C70" s="52">
        <f>SUMIF(BTS_매출관리!C:C,B70,BTS_매출관리!I:I)</f>
        <v>0</v>
      </c>
      <c r="D70">
        <f t="shared" si="1"/>
        <v>43</v>
      </c>
    </row>
    <row r="71" spans="2:5" x14ac:dyDescent="0.3">
      <c r="B71" t="s">
        <v>3120</v>
      </c>
      <c r="C71" s="52">
        <f>SUMIF(BTS_매출관리!C:C,B71,BTS_매출관리!I:I)</f>
        <v>0</v>
      </c>
      <c r="D71">
        <f t="shared" si="1"/>
        <v>43</v>
      </c>
    </row>
    <row r="72" spans="2:5" x14ac:dyDescent="0.3">
      <c r="B72" t="s">
        <v>2375</v>
      </c>
      <c r="C72" s="52">
        <f>SUMIF(BTS_매출관리!C:C,B72,BTS_매출관리!I:I)</f>
        <v>0</v>
      </c>
      <c r="D72">
        <f t="shared" si="1"/>
        <v>43</v>
      </c>
    </row>
    <row r="73" spans="2:5" x14ac:dyDescent="0.3">
      <c r="B73" t="s">
        <v>1611</v>
      </c>
      <c r="C73" s="300">
        <f>SUMIF(BTS_매출관리!C:C,B73,BTS_매출관리!I:I)</f>
        <v>0</v>
      </c>
      <c r="D73">
        <f t="shared" si="1"/>
        <v>43</v>
      </c>
    </row>
    <row r="74" spans="2:5" x14ac:dyDescent="0.3">
      <c r="B74" t="s">
        <v>2757</v>
      </c>
      <c r="C74" s="52">
        <f>SUMIF(BTS_매출관리!C:C,B74,BTS_매출관리!I:I)</f>
        <v>0</v>
      </c>
      <c r="D74">
        <f t="shared" si="1"/>
        <v>43</v>
      </c>
    </row>
    <row r="75" spans="2:5" x14ac:dyDescent="0.3">
      <c r="B75" t="s">
        <v>1571</v>
      </c>
      <c r="C75" s="300">
        <f>SUMIF(BTS_매출관리!C:C,B75,BTS_매출관리!I:I)</f>
        <v>0</v>
      </c>
      <c r="D75">
        <f t="shared" si="1"/>
        <v>43</v>
      </c>
    </row>
    <row r="76" spans="2:5" x14ac:dyDescent="0.3">
      <c r="B76" t="s">
        <v>3544</v>
      </c>
      <c r="C76" s="52">
        <f>SUMIF(BTS_매출관리!C:C,B76,BTS_매출관리!I:I)</f>
        <v>0</v>
      </c>
      <c r="D76">
        <f t="shared" si="1"/>
        <v>43</v>
      </c>
    </row>
    <row r="77" spans="2:5" x14ac:dyDescent="0.3">
      <c r="B77" t="s">
        <v>1328</v>
      </c>
      <c r="C77" s="52">
        <f>SUMIF(BTS_매출관리!C:C,B77,BTS_매출관리!I:I)</f>
        <v>0</v>
      </c>
      <c r="D77">
        <f t="shared" si="1"/>
        <v>43</v>
      </c>
    </row>
    <row r="78" spans="2:5" x14ac:dyDescent="0.3">
      <c r="B78" t="s">
        <v>1904</v>
      </c>
      <c r="C78" s="300">
        <f>SUMIF(BTS_매출관리!C:C,B78,BTS_매출관리!I:I)</f>
        <v>0</v>
      </c>
      <c r="D78">
        <f t="shared" si="1"/>
        <v>43</v>
      </c>
    </row>
    <row r="79" spans="2:5" x14ac:dyDescent="0.3">
      <c r="B79" t="s">
        <v>2258</v>
      </c>
      <c r="C79" s="52">
        <f>SUMIF(BTS_매출관리!C:C,B79,BTS_매출관리!I:I)</f>
        <v>0</v>
      </c>
      <c r="D79">
        <f t="shared" si="1"/>
        <v>43</v>
      </c>
    </row>
    <row r="80" spans="2:5" x14ac:dyDescent="0.3">
      <c r="B80" t="s">
        <v>3635</v>
      </c>
      <c r="C80" s="52">
        <f>SUMIF(BTS_매출관리!C:C,B80,BTS_매출관리!I:I)</f>
        <v>0</v>
      </c>
      <c r="D80">
        <f t="shared" si="1"/>
        <v>43</v>
      </c>
    </row>
    <row r="81" spans="2:4" x14ac:dyDescent="0.3">
      <c r="B81" t="s">
        <v>1283</v>
      </c>
      <c r="C81" s="300">
        <f>SUMIF(BTS_매출관리!C:C,B81,BTS_매출관리!I:I)</f>
        <v>0</v>
      </c>
      <c r="D81">
        <f t="shared" si="1"/>
        <v>43</v>
      </c>
    </row>
    <row r="82" spans="2:4" x14ac:dyDescent="0.3">
      <c r="B82" t="s">
        <v>2869</v>
      </c>
      <c r="C82" s="52">
        <f>SUMIF(BTS_매출관리!C:C,B82,BTS_매출관리!I:I)</f>
        <v>0</v>
      </c>
      <c r="D82">
        <f t="shared" si="1"/>
        <v>43</v>
      </c>
    </row>
    <row r="83" spans="2:4" x14ac:dyDescent="0.3">
      <c r="B83" t="s">
        <v>2365</v>
      </c>
      <c r="C83" s="52">
        <f>SUMIF(BTS_매출관리!C:C,B83,BTS_매출관리!I:I)</f>
        <v>0</v>
      </c>
      <c r="D83">
        <f t="shared" si="1"/>
        <v>43</v>
      </c>
    </row>
    <row r="84" spans="2:4" x14ac:dyDescent="0.3">
      <c r="B84" t="s">
        <v>1339</v>
      </c>
      <c r="C84" s="52">
        <f>SUMIF(BTS_매출관리!C:C,B84,BTS_매출관리!I:I)</f>
        <v>0</v>
      </c>
      <c r="D84">
        <f t="shared" si="1"/>
        <v>43</v>
      </c>
    </row>
    <row r="85" spans="2:4" x14ac:dyDescent="0.3">
      <c r="B85" t="s">
        <v>2890</v>
      </c>
      <c r="C85" s="52">
        <f>SUMIF(BTS_매출관리!C:C,B85,BTS_매출관리!I:I)</f>
        <v>0</v>
      </c>
      <c r="D85">
        <f t="shared" si="1"/>
        <v>43</v>
      </c>
    </row>
    <row r="86" spans="2:4" x14ac:dyDescent="0.3">
      <c r="B86" t="s">
        <v>1305</v>
      </c>
      <c r="C86" s="300">
        <f>SUMIF(BTS_매출관리!C:C,B86,BTS_매출관리!I:I)</f>
        <v>0</v>
      </c>
      <c r="D86">
        <f t="shared" si="1"/>
        <v>43</v>
      </c>
    </row>
    <row r="87" spans="2:4" x14ac:dyDescent="0.3">
      <c r="B87" t="s">
        <v>1228</v>
      </c>
      <c r="C87" s="52">
        <f>SUMIF(BTS_매출관리!C:C,B87,BTS_매출관리!I:I)</f>
        <v>0</v>
      </c>
      <c r="D87">
        <f t="shared" si="1"/>
        <v>43</v>
      </c>
    </row>
    <row r="88" spans="2:4" x14ac:dyDescent="0.3">
      <c r="B88" t="s">
        <v>1292</v>
      </c>
      <c r="C88" s="300">
        <f>SUMIF(BTS_매출관리!C:C,B88,BTS_매출관리!I:I)</f>
        <v>0</v>
      </c>
      <c r="D88">
        <f t="shared" si="1"/>
        <v>43</v>
      </c>
    </row>
    <row r="89" spans="2:4" x14ac:dyDescent="0.3">
      <c r="B89" t="s">
        <v>2307</v>
      </c>
      <c r="C89" s="52">
        <f>SUMIF(BTS_매출관리!C:C,B89,BTS_매출관리!I:I)</f>
        <v>0</v>
      </c>
      <c r="D89">
        <f t="shared" si="1"/>
        <v>43</v>
      </c>
    </row>
    <row r="90" spans="2:4" x14ac:dyDescent="0.3">
      <c r="B90" t="s">
        <v>2017</v>
      </c>
      <c r="C90" s="52">
        <f>SUMIF(BTS_매출관리!C:C,B90,BTS_매출관리!I:I)</f>
        <v>0</v>
      </c>
      <c r="D90">
        <f t="shared" si="1"/>
        <v>43</v>
      </c>
    </row>
    <row r="91" spans="2:4" x14ac:dyDescent="0.3">
      <c r="B91" t="s">
        <v>1275</v>
      </c>
      <c r="C91" s="300">
        <f>SUMIF(BTS_매출관리!C:C,B91,BTS_매출관리!I:I)</f>
        <v>0</v>
      </c>
      <c r="D91">
        <f t="shared" si="1"/>
        <v>43</v>
      </c>
    </row>
    <row r="92" spans="2:4" x14ac:dyDescent="0.3">
      <c r="B92" t="s">
        <v>2789</v>
      </c>
      <c r="C92" s="52">
        <f>SUMIF(BTS_매출관리!C:C,B92,BTS_매출관리!I:I)</f>
        <v>0</v>
      </c>
      <c r="D92">
        <f t="shared" si="1"/>
        <v>43</v>
      </c>
    </row>
    <row r="93" spans="2:4" x14ac:dyDescent="0.3">
      <c r="B93" t="s">
        <v>1294</v>
      </c>
      <c r="C93" s="300">
        <f>SUMIF(BTS_매출관리!C:C,B93,BTS_매출관리!I:I)</f>
        <v>0</v>
      </c>
      <c r="D93">
        <f t="shared" si="1"/>
        <v>43</v>
      </c>
    </row>
    <row r="94" spans="2:4" x14ac:dyDescent="0.3">
      <c r="B94" t="s">
        <v>2762</v>
      </c>
      <c r="C94" s="52">
        <f>SUMIF(BTS_매출관리!C:C,B94,BTS_매출관리!I:I)</f>
        <v>0</v>
      </c>
      <c r="D94">
        <f t="shared" si="1"/>
        <v>43</v>
      </c>
    </row>
    <row r="95" spans="2:4" x14ac:dyDescent="0.3">
      <c r="B95" t="s">
        <v>2704</v>
      </c>
      <c r="C95" s="52">
        <f>SUMIF(BTS_매출관리!C:C,B95,BTS_매출관리!I:I)</f>
        <v>0</v>
      </c>
      <c r="D95">
        <f t="shared" si="1"/>
        <v>43</v>
      </c>
    </row>
    <row r="96" spans="2:4" x14ac:dyDescent="0.3">
      <c r="B96" t="s">
        <v>2896</v>
      </c>
      <c r="C96" s="52">
        <f>SUMIF(BTS_매출관리!C:C,B96,BTS_매출관리!I:I)</f>
        <v>0</v>
      </c>
      <c r="D96">
        <f t="shared" si="1"/>
        <v>43</v>
      </c>
    </row>
    <row r="97" spans="2:4" x14ac:dyDescent="0.3">
      <c r="B97" t="s">
        <v>1007</v>
      </c>
      <c r="C97" s="52">
        <f>SUMIF(BTS_매출관리!C:C,B97,BTS_매출관리!I:I)</f>
        <v>0</v>
      </c>
      <c r="D97">
        <f t="shared" si="1"/>
        <v>43</v>
      </c>
    </row>
    <row r="98" spans="2:4" x14ac:dyDescent="0.3">
      <c r="B98" t="s">
        <v>2742</v>
      </c>
      <c r="C98" s="52">
        <f>SUMIF(BTS_매출관리!C:C,B98,BTS_매출관리!I:I)</f>
        <v>0</v>
      </c>
      <c r="D98">
        <f t="shared" si="1"/>
        <v>43</v>
      </c>
    </row>
    <row r="99" spans="2:4" x14ac:dyDescent="0.3">
      <c r="B99" t="s">
        <v>2095</v>
      </c>
      <c r="C99" s="52">
        <f>SUMIF(BTS_매출관리!C:C,B99,BTS_매출관리!I:I)</f>
        <v>0</v>
      </c>
      <c r="D99">
        <f t="shared" si="1"/>
        <v>43</v>
      </c>
    </row>
    <row r="100" spans="2:4" x14ac:dyDescent="0.3">
      <c r="B100" t="s">
        <v>1285</v>
      </c>
      <c r="C100" s="300">
        <f>SUMIF(BTS_매출관리!C:C,B100,BTS_매출관리!I:I)</f>
        <v>0</v>
      </c>
      <c r="D100">
        <f t="shared" si="1"/>
        <v>43</v>
      </c>
    </row>
    <row r="101" spans="2:4" x14ac:dyDescent="0.3">
      <c r="B101" t="s">
        <v>2769</v>
      </c>
      <c r="C101" s="52">
        <f>SUMIF(BTS_매출관리!C:C,B101,BTS_매출관리!I:I)</f>
        <v>0</v>
      </c>
      <c r="D101">
        <f t="shared" si="1"/>
        <v>43</v>
      </c>
    </row>
    <row r="102" spans="2:4" x14ac:dyDescent="0.3">
      <c r="B102" t="s">
        <v>2935</v>
      </c>
      <c r="C102" s="52">
        <f>SUMIF(BTS_매출관리!C:C,B102,BTS_매출관리!I:I)</f>
        <v>0</v>
      </c>
      <c r="D102">
        <f t="shared" si="1"/>
        <v>43</v>
      </c>
    </row>
    <row r="103" spans="2:4" x14ac:dyDescent="0.3">
      <c r="B103" t="s">
        <v>3029</v>
      </c>
      <c r="C103" s="52">
        <f>SUMIF(BTS_매출관리!C:C,B103,BTS_매출관리!I:I)</f>
        <v>0</v>
      </c>
      <c r="D103">
        <f t="shared" si="1"/>
        <v>43</v>
      </c>
    </row>
    <row r="104" spans="2:4" x14ac:dyDescent="0.3">
      <c r="B104" t="s">
        <v>1234</v>
      </c>
      <c r="C104" s="300">
        <f>SUMIF(BTS_매출관리!C:C,B104,BTS_매출관리!I:I)</f>
        <v>0</v>
      </c>
      <c r="D104">
        <f t="shared" si="1"/>
        <v>43</v>
      </c>
    </row>
    <row r="105" spans="2:4" x14ac:dyDescent="0.3">
      <c r="B105" t="s">
        <v>2942</v>
      </c>
      <c r="C105" s="52">
        <f>SUMIF(BTS_매출관리!C:C,B105,BTS_매출관리!I:I)</f>
        <v>0</v>
      </c>
      <c r="D105">
        <f t="shared" si="1"/>
        <v>43</v>
      </c>
    </row>
    <row r="106" spans="2:4" x14ac:dyDescent="0.3">
      <c r="B106" t="s">
        <v>2133</v>
      </c>
      <c r="C106" s="52">
        <f>SUMIF(BTS_매출관리!C:C,B106,BTS_매출관리!I:I)</f>
        <v>0</v>
      </c>
      <c r="D106">
        <f t="shared" si="1"/>
        <v>43</v>
      </c>
    </row>
    <row r="107" spans="2:4" x14ac:dyDescent="0.3">
      <c r="B107" t="s">
        <v>2148</v>
      </c>
      <c r="C107" s="52">
        <f>SUMIF(BTS_매출관리!C:C,B107,BTS_매출관리!I:I)</f>
        <v>0</v>
      </c>
      <c r="D107">
        <f t="shared" si="1"/>
        <v>43</v>
      </c>
    </row>
    <row r="108" spans="2:4" x14ac:dyDescent="0.3">
      <c r="B108" t="s">
        <v>2039</v>
      </c>
      <c r="C108" s="52">
        <f>SUMIF(BTS_매출관리!C:C,B108,BTS_매출관리!I:I)</f>
        <v>0</v>
      </c>
      <c r="D108">
        <f t="shared" si="1"/>
        <v>43</v>
      </c>
    </row>
    <row r="109" spans="2:4" x14ac:dyDescent="0.3">
      <c r="B109" t="s">
        <v>1191</v>
      </c>
      <c r="C109" s="52">
        <f>SUMIF(BTS_매출관리!C:C,B109,BTS_매출관리!I:I)</f>
        <v>1750000</v>
      </c>
      <c r="D109">
        <f t="shared" si="1"/>
        <v>13</v>
      </c>
    </row>
    <row r="110" spans="2:4" x14ac:dyDescent="0.3">
      <c r="B110" t="s">
        <v>1238</v>
      </c>
      <c r="C110" s="52">
        <f>SUMIF(BTS_매출관리!C:C,B110,BTS_매출관리!I:I)</f>
        <v>0</v>
      </c>
      <c r="D110">
        <f t="shared" si="1"/>
        <v>43</v>
      </c>
    </row>
    <row r="111" spans="2:4" x14ac:dyDescent="0.3">
      <c r="B111" t="s">
        <v>1329</v>
      </c>
      <c r="C111" s="52">
        <f>SUMIF(BTS_매출관리!C:C,B111,BTS_매출관리!I:I)</f>
        <v>0</v>
      </c>
      <c r="D111">
        <f t="shared" si="1"/>
        <v>43</v>
      </c>
    </row>
    <row r="112" spans="2:4" x14ac:dyDescent="0.3">
      <c r="B112" t="s">
        <v>1360</v>
      </c>
      <c r="C112" s="52">
        <f>SUMIF(BTS_매출관리!C:C,B112,BTS_매출관리!I:I)</f>
        <v>0</v>
      </c>
      <c r="D112">
        <f t="shared" si="1"/>
        <v>43</v>
      </c>
    </row>
    <row r="113" spans="2:4" x14ac:dyDescent="0.3">
      <c r="B113" t="s">
        <v>3187</v>
      </c>
      <c r="C113" s="52">
        <f>SUMIF(BTS_매출관리!C:C,B113,BTS_매출관리!I:I)</f>
        <v>0</v>
      </c>
      <c r="D113">
        <f t="shared" si="1"/>
        <v>43</v>
      </c>
    </row>
    <row r="114" spans="2:4" x14ac:dyDescent="0.3">
      <c r="B114" t="s">
        <v>1658</v>
      </c>
      <c r="C114" s="52">
        <f>SUMIF(BTS_매출관리!C:C,B114,BTS_매출관리!I:I)</f>
        <v>0</v>
      </c>
      <c r="D114">
        <f t="shared" si="1"/>
        <v>43</v>
      </c>
    </row>
    <row r="115" spans="2:4" x14ac:dyDescent="0.3">
      <c r="B115" t="s">
        <v>1316</v>
      </c>
      <c r="C115" s="52">
        <f>SUMIF(BTS_매출관리!C:C,B115,BTS_매출관리!I:I)</f>
        <v>0</v>
      </c>
      <c r="D115">
        <f t="shared" si="1"/>
        <v>43</v>
      </c>
    </row>
    <row r="116" spans="2:4" x14ac:dyDescent="0.3">
      <c r="B116" t="s">
        <v>1278</v>
      </c>
      <c r="C116" s="300">
        <f>SUMIF(BTS_매출관리!C:C,B116,BTS_매출관리!I:I)</f>
        <v>0</v>
      </c>
      <c r="D116">
        <f t="shared" si="1"/>
        <v>43</v>
      </c>
    </row>
    <row r="117" spans="2:4" x14ac:dyDescent="0.3">
      <c r="B117" t="s">
        <v>1319</v>
      </c>
      <c r="C117" s="52">
        <f>SUMIF(BTS_매출관리!C:C,B117,BTS_매출관리!I:I)</f>
        <v>200000</v>
      </c>
      <c r="D117">
        <f t="shared" si="1"/>
        <v>37</v>
      </c>
    </row>
    <row r="118" spans="2:4" x14ac:dyDescent="0.3">
      <c r="B118" t="s">
        <v>2592</v>
      </c>
      <c r="C118" s="300">
        <f>SUMIF(BTS_매출관리!C:C,B118,BTS_매출관리!I:I)</f>
        <v>0</v>
      </c>
      <c r="D118">
        <f t="shared" si="1"/>
        <v>43</v>
      </c>
    </row>
    <row r="119" spans="2:4" x14ac:dyDescent="0.3">
      <c r="B119" t="s">
        <v>1308</v>
      </c>
      <c r="C119" s="300">
        <f>SUMIF(BTS_매출관리!C:C,B119,BTS_매출관리!I:I)</f>
        <v>0</v>
      </c>
      <c r="D119">
        <f t="shared" si="1"/>
        <v>43</v>
      </c>
    </row>
    <row r="120" spans="2:4" x14ac:dyDescent="0.3">
      <c r="B120" t="s">
        <v>3077</v>
      </c>
      <c r="C120" s="52">
        <f>SUMIF(BTS_매출관리!C:C,B120,BTS_매출관리!I:I)</f>
        <v>0</v>
      </c>
      <c r="D120">
        <f t="shared" si="1"/>
        <v>43</v>
      </c>
    </row>
    <row r="121" spans="2:4" x14ac:dyDescent="0.3">
      <c r="B121" t="s">
        <v>1348</v>
      </c>
      <c r="C121" s="52">
        <f>SUMIF(BTS_매출관리!C:C,B121,BTS_매출관리!I:I)</f>
        <v>0</v>
      </c>
      <c r="D121">
        <f t="shared" si="1"/>
        <v>43</v>
      </c>
    </row>
    <row r="122" spans="2:4" x14ac:dyDescent="0.3">
      <c r="B122" t="s">
        <v>1322</v>
      </c>
      <c r="C122" s="52">
        <f>SUMIF(BTS_매출관리!C:C,B122,BTS_매출관리!I:I)</f>
        <v>0</v>
      </c>
      <c r="D122">
        <f t="shared" si="1"/>
        <v>43</v>
      </c>
    </row>
    <row r="123" spans="2:4" x14ac:dyDescent="0.3">
      <c r="B123" t="s">
        <v>1156</v>
      </c>
      <c r="C123" s="52">
        <f>SUMIF(BTS_매출관리!C:C,B123,BTS_매출관리!I:I)</f>
        <v>0</v>
      </c>
      <c r="D123">
        <f t="shared" si="1"/>
        <v>43</v>
      </c>
    </row>
    <row r="124" spans="2:4" x14ac:dyDescent="0.3">
      <c r="B124" t="s">
        <v>2034</v>
      </c>
      <c r="C124" s="52">
        <f>SUMIF(BTS_매출관리!C:C,B124,BTS_매출관리!I:I)</f>
        <v>0</v>
      </c>
      <c r="D124">
        <f t="shared" si="1"/>
        <v>43</v>
      </c>
    </row>
    <row r="125" spans="2:4" x14ac:dyDescent="0.3">
      <c r="B125" t="s">
        <v>3462</v>
      </c>
      <c r="C125" s="52">
        <f>SUMIF(BTS_매출관리!C:C,B125,BTS_매출관리!I:I)</f>
        <v>0</v>
      </c>
      <c r="D125">
        <f t="shared" si="1"/>
        <v>43</v>
      </c>
    </row>
    <row r="126" spans="2:4" x14ac:dyDescent="0.3">
      <c r="B126" t="s">
        <v>2873</v>
      </c>
      <c r="C126" s="52">
        <f>SUMIF(BTS_매출관리!C:C,B126,BTS_매출관리!I:I)</f>
        <v>0</v>
      </c>
      <c r="D126">
        <f t="shared" si="1"/>
        <v>43</v>
      </c>
    </row>
    <row r="127" spans="2:4" x14ac:dyDescent="0.3">
      <c r="B127" t="s">
        <v>3021</v>
      </c>
      <c r="C127" s="52">
        <f>SUMIF(BTS_매출관리!C:C,B127,BTS_매출관리!I:I)</f>
        <v>0</v>
      </c>
      <c r="D127">
        <f t="shared" si="1"/>
        <v>43</v>
      </c>
    </row>
    <row r="128" spans="2:4" x14ac:dyDescent="0.3">
      <c r="B128" t="s">
        <v>3576</v>
      </c>
      <c r="C128" s="52">
        <f>SUMIF(BTS_매출관리!C:C,B128,BTS_매출관리!I:I)</f>
        <v>0</v>
      </c>
      <c r="D128">
        <f t="shared" si="1"/>
        <v>43</v>
      </c>
    </row>
    <row r="129" spans="2:4" x14ac:dyDescent="0.3">
      <c r="B129" t="s">
        <v>1323</v>
      </c>
      <c r="C129" s="52">
        <f>SUMIF(BTS_매출관리!C:C,B129,BTS_매출관리!I:I)</f>
        <v>0</v>
      </c>
      <c r="D129">
        <f t="shared" si="1"/>
        <v>43</v>
      </c>
    </row>
    <row r="130" spans="2:4" x14ac:dyDescent="0.3">
      <c r="B130" t="s">
        <v>1188</v>
      </c>
      <c r="C130" s="52">
        <f>SUMIF(BTS_매출관리!C:C,B130,BTS_매출관리!I:I)</f>
        <v>0</v>
      </c>
      <c r="D130">
        <f t="shared" ref="D130:D193" si="2">RANK(C130,C:C,0)</f>
        <v>43</v>
      </c>
    </row>
    <row r="131" spans="2:4" x14ac:dyDescent="0.3">
      <c r="B131" t="s">
        <v>2809</v>
      </c>
      <c r="C131" s="52">
        <f>SUMIF(BTS_매출관리!C:C,B131,BTS_매출관리!I:I)</f>
        <v>0</v>
      </c>
      <c r="D131">
        <f t="shared" si="2"/>
        <v>43</v>
      </c>
    </row>
    <row r="132" spans="2:4" x14ac:dyDescent="0.3">
      <c r="B132" t="s">
        <v>3210</v>
      </c>
      <c r="C132" s="52">
        <f>SUMIF(BTS_매출관리!C:C,B132,BTS_매출관리!I:I)</f>
        <v>0</v>
      </c>
      <c r="D132">
        <f t="shared" si="2"/>
        <v>43</v>
      </c>
    </row>
    <row r="133" spans="2:4" x14ac:dyDescent="0.3">
      <c r="B133" t="s">
        <v>2381</v>
      </c>
      <c r="C133" s="52">
        <f>SUMIF(BTS_매출관리!C:C,B133,BTS_매출관리!I:I)</f>
        <v>0</v>
      </c>
      <c r="D133">
        <f t="shared" si="2"/>
        <v>43</v>
      </c>
    </row>
    <row r="134" spans="2:4" x14ac:dyDescent="0.3">
      <c r="B134" t="s">
        <v>1301</v>
      </c>
      <c r="C134" s="300">
        <f>SUMIF(BTS_매출관리!C:C,B134,BTS_매출관리!I:I)</f>
        <v>0</v>
      </c>
      <c r="D134">
        <f t="shared" si="2"/>
        <v>43</v>
      </c>
    </row>
    <row r="135" spans="2:4" x14ac:dyDescent="0.3">
      <c r="B135" t="s">
        <v>2491</v>
      </c>
      <c r="C135" s="52">
        <f>SUMIF(BTS_매출관리!C:C,B135,BTS_매출관리!I:I)</f>
        <v>0</v>
      </c>
      <c r="D135">
        <f t="shared" si="2"/>
        <v>43</v>
      </c>
    </row>
    <row r="136" spans="2:4" x14ac:dyDescent="0.3">
      <c r="B136" t="s">
        <v>1297</v>
      </c>
      <c r="C136" s="300">
        <f>SUMIF(BTS_매출관리!C:C,B136,BTS_매출관리!I:I)</f>
        <v>0</v>
      </c>
      <c r="D136">
        <f t="shared" si="2"/>
        <v>43</v>
      </c>
    </row>
    <row r="137" spans="2:4" x14ac:dyDescent="0.3">
      <c r="B137" t="s">
        <v>2468</v>
      </c>
      <c r="C137" s="52">
        <f>SUMIF(BTS_매출관리!C:C,B137,BTS_매출관리!I:I)</f>
        <v>0</v>
      </c>
      <c r="D137">
        <f t="shared" si="2"/>
        <v>43</v>
      </c>
    </row>
    <row r="138" spans="2:4" x14ac:dyDescent="0.3">
      <c r="B138" t="s">
        <v>1314</v>
      </c>
      <c r="C138" s="300">
        <f>SUMIF(BTS_매출관리!C:C,B138,BTS_매출관리!I:I)</f>
        <v>0</v>
      </c>
      <c r="D138">
        <f t="shared" si="2"/>
        <v>43</v>
      </c>
    </row>
    <row r="139" spans="2:4" x14ac:dyDescent="0.3">
      <c r="B139" t="s">
        <v>1318</v>
      </c>
      <c r="C139" s="52">
        <f>SUMIF(BTS_매출관리!C:C,B139,BTS_매출관리!I:I)</f>
        <v>0</v>
      </c>
      <c r="D139">
        <f t="shared" si="2"/>
        <v>43</v>
      </c>
    </row>
    <row r="140" spans="2:4" x14ac:dyDescent="0.3">
      <c r="B140" t="s">
        <v>1344</v>
      </c>
      <c r="C140" s="52">
        <f>SUMIF(BTS_매출관리!C:C,B140,BTS_매출관리!I:I)</f>
        <v>0</v>
      </c>
      <c r="D140">
        <f t="shared" si="2"/>
        <v>43</v>
      </c>
    </row>
    <row r="141" spans="2:4" x14ac:dyDescent="0.3">
      <c r="B141" t="s">
        <v>1354</v>
      </c>
      <c r="C141" s="52">
        <f>SUMIF(BTS_매출관리!C:C,B141,BTS_매출관리!I:I)</f>
        <v>0</v>
      </c>
      <c r="D141">
        <f t="shared" si="2"/>
        <v>43</v>
      </c>
    </row>
    <row r="142" spans="2:4" x14ac:dyDescent="0.3">
      <c r="B142" t="s">
        <v>3151</v>
      </c>
      <c r="C142" s="52">
        <f>SUMIF(BTS_매출관리!C:C,B142,BTS_매출관리!I:I)</f>
        <v>0</v>
      </c>
      <c r="D142">
        <f t="shared" si="2"/>
        <v>43</v>
      </c>
    </row>
    <row r="143" spans="2:4" x14ac:dyDescent="0.3">
      <c r="B143" t="s">
        <v>3458</v>
      </c>
      <c r="C143" s="52">
        <f>SUMIF(BTS_매출관리!C:C,B143,BTS_매출관리!I:I)</f>
        <v>0</v>
      </c>
      <c r="D143">
        <f t="shared" si="2"/>
        <v>43</v>
      </c>
    </row>
    <row r="144" spans="2:4" x14ac:dyDescent="0.3">
      <c r="B144" t="s">
        <v>2053</v>
      </c>
      <c r="C144" s="52">
        <f>SUMIF(BTS_매출관리!C:C,B144,BTS_매출관리!I:I)</f>
        <v>0</v>
      </c>
      <c r="D144">
        <f t="shared" si="2"/>
        <v>43</v>
      </c>
    </row>
    <row r="145" spans="2:4" x14ac:dyDescent="0.3">
      <c r="B145" t="s">
        <v>3451</v>
      </c>
      <c r="C145" s="52">
        <f>SUMIF(BTS_매출관리!C:C,B145,BTS_매출관리!I:I)</f>
        <v>0</v>
      </c>
      <c r="D145">
        <f t="shared" si="2"/>
        <v>43</v>
      </c>
    </row>
    <row r="146" spans="2:4" x14ac:dyDescent="0.3">
      <c r="B146" t="s">
        <v>3503</v>
      </c>
      <c r="C146" s="52">
        <f>SUMIF(BTS_매출관리!C:C,B146,BTS_매출관리!I:I)</f>
        <v>0</v>
      </c>
      <c r="D146">
        <f t="shared" si="2"/>
        <v>43</v>
      </c>
    </row>
    <row r="147" spans="2:4" x14ac:dyDescent="0.3">
      <c r="B147" t="s">
        <v>2964</v>
      </c>
      <c r="C147" s="52">
        <f>SUMIF(BTS_매출관리!C:C,B147,BTS_매출관리!I:I)</f>
        <v>0</v>
      </c>
      <c r="D147">
        <f t="shared" si="2"/>
        <v>43</v>
      </c>
    </row>
    <row r="148" spans="2:4" x14ac:dyDescent="0.3">
      <c r="B148" t="s">
        <v>3727</v>
      </c>
      <c r="C148" s="52">
        <f>SUMIF(BTS_매출관리!C:C,B148,BTS_매출관리!I:I)</f>
        <v>0</v>
      </c>
      <c r="D148">
        <f t="shared" si="2"/>
        <v>43</v>
      </c>
    </row>
    <row r="149" spans="2:4" x14ac:dyDescent="0.3">
      <c r="B149" t="s">
        <v>2633</v>
      </c>
      <c r="C149" s="52">
        <f>SUMIF(BTS_매출관리!C:C,B149,BTS_매출관리!I:I)</f>
        <v>0</v>
      </c>
      <c r="D149">
        <f t="shared" si="2"/>
        <v>43</v>
      </c>
    </row>
    <row r="150" spans="2:4" x14ac:dyDescent="0.3">
      <c r="B150" t="s">
        <v>2277</v>
      </c>
      <c r="C150" s="52">
        <f>SUMIF(BTS_매출관리!C:C,B150,BTS_매출관리!I:I)</f>
        <v>0</v>
      </c>
      <c r="D150">
        <f t="shared" si="2"/>
        <v>43</v>
      </c>
    </row>
    <row r="151" spans="2:4" x14ac:dyDescent="0.3">
      <c r="B151" t="s">
        <v>3349</v>
      </c>
      <c r="C151" s="52">
        <f>SUMIF(BTS_매출관리!C:C,B151,BTS_매출관리!I:I)</f>
        <v>0</v>
      </c>
      <c r="D151">
        <f t="shared" si="2"/>
        <v>43</v>
      </c>
    </row>
    <row r="152" spans="2:4" x14ac:dyDescent="0.3">
      <c r="B152" t="s">
        <v>1277</v>
      </c>
      <c r="C152" s="300">
        <f>SUMIF(BTS_매출관리!C:C,B152,BTS_매출관리!I:I)</f>
        <v>0</v>
      </c>
      <c r="D152">
        <f t="shared" si="2"/>
        <v>43</v>
      </c>
    </row>
    <row r="153" spans="2:4" x14ac:dyDescent="0.3">
      <c r="B153" t="s">
        <v>1310</v>
      </c>
      <c r="C153" s="300">
        <f>SUMIF(BTS_매출관리!C:C,B153,BTS_매출관리!I:I)</f>
        <v>0</v>
      </c>
      <c r="D153">
        <f t="shared" si="2"/>
        <v>43</v>
      </c>
    </row>
    <row r="154" spans="2:4" x14ac:dyDescent="0.3">
      <c r="B154" t="s">
        <v>3263</v>
      </c>
      <c r="C154" s="52">
        <f>SUMIF(BTS_매출관리!C:C,B154,BTS_매출관리!I:I)</f>
        <v>0</v>
      </c>
      <c r="D154">
        <f t="shared" si="2"/>
        <v>43</v>
      </c>
    </row>
    <row r="155" spans="2:4" x14ac:dyDescent="0.3">
      <c r="B155" t="s">
        <v>1838</v>
      </c>
      <c r="C155" s="52">
        <f>SUMIF(BTS_매출관리!C:C,B155,BTS_매출관리!I:I)</f>
        <v>0</v>
      </c>
      <c r="D155">
        <f t="shared" si="2"/>
        <v>43</v>
      </c>
    </row>
    <row r="156" spans="2:4" x14ac:dyDescent="0.3">
      <c r="B156" t="s">
        <v>2732</v>
      </c>
      <c r="C156" s="52">
        <f>SUMIF(BTS_매출관리!C:C,B156,BTS_매출관리!I:I)</f>
        <v>0</v>
      </c>
      <c r="D156">
        <f t="shared" si="2"/>
        <v>43</v>
      </c>
    </row>
    <row r="157" spans="2:4" x14ac:dyDescent="0.3">
      <c r="B157" t="s">
        <v>3183</v>
      </c>
      <c r="C157" s="52">
        <f>SUMIF(BTS_매출관리!C:C,B157,BTS_매출관리!I:I)</f>
        <v>0</v>
      </c>
      <c r="D157">
        <f t="shared" si="2"/>
        <v>43</v>
      </c>
    </row>
    <row r="158" spans="2:4" x14ac:dyDescent="0.3">
      <c r="B158" t="s">
        <v>1335</v>
      </c>
      <c r="C158" s="52">
        <f>SUMIF(BTS_매출관리!C:C,B158,BTS_매출관리!I:I)</f>
        <v>0</v>
      </c>
      <c r="D158">
        <f t="shared" si="2"/>
        <v>43</v>
      </c>
    </row>
    <row r="159" spans="2:4" x14ac:dyDescent="0.3">
      <c r="B159" t="s">
        <v>1291</v>
      </c>
      <c r="C159" s="52">
        <f>SUMIF(BTS_매출관리!C:C,B159,BTS_매출관리!I:I)</f>
        <v>0</v>
      </c>
      <c r="D159">
        <f t="shared" si="2"/>
        <v>43</v>
      </c>
    </row>
    <row r="160" spans="2:4" x14ac:dyDescent="0.3">
      <c r="B160" t="s">
        <v>1282</v>
      </c>
      <c r="C160" s="52">
        <f>SUMIF(BTS_매출관리!C:C,B160,BTS_매출관리!I:I)</f>
        <v>0</v>
      </c>
      <c r="D160">
        <f t="shared" si="2"/>
        <v>43</v>
      </c>
    </row>
    <row r="161" spans="2:4" x14ac:dyDescent="0.3">
      <c r="B161" t="s">
        <v>1286</v>
      </c>
      <c r="C161" s="52">
        <f>SUMIF(BTS_매출관리!C:C,B161,BTS_매출관리!I:I)</f>
        <v>0</v>
      </c>
      <c r="D161">
        <f t="shared" si="2"/>
        <v>43</v>
      </c>
    </row>
    <row r="162" spans="2:4" x14ac:dyDescent="0.3">
      <c r="B162" t="s">
        <v>1293</v>
      </c>
      <c r="C162" s="52">
        <f>SUMIF(BTS_매출관리!C:C,B162,BTS_매출관리!I:I)</f>
        <v>0</v>
      </c>
      <c r="D162">
        <f t="shared" si="2"/>
        <v>43</v>
      </c>
    </row>
    <row r="163" spans="2:4" x14ac:dyDescent="0.3">
      <c r="B163" t="s">
        <v>1077</v>
      </c>
      <c r="C163" s="52">
        <f>SUMIF(BTS_매출관리!C:C,B163,BTS_매출관리!I:I)</f>
        <v>0</v>
      </c>
      <c r="D163">
        <f t="shared" si="2"/>
        <v>43</v>
      </c>
    </row>
    <row r="164" spans="2:4" x14ac:dyDescent="0.3">
      <c r="B164" t="s">
        <v>1300</v>
      </c>
      <c r="C164" s="52">
        <f>SUMIF(BTS_매출관리!C:C,B164,BTS_매출관리!I:I)</f>
        <v>0</v>
      </c>
      <c r="D164">
        <f t="shared" si="2"/>
        <v>43</v>
      </c>
    </row>
    <row r="165" spans="2:4" x14ac:dyDescent="0.3">
      <c r="B165" t="s">
        <v>1304</v>
      </c>
      <c r="C165" s="52">
        <f>SUMIF(BTS_매출관리!C:C,B165,BTS_매출관리!I:I)</f>
        <v>0</v>
      </c>
      <c r="D165">
        <f t="shared" si="2"/>
        <v>43</v>
      </c>
    </row>
    <row r="166" spans="2:4" x14ac:dyDescent="0.3">
      <c r="B166" t="s">
        <v>1012</v>
      </c>
      <c r="C166" s="52">
        <f>SUMIF(BTS_매출관리!C:C,B166,BTS_매출관리!I:I)</f>
        <v>0</v>
      </c>
      <c r="D166">
        <f t="shared" si="2"/>
        <v>43</v>
      </c>
    </row>
    <row r="167" spans="2:4" x14ac:dyDescent="0.3">
      <c r="B167" t="s">
        <v>1309</v>
      </c>
      <c r="C167" s="52">
        <f>SUMIF(BTS_매출관리!C:C,B167,BTS_매출관리!I:I)</f>
        <v>0</v>
      </c>
      <c r="D167">
        <f t="shared" si="2"/>
        <v>43</v>
      </c>
    </row>
    <row r="168" spans="2:4" x14ac:dyDescent="0.3">
      <c r="B168" t="s">
        <v>1311</v>
      </c>
      <c r="C168" s="52">
        <f>SUMIF(BTS_매출관리!C:C,B168,BTS_매출관리!I:I)</f>
        <v>0</v>
      </c>
      <c r="D168">
        <f t="shared" si="2"/>
        <v>43</v>
      </c>
    </row>
    <row r="169" spans="2:4" x14ac:dyDescent="0.3">
      <c r="B169" t="s">
        <v>1312</v>
      </c>
      <c r="C169" s="52">
        <f>SUMIF(BTS_매출관리!C:C,B169,BTS_매출관리!I:I)</f>
        <v>0</v>
      </c>
      <c r="D169">
        <f t="shared" si="2"/>
        <v>43</v>
      </c>
    </row>
    <row r="170" spans="2:4" x14ac:dyDescent="0.3">
      <c r="B170" t="s">
        <v>1089</v>
      </c>
      <c r="C170" s="52">
        <f>SUMIF(BTS_매출관리!C:C,B170,BTS_매출관리!I:I)</f>
        <v>0</v>
      </c>
      <c r="D170">
        <f t="shared" si="2"/>
        <v>43</v>
      </c>
    </row>
    <row r="171" spans="2:4" x14ac:dyDescent="0.3">
      <c r="B171" t="s">
        <v>997</v>
      </c>
      <c r="C171" s="52">
        <f>SUMIF(BTS_매출관리!C:C,B171,BTS_매출관리!I:I)</f>
        <v>0</v>
      </c>
      <c r="D171">
        <f t="shared" si="2"/>
        <v>43</v>
      </c>
    </row>
    <row r="172" spans="2:4" x14ac:dyDescent="0.3">
      <c r="B172" t="s">
        <v>1320</v>
      </c>
      <c r="C172" s="52">
        <f>SUMIF(BTS_매출관리!C:C,B172,BTS_매출관리!I:I)</f>
        <v>835000</v>
      </c>
      <c r="D172">
        <f t="shared" si="2"/>
        <v>30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43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43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43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43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43</v>
      </c>
    </row>
    <row r="178" spans="2:4" x14ac:dyDescent="0.3">
      <c r="B178" t="s">
        <v>1340</v>
      </c>
      <c r="C178" s="52">
        <f>SUMIF(BTS_매출관리!C:C,B178,BTS_매출관리!I:I)</f>
        <v>0</v>
      </c>
      <c r="D178">
        <f t="shared" si="2"/>
        <v>43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43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43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43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43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43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43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43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43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43</v>
      </c>
    </row>
    <row r="188" spans="2:4" x14ac:dyDescent="0.3">
      <c r="C188" s="52">
        <f>SUMIF(BTS_매출관리!C:C,B188,BTS_매출관리!I:I)</f>
        <v>0</v>
      </c>
      <c r="D188">
        <f t="shared" si="2"/>
        <v>43</v>
      </c>
    </row>
    <row r="189" spans="2:4" x14ac:dyDescent="0.3">
      <c r="C189" s="52">
        <f>SUMIF(BTS_매출관리!C:C,B189,BTS_매출관리!I:I)</f>
        <v>0</v>
      </c>
      <c r="D189">
        <f t="shared" si="2"/>
        <v>43</v>
      </c>
    </row>
    <row r="190" spans="2:4" x14ac:dyDescent="0.3">
      <c r="C190" s="52">
        <f>SUMIF(BTS_매출관리!C:C,B190,BTS_매출관리!I:I)</f>
        <v>0</v>
      </c>
      <c r="D190">
        <f t="shared" si="2"/>
        <v>43</v>
      </c>
    </row>
    <row r="191" spans="2:4" x14ac:dyDescent="0.3">
      <c r="C191" s="52">
        <f>SUMIF(BTS_매출관리!C:C,B191,BTS_매출관리!I:I)</f>
        <v>0</v>
      </c>
      <c r="D191">
        <f t="shared" si="2"/>
        <v>43</v>
      </c>
    </row>
    <row r="192" spans="2:4" x14ac:dyDescent="0.3">
      <c r="C192" s="52">
        <f>SUMIF(BTS_매출관리!C:C,B192,BTS_매출관리!I:I)</f>
        <v>0</v>
      </c>
      <c r="D192">
        <f t="shared" si="2"/>
        <v>43</v>
      </c>
    </row>
    <row r="193" spans="3:4" x14ac:dyDescent="0.3">
      <c r="C193" s="52">
        <f>SUMIF(BTS_매출관리!C:C,B193,BTS_매출관리!I:I)</f>
        <v>0</v>
      </c>
      <c r="D193">
        <f t="shared" si="2"/>
        <v>43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43</v>
      </c>
    </row>
    <row r="195" spans="3:4" x14ac:dyDescent="0.3">
      <c r="C195" s="52">
        <f>SUMIF(BTS_매출관리!C:C,B195,BTS_매출관리!I:I)</f>
        <v>0</v>
      </c>
      <c r="D195">
        <f t="shared" si="3"/>
        <v>43</v>
      </c>
    </row>
    <row r="196" spans="3:4" x14ac:dyDescent="0.3">
      <c r="C196" s="52">
        <f>SUMIF(BTS_매출관리!C:C,B196,BTS_매출관리!I:I)</f>
        <v>0</v>
      </c>
      <c r="D196">
        <f t="shared" si="3"/>
        <v>43</v>
      </c>
    </row>
    <row r="197" spans="3:4" x14ac:dyDescent="0.3">
      <c r="C197" s="52">
        <f>SUMIF(BTS_매출관리!C:C,B197,BTS_매출관리!I:I)</f>
        <v>0</v>
      </c>
      <c r="D197">
        <f t="shared" si="3"/>
        <v>43</v>
      </c>
    </row>
    <row r="198" spans="3:4" x14ac:dyDescent="0.3">
      <c r="C198" s="52">
        <f>SUMIF(BTS_매출관리!C:C,B198,BTS_매출관리!I:I)</f>
        <v>0</v>
      </c>
      <c r="D198">
        <f t="shared" si="3"/>
        <v>43</v>
      </c>
    </row>
    <row r="199" spans="3:4" x14ac:dyDescent="0.3">
      <c r="C199" s="52">
        <f>SUMIF(BTS_매출관리!C:C,B199,BTS_매출관리!I:I)</f>
        <v>0</v>
      </c>
      <c r="D199">
        <f t="shared" si="3"/>
        <v>43</v>
      </c>
    </row>
    <row r="200" spans="3:4" x14ac:dyDescent="0.3">
      <c r="C200" s="52">
        <f>SUMIF(BTS_매출관리!C:C,B200,BTS_매출관리!I:I)</f>
        <v>0</v>
      </c>
      <c r="D200">
        <f t="shared" si="3"/>
        <v>43</v>
      </c>
    </row>
    <row r="201" spans="3:4" x14ac:dyDescent="0.3">
      <c r="C201" s="52">
        <f>SUMIF(BTS_매출관리!C:C,B201,BTS_매출관리!I:I)</f>
        <v>0</v>
      </c>
      <c r="D201">
        <f t="shared" si="3"/>
        <v>43</v>
      </c>
    </row>
    <row r="202" spans="3:4" x14ac:dyDescent="0.3">
      <c r="C202" s="52">
        <f>SUMIF(BTS_매출관리!C:C,B202,BTS_매출관리!I:I)</f>
        <v>0</v>
      </c>
      <c r="D202">
        <f t="shared" si="3"/>
        <v>43</v>
      </c>
    </row>
    <row r="203" spans="3:4" x14ac:dyDescent="0.3">
      <c r="C203" s="52">
        <f>SUMIF(BTS_매출관리!C:C,B203,BTS_매출관리!I:I)</f>
        <v>0</v>
      </c>
      <c r="D203">
        <f t="shared" si="3"/>
        <v>43</v>
      </c>
    </row>
    <row r="204" spans="3:4" x14ac:dyDescent="0.3">
      <c r="C204" s="52">
        <f>SUMIF(BTS_매출관리!C:C,B204,BTS_매출관리!I:I)</f>
        <v>0</v>
      </c>
      <c r="D204">
        <f t="shared" si="3"/>
        <v>43</v>
      </c>
    </row>
    <row r="205" spans="3:4" x14ac:dyDescent="0.3">
      <c r="C205" s="52">
        <f>SUMIF(BTS_매출관리!C:C,B205,BTS_매출관리!I:I)</f>
        <v>0</v>
      </c>
      <c r="D205">
        <f t="shared" si="3"/>
        <v>43</v>
      </c>
    </row>
    <row r="206" spans="3:4" x14ac:dyDescent="0.3">
      <c r="C206" s="52">
        <f>SUMIF(BTS_매출관리!C:C,B206,BTS_매출관리!I:I)</f>
        <v>0</v>
      </c>
      <c r="D206">
        <f t="shared" si="3"/>
        <v>43</v>
      </c>
    </row>
    <row r="207" spans="3:4" x14ac:dyDescent="0.3">
      <c r="C207" s="52">
        <f>SUMIF(BTS_매출관리!C:C,B207,BTS_매출관리!I:I)</f>
        <v>0</v>
      </c>
      <c r="D207">
        <f t="shared" si="3"/>
        <v>43</v>
      </c>
    </row>
    <row r="208" spans="3:4" x14ac:dyDescent="0.3">
      <c r="C208" s="52">
        <f>SUMIF(BTS_매출관리!C:C,B208,BTS_매출관리!I:I)</f>
        <v>0</v>
      </c>
      <c r="D208">
        <f t="shared" si="3"/>
        <v>43</v>
      </c>
    </row>
    <row r="209" spans="3:4" x14ac:dyDescent="0.3">
      <c r="C209" s="52">
        <f>SUMIF(BTS_매출관리!C:C,B209,BTS_매출관리!I:I)</f>
        <v>0</v>
      </c>
      <c r="D209">
        <f t="shared" si="3"/>
        <v>43</v>
      </c>
    </row>
    <row r="210" spans="3:4" x14ac:dyDescent="0.3">
      <c r="C210" s="52">
        <f>SUMIF(BTS_매출관리!C:C,B210,BTS_매출관리!I:I)</f>
        <v>0</v>
      </c>
      <c r="D210">
        <f t="shared" si="3"/>
        <v>43</v>
      </c>
    </row>
    <row r="211" spans="3:4" x14ac:dyDescent="0.3">
      <c r="C211" s="52">
        <f>SUMIF(BTS_매출관리!C:C,B211,BTS_매출관리!I:I)</f>
        <v>0</v>
      </c>
      <c r="D211">
        <f t="shared" si="3"/>
        <v>43</v>
      </c>
    </row>
    <row r="212" spans="3:4" x14ac:dyDescent="0.3">
      <c r="C212" s="52">
        <f>SUMIF(BTS_매출관리!C:C,B212,BTS_매출관리!I:I)</f>
        <v>0</v>
      </c>
      <c r="D212">
        <f t="shared" si="3"/>
        <v>43</v>
      </c>
    </row>
    <row r="213" spans="3:4" x14ac:dyDescent="0.3">
      <c r="C213" s="52">
        <f>SUMIF(BTS_매출관리!C:C,B213,BTS_매출관리!I:I)</f>
        <v>0</v>
      </c>
      <c r="D213">
        <f t="shared" si="3"/>
        <v>43</v>
      </c>
    </row>
    <row r="214" spans="3:4" x14ac:dyDescent="0.3">
      <c r="C214" s="52">
        <f>SUMIF(BTS_매출관리!C:C,B214,BTS_매출관리!I:I)</f>
        <v>0</v>
      </c>
      <c r="D214">
        <f t="shared" si="3"/>
        <v>43</v>
      </c>
    </row>
    <row r="215" spans="3:4" x14ac:dyDescent="0.3">
      <c r="C215" s="52">
        <f>SUMIF(BTS_매출관리!C:C,B215,BTS_매출관리!I:I)</f>
        <v>0</v>
      </c>
      <c r="D215">
        <f t="shared" si="3"/>
        <v>43</v>
      </c>
    </row>
    <row r="216" spans="3:4" x14ac:dyDescent="0.3">
      <c r="C216" s="52">
        <f>SUMIF(BTS_매출관리!C:C,B216,BTS_매출관리!I:I)</f>
        <v>0</v>
      </c>
      <c r="D216">
        <f t="shared" si="3"/>
        <v>43</v>
      </c>
    </row>
    <row r="217" spans="3:4" x14ac:dyDescent="0.3">
      <c r="C217" s="52">
        <f>SUMIF(BTS_매출관리!C:C,B217,BTS_매출관리!I:I)</f>
        <v>0</v>
      </c>
      <c r="D217">
        <f t="shared" si="3"/>
        <v>43</v>
      </c>
    </row>
    <row r="218" spans="3:4" x14ac:dyDescent="0.3">
      <c r="C218" s="52">
        <f>SUMIF(BTS_매출관리!C:C,B218,BTS_매출관리!I:I)</f>
        <v>0</v>
      </c>
      <c r="D218">
        <f t="shared" si="3"/>
        <v>43</v>
      </c>
    </row>
    <row r="219" spans="3:4" x14ac:dyDescent="0.3">
      <c r="C219" s="52">
        <f>SUMIF(BTS_매출관리!C:C,B219,BTS_매출관리!I:I)</f>
        <v>0</v>
      </c>
      <c r="D219">
        <f t="shared" si="3"/>
        <v>43</v>
      </c>
    </row>
    <row r="220" spans="3:4" x14ac:dyDescent="0.3">
      <c r="C220" s="52">
        <f>SUMIF(BTS_매출관리!C:C,B220,BTS_매출관리!I:I)</f>
        <v>0</v>
      </c>
      <c r="D220">
        <f t="shared" si="3"/>
        <v>43</v>
      </c>
    </row>
    <row r="221" spans="3:4" x14ac:dyDescent="0.3">
      <c r="C221" s="52">
        <f>SUMIF(BTS_매출관리!C:C,B221,BTS_매출관리!I:I)</f>
        <v>0</v>
      </c>
      <c r="D221">
        <f t="shared" si="3"/>
        <v>43</v>
      </c>
    </row>
    <row r="222" spans="3:4" x14ac:dyDescent="0.3">
      <c r="C222" s="52">
        <f>SUMIF(BTS_매출관리!C:C,B222,BTS_매출관리!I:I)</f>
        <v>0</v>
      </c>
      <c r="D222">
        <f t="shared" si="3"/>
        <v>43</v>
      </c>
    </row>
    <row r="223" spans="3:4" x14ac:dyDescent="0.3">
      <c r="C223" s="52">
        <f>SUMIF(BTS_매출관리!C:C,B223,BTS_매출관리!I:I)</f>
        <v>0</v>
      </c>
      <c r="D223">
        <f t="shared" si="3"/>
        <v>43</v>
      </c>
    </row>
    <row r="224" spans="3:4" x14ac:dyDescent="0.3">
      <c r="C224" s="52">
        <f>SUMIF(BTS_매출관리!C:C,B224,BTS_매출관리!I:I)</f>
        <v>0</v>
      </c>
      <c r="D224">
        <f t="shared" si="3"/>
        <v>43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3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1063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3208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3209</v>
      </c>
    </row>
    <row r="686" spans="1:4" x14ac:dyDescent="0.3">
      <c r="A686">
        <v>710</v>
      </c>
      <c r="B686" s="13">
        <v>45884</v>
      </c>
      <c r="C686" t="s">
        <v>3210</v>
      </c>
      <c r="D686" t="s">
        <v>3213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3214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3215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3219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3220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3221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3224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3225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3226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3228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3230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3232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3234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3235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3236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3237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3241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3243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3245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3246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3248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3249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3250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3251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3252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3254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3257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3258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3260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3262</v>
      </c>
    </row>
    <row r="718" spans="1:4" x14ac:dyDescent="0.3">
      <c r="A718">
        <v>742</v>
      </c>
      <c r="B718" s="13">
        <v>45891</v>
      </c>
      <c r="C718" t="s">
        <v>3263</v>
      </c>
      <c r="D718" t="s">
        <v>3267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3268</v>
      </c>
    </row>
    <row r="720" spans="1:4" x14ac:dyDescent="0.3">
      <c r="A720">
        <v>744</v>
      </c>
      <c r="B720" s="13">
        <v>45891</v>
      </c>
      <c r="C720" t="s">
        <v>3269</v>
      </c>
      <c r="D720" t="s">
        <v>3272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3273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3278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3279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3280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3281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3285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3286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3287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3288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3289</v>
      </c>
    </row>
    <row r="731" spans="1:4" x14ac:dyDescent="0.3">
      <c r="A731">
        <v>755</v>
      </c>
      <c r="B731" s="13">
        <v>45894</v>
      </c>
      <c r="C731" t="s">
        <v>3290</v>
      </c>
      <c r="D731" t="s">
        <v>3294</v>
      </c>
    </row>
    <row r="732" spans="1:4" x14ac:dyDescent="0.3">
      <c r="A732">
        <v>756</v>
      </c>
      <c r="B732" s="13">
        <v>45894</v>
      </c>
      <c r="C732" t="s">
        <v>3290</v>
      </c>
      <c r="D732" t="s">
        <v>3295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3296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3298</v>
      </c>
    </row>
    <row r="735" spans="1:4" x14ac:dyDescent="0.3">
      <c r="A735">
        <v>759</v>
      </c>
      <c r="B735" s="13">
        <v>45894</v>
      </c>
      <c r="C735" t="s">
        <v>2306</v>
      </c>
      <c r="D735" t="s">
        <v>3299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3300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3302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3306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3308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3310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3311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3314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3315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3319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3321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3323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3324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3332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3335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3336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3337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3338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3342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3343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3344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3345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3346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3347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3354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3355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3356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3357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3358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3359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3360</v>
      </c>
    </row>
    <row r="771" spans="1:4" x14ac:dyDescent="0.3">
      <c r="A771">
        <v>795</v>
      </c>
      <c r="B771" s="13">
        <v>45901</v>
      </c>
      <c r="C771" t="s">
        <v>3348</v>
      </c>
      <c r="D771" t="s">
        <v>3361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3362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3365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3366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3368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3369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3372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3373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3374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3375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3377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3379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3382</v>
      </c>
    </row>
    <row r="786" spans="1:4" x14ac:dyDescent="0.3">
      <c r="A786">
        <v>810</v>
      </c>
      <c r="B786" s="13">
        <v>45903</v>
      </c>
      <c r="C786" t="s">
        <v>3290</v>
      </c>
      <c r="D786" t="s">
        <v>3383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3387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3388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3392</v>
      </c>
    </row>
    <row r="790" spans="1:4" x14ac:dyDescent="0.3">
      <c r="A790">
        <v>814</v>
      </c>
      <c r="B790" s="13">
        <v>45903</v>
      </c>
      <c r="C790" t="s">
        <v>3389</v>
      </c>
      <c r="D790" t="s">
        <v>3393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3394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3395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3397</v>
      </c>
    </row>
    <row r="794" spans="1:4" x14ac:dyDescent="0.3">
      <c r="A794">
        <v>818</v>
      </c>
      <c r="B794" s="13">
        <v>45903</v>
      </c>
      <c r="C794" t="s">
        <v>1747</v>
      </c>
      <c r="D794" t="s">
        <v>3399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3400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3409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3410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3411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3412</v>
      </c>
    </row>
    <row r="800" spans="1:4" x14ac:dyDescent="0.3">
      <c r="A800">
        <v>824</v>
      </c>
      <c r="B800" s="13">
        <v>45904</v>
      </c>
      <c r="C800" t="s">
        <v>3405</v>
      </c>
      <c r="D800" t="s">
        <v>3413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3416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3417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3418</v>
      </c>
    </row>
    <row r="804" spans="1:4" x14ac:dyDescent="0.3">
      <c r="A804">
        <v>828</v>
      </c>
      <c r="B804" s="13">
        <v>45904</v>
      </c>
      <c r="C804" t="s">
        <v>3398</v>
      </c>
      <c r="D804" t="s">
        <v>3419</v>
      </c>
    </row>
    <row r="805" spans="1:4" x14ac:dyDescent="0.3">
      <c r="A805">
        <v>829</v>
      </c>
      <c r="B805" s="13">
        <v>45904</v>
      </c>
      <c r="C805" t="s">
        <v>3398</v>
      </c>
      <c r="D805" t="s">
        <v>3420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3421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3422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3423</v>
      </c>
    </row>
    <row r="809" spans="1:4" x14ac:dyDescent="0.3">
      <c r="A809">
        <v>833</v>
      </c>
      <c r="B809" s="13">
        <v>45904</v>
      </c>
      <c r="C809" t="s">
        <v>3405</v>
      </c>
      <c r="D809" t="s">
        <v>3424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3425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3426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3427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3428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3435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3436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3438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3439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3441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3442</v>
      </c>
    </row>
    <row r="820" spans="1:4" x14ac:dyDescent="0.3">
      <c r="A820">
        <v>844</v>
      </c>
      <c r="B820" s="13">
        <v>45905</v>
      </c>
      <c r="C820" t="s">
        <v>3443</v>
      </c>
      <c r="D820" t="s">
        <v>3444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3445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3457</v>
      </c>
    </row>
    <row r="823" spans="1:4" x14ac:dyDescent="0.3">
      <c r="A823">
        <v>847</v>
      </c>
      <c r="B823" s="13">
        <v>45906</v>
      </c>
      <c r="C823" t="s">
        <v>3458</v>
      </c>
      <c r="D823" t="s">
        <v>3467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3469</v>
      </c>
    </row>
    <row r="825" spans="1:4" x14ac:dyDescent="0.3">
      <c r="A825">
        <v>849</v>
      </c>
      <c r="B825" s="13">
        <v>45906</v>
      </c>
      <c r="C825" t="s">
        <v>3461</v>
      </c>
      <c r="D825" t="s">
        <v>3471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3473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3474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3475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3476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3479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3480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3481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3482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3495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3497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3498</v>
      </c>
    </row>
    <row r="838" spans="1:4" x14ac:dyDescent="0.3">
      <c r="A838">
        <v>862</v>
      </c>
      <c r="B838" s="13">
        <v>45909</v>
      </c>
      <c r="C838" t="s">
        <v>1867</v>
      </c>
      <c r="D838" t="s">
        <v>3499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3500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3501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3502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3505</v>
      </c>
    </row>
    <row r="843" spans="1:4" x14ac:dyDescent="0.3">
      <c r="A843">
        <v>867</v>
      </c>
      <c r="B843" s="13">
        <v>45910</v>
      </c>
      <c r="C843" t="s">
        <v>3503</v>
      </c>
      <c r="D843" t="s">
        <v>3509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3510</v>
      </c>
    </row>
    <row r="845" spans="1:4" x14ac:dyDescent="0.3">
      <c r="A845">
        <v>869</v>
      </c>
      <c r="B845" s="13">
        <v>45910</v>
      </c>
      <c r="C845" t="s">
        <v>3389</v>
      </c>
      <c r="D845" t="s">
        <v>3511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3512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3513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3514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3515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3516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3517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3518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3526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3528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3531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3532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3533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3534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3535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3537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3538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3539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3540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3542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3543</v>
      </c>
    </row>
    <row r="869" spans="1:4" x14ac:dyDescent="0.3">
      <c r="A869">
        <v>893</v>
      </c>
      <c r="B869" s="13">
        <v>45912</v>
      </c>
      <c r="C869" t="s">
        <v>3544</v>
      </c>
      <c r="D869" t="s">
        <v>3545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3548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3551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3553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3554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3556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3558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3560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3561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3563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3564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3566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3568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3569</v>
      </c>
    </row>
    <row r="887" spans="1:4" x14ac:dyDescent="0.3">
      <c r="A887">
        <v>911</v>
      </c>
      <c r="B887" s="13">
        <v>45917</v>
      </c>
      <c r="C887" t="s">
        <v>3575</v>
      </c>
      <c r="D887" t="s">
        <v>3582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3583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3584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3586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3587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3588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3589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3602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3603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3604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3606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3607</v>
      </c>
    </row>
    <row r="900" spans="1:4" x14ac:dyDescent="0.3">
      <c r="A900">
        <v>924</v>
      </c>
      <c r="B900" s="13">
        <v>45918</v>
      </c>
      <c r="C900" t="s">
        <v>3450</v>
      </c>
      <c r="D900" t="s">
        <v>3608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3609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3610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3611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3612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3613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3621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3623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3625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3633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3638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3639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3640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3641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3642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3649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3651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3652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3653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3654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3655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3656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3658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3660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3667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3669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3670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3671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3672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3720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3721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3722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3723</v>
      </c>
    </row>
    <row r="937" spans="1:4" x14ac:dyDescent="0.3">
      <c r="A937">
        <v>961</v>
      </c>
      <c r="B937" s="13">
        <v>45926</v>
      </c>
      <c r="C937" t="s">
        <v>3724</v>
      </c>
      <c r="D937" t="s">
        <v>3726</v>
      </c>
    </row>
    <row r="938" spans="1:4" x14ac:dyDescent="0.3">
      <c r="A938">
        <v>962</v>
      </c>
      <c r="B938" s="13">
        <v>45927</v>
      </c>
      <c r="C938" t="s">
        <v>3727</v>
      </c>
      <c r="D938" t="s">
        <v>3731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3734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3739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3745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3747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3748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3749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3750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3752</v>
      </c>
    </row>
    <row r="947" spans="1:4" x14ac:dyDescent="0.3">
      <c r="A947">
        <v>971</v>
      </c>
      <c r="B947" s="13">
        <v>45929</v>
      </c>
      <c r="C947" t="s">
        <v>3269</v>
      </c>
      <c r="D947" t="s">
        <v>3754</v>
      </c>
    </row>
    <row r="948" spans="1:4" x14ac:dyDescent="0.3">
      <c r="A948">
        <v>972</v>
      </c>
      <c r="B948" s="13">
        <v>45929</v>
      </c>
      <c r="C948" t="s">
        <v>3461</v>
      </c>
      <c r="D948" t="s">
        <v>3756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3757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3758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3759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3760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3761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3772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3773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3775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3776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3777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3778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3779</v>
      </c>
    </row>
    <row r="961" spans="1:4" x14ac:dyDescent="0.3">
      <c r="A961">
        <v>985</v>
      </c>
      <c r="B961" s="13">
        <v>45930</v>
      </c>
      <c r="C961" t="s">
        <v>3764</v>
      </c>
      <c r="D961" t="s">
        <v>3780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3815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3816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3818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3820</v>
      </c>
    </row>
    <row r="967" spans="1:4" x14ac:dyDescent="0.3">
      <c r="A967">
        <v>991</v>
      </c>
      <c r="B967" s="13">
        <v>45931</v>
      </c>
      <c r="C967" t="s">
        <v>3821</v>
      </c>
      <c r="D967" t="s">
        <v>3822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3827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3828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3833</v>
      </c>
    </row>
    <row r="971" spans="1:4" x14ac:dyDescent="0.3">
      <c r="A971">
        <v>995</v>
      </c>
      <c r="B971" s="13">
        <v>45932</v>
      </c>
      <c r="C971" t="s">
        <v>3824</v>
      </c>
      <c r="D971" t="s">
        <v>3835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3836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3842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3845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3846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3848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3849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3853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3859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3860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3861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3864</v>
      </c>
    </row>
    <row r="984" spans="1:4" x14ac:dyDescent="0.3">
      <c r="A984">
        <v>1008</v>
      </c>
      <c r="B984" s="13">
        <v>45940</v>
      </c>
      <c r="C984" t="s">
        <v>3398</v>
      </c>
      <c r="D984" t="s">
        <v>3865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3866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3867</v>
      </c>
    </row>
    <row r="987" spans="1:4" x14ac:dyDescent="0.3">
      <c r="A987">
        <v>1011</v>
      </c>
      <c r="B987" s="13">
        <v>45940</v>
      </c>
      <c r="C987" t="s">
        <v>3821</v>
      </c>
      <c r="D987" t="s">
        <v>3868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3869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3870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3878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3879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3880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3881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3885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3887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3889</v>
      </c>
    </row>
    <row r="997" spans="1:4" x14ac:dyDescent="0.3">
      <c r="A997">
        <v>1021</v>
      </c>
      <c r="B997" s="13">
        <v>45943</v>
      </c>
      <c r="C997" t="s">
        <v>3890</v>
      </c>
      <c r="D997" t="s">
        <v>3893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3894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3895</v>
      </c>
    </row>
    <row r="1000" spans="1:4" x14ac:dyDescent="0.3">
      <c r="A1000">
        <v>1024</v>
      </c>
      <c r="B1000" s="13">
        <v>45943</v>
      </c>
      <c r="C1000" t="s">
        <v>3896</v>
      </c>
      <c r="D1000" t="s">
        <v>3897</v>
      </c>
    </row>
    <row r="1001" spans="1:4" x14ac:dyDescent="0.3">
      <c r="A1001">
        <v>1025</v>
      </c>
      <c r="B1001" s="13">
        <v>45943</v>
      </c>
      <c r="C1001" t="s">
        <v>3269</v>
      </c>
      <c r="D1001" t="s">
        <v>3898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3912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3913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3916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3918</v>
      </c>
    </row>
    <row r="1006" spans="1:4" x14ac:dyDescent="0.3">
      <c r="A1006">
        <v>1030</v>
      </c>
      <c r="B1006" s="13">
        <v>45944</v>
      </c>
      <c r="C1006" t="s">
        <v>3919</v>
      </c>
      <c r="D1006" t="s">
        <v>3922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3923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3924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3925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3926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3928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3931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3932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3934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3935</v>
      </c>
    </row>
    <row r="1016" spans="1:4" x14ac:dyDescent="0.3">
      <c r="A1016">
        <v>1040</v>
      </c>
      <c r="B1016" s="13">
        <v>45945</v>
      </c>
      <c r="C1016" t="s">
        <v>3936</v>
      </c>
      <c r="D1016" t="s">
        <v>3940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3941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3942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3943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3945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3956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3957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3958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3959</v>
      </c>
    </row>
    <row r="1025" spans="1:4" x14ac:dyDescent="0.3">
      <c r="A1025">
        <v>1049</v>
      </c>
      <c r="B1025" s="13">
        <v>45946</v>
      </c>
      <c r="C1025" t="s">
        <v>3950</v>
      </c>
      <c r="D1025" t="s">
        <v>3960</v>
      </c>
    </row>
    <row r="1026" spans="1:4" x14ac:dyDescent="0.3">
      <c r="A1026">
        <v>1050</v>
      </c>
      <c r="B1026" s="13">
        <v>45946</v>
      </c>
      <c r="C1026" t="s">
        <v>3821</v>
      </c>
      <c r="D1026" t="s">
        <v>3961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3963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3968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3970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3972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3973</v>
      </c>
    </row>
    <row r="1032" spans="1:4" x14ac:dyDescent="0.3">
      <c r="A1032">
        <v>1056</v>
      </c>
      <c r="B1032" s="13">
        <v>45950</v>
      </c>
      <c r="C1032" t="s">
        <v>1870</v>
      </c>
      <c r="D1032" t="s">
        <v>3975</v>
      </c>
    </row>
    <row r="1033" spans="1:4" x14ac:dyDescent="0.3">
      <c r="A1033">
        <v>1057</v>
      </c>
      <c r="B1033" s="13">
        <v>45950</v>
      </c>
      <c r="C1033" t="s">
        <v>3976</v>
      </c>
      <c r="D1033" t="s">
        <v>3979</v>
      </c>
    </row>
    <row r="1034" spans="1:4" x14ac:dyDescent="0.3">
      <c r="A1034">
        <v>1058</v>
      </c>
      <c r="B1034" s="13">
        <v>45950</v>
      </c>
      <c r="C1034" t="s">
        <v>2610</v>
      </c>
      <c r="D1034" t="s">
        <v>3980</v>
      </c>
    </row>
    <row r="1035" spans="1:4" x14ac:dyDescent="0.3">
      <c r="A1035">
        <v>1059</v>
      </c>
      <c r="B1035" s="13">
        <v>45950</v>
      </c>
      <c r="C1035" t="s">
        <v>1580</v>
      </c>
      <c r="D1035" t="s">
        <v>3982</v>
      </c>
    </row>
    <row r="1036" spans="1:4" x14ac:dyDescent="0.3">
      <c r="A1036">
        <v>1060</v>
      </c>
      <c r="B1036" s="13">
        <v>45950</v>
      </c>
      <c r="C1036" t="s">
        <v>2410</v>
      </c>
      <c r="D1036" t="s">
        <v>3983</v>
      </c>
    </row>
    <row r="1037" spans="1:4" x14ac:dyDescent="0.3">
      <c r="A1037">
        <v>1061</v>
      </c>
      <c r="B1037" s="13">
        <v>45950</v>
      </c>
      <c r="C1037" t="s">
        <v>3985</v>
      </c>
      <c r="D1037" t="s">
        <v>3986</v>
      </c>
    </row>
    <row r="1038" spans="1:4" x14ac:dyDescent="0.3">
      <c r="A1038">
        <v>1062</v>
      </c>
      <c r="B1038" s="13">
        <v>45950</v>
      </c>
      <c r="C1038" t="s">
        <v>1399</v>
      </c>
      <c r="D1038" t="s">
        <v>3987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194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3645</v>
      </c>
      <c r="E4" t="s">
        <v>3646</v>
      </c>
      <c r="F4" t="s">
        <v>963</v>
      </c>
      <c r="G4" t="s">
        <v>3647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3954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3326</v>
      </c>
      <c r="F13" t="s">
        <v>32</v>
      </c>
      <c r="G13" t="s">
        <v>3316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3802</v>
      </c>
      <c r="F14" t="s">
        <v>3797</v>
      </c>
      <c r="G14" t="s">
        <v>3803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15378000.199999999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3206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3390</v>
      </c>
      <c r="E24" t="s">
        <v>3391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3522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3456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3327</v>
      </c>
      <c r="E33" t="s">
        <v>3328</v>
      </c>
      <c r="F33" t="s">
        <v>3329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3620</v>
      </c>
      <c r="J33" t="s">
        <v>3620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4550000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3811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3763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3522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3871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1170000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200000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835000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3882</v>
      </c>
      <c r="H65" s="194">
        <f>SUMIF(주문_리스트!C:C,거래처!B65,주문_리스트!K:K)+SUMIF(주문_리스트!C:C,거래처!B65,주문_리스트!L:L)</f>
        <v>0</v>
      </c>
      <c r="J65" t="s">
        <v>3901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3796</v>
      </c>
      <c r="F73" t="s">
        <v>3797</v>
      </c>
      <c r="G73" t="s">
        <v>3798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3856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3406</v>
      </c>
      <c r="E78" t="s">
        <v>3407</v>
      </c>
      <c r="F78" t="s">
        <v>963</v>
      </c>
      <c r="G78" t="s">
        <v>3408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3380</v>
      </c>
      <c r="E82" t="s">
        <v>3381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3401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3809</v>
      </c>
      <c r="F84" t="s">
        <v>3797</v>
      </c>
      <c r="G84" t="s">
        <v>3810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3763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3804</v>
      </c>
      <c r="F95" t="s">
        <v>3797</v>
      </c>
      <c r="G95" t="s">
        <v>3805</v>
      </c>
      <c r="H95" s="194">
        <f>SUMIF(주문_리스트!C:C,거래처!B95,주문_리스트!K:K)+SUMIF(주문_리스트!C:C,거래처!B95,주문_리스트!L:L)-715000</f>
        <v>0</v>
      </c>
      <c r="I95" s="52" t="s">
        <v>3570</v>
      </c>
    </row>
    <row r="96" spans="1:11" x14ac:dyDescent="0.3">
      <c r="A96" s="47">
        <v>95</v>
      </c>
      <c r="B96" t="s">
        <v>1352</v>
      </c>
      <c r="C96" t="s">
        <v>3598</v>
      </c>
      <c r="E96" t="s">
        <v>3599</v>
      </c>
      <c r="F96" t="s">
        <v>963</v>
      </c>
      <c r="G96" t="s">
        <v>3600</v>
      </c>
      <c r="H96" s="194">
        <f>SUMIF(주문_리스트!C:C,거래처!B96,주문_리스트!K:K)+SUMIF(주문_리스트!C:C,거래처!B96,주문_리스트!L:L)</f>
        <v>1100000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3494</v>
      </c>
      <c r="H99" s="194">
        <f>SUMIF(주문_리스트!C:C,거래처!B99,주문_리스트!K:K)+SUMIF(주문_리스트!C:C,거래처!B99,주문_리스트!L:L)</f>
        <v>1210000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3570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3955</v>
      </c>
      <c r="H102" s="194">
        <f>SUMIF(주문_리스트!C:C,거래처!B102,주문_리스트!K:K)+SUMIF(주문_리스트!C:C,거래처!B102,주문_리스트!L:L)</f>
        <v>0</v>
      </c>
      <c r="J102" t="s">
        <v>3903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3852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3899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3905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3648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3620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3907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3946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3522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3305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3620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3799</v>
      </c>
      <c r="F148" t="s">
        <v>3800</v>
      </c>
      <c r="G148" t="s">
        <v>3801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3259</v>
      </c>
      <c r="H157" s="194">
        <f>SUMIF(주문_리스트!C:C,거래처!B157,주문_리스트!K:K)+SUMIF(주문_리스트!C:C,거래처!B157,주문_리스트!L:L)</f>
        <v>0</v>
      </c>
      <c r="I157" s="52" t="s">
        <v>3763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3740</v>
      </c>
      <c r="C176" t="s">
        <v>3741</v>
      </c>
      <c r="E176" t="s">
        <v>3742</v>
      </c>
      <c r="F176" t="s">
        <v>3743</v>
      </c>
      <c r="G176" t="s">
        <v>3742</v>
      </c>
      <c r="H176" s="194">
        <f>SUMIF(주문_리스트!C:C,거래처!B176,주문_리스트!K:K)+SUMIF(주문_리스트!C:C,거래처!B176,주문_리스트!L:L)</f>
        <v>0</v>
      </c>
      <c r="J176" t="s">
        <v>3909</v>
      </c>
    </row>
    <row r="177" spans="1:11" x14ac:dyDescent="0.3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4">
        <f>SUMIF(주문_리스트!C:C,거래처!B177,주문_리스트!K:K)+SUMIF(주문_리스트!C:C,거래처!B177,주문_리스트!L:L)</f>
        <v>0</v>
      </c>
      <c r="K177" t="s">
        <v>3401</v>
      </c>
    </row>
    <row r="178" spans="1:11" x14ac:dyDescent="0.3">
      <c r="A178" s="47">
        <v>177</v>
      </c>
      <c r="B178" t="s">
        <v>3349</v>
      </c>
      <c r="C178" t="s">
        <v>3350</v>
      </c>
      <c r="E178" t="s">
        <v>3351</v>
      </c>
      <c r="F178" t="s">
        <v>3352</v>
      </c>
      <c r="G178" t="s">
        <v>3353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3402</v>
      </c>
      <c r="C179" t="s">
        <v>3403</v>
      </c>
      <c r="E179" t="s">
        <v>3404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3877</v>
      </c>
    </row>
    <row r="180" spans="1:11" x14ac:dyDescent="0.3">
      <c r="A180" s="47">
        <v>179</v>
      </c>
      <c r="B180" t="s">
        <v>3451</v>
      </c>
      <c r="C180" t="s">
        <v>3452</v>
      </c>
      <c r="E180" t="s">
        <v>3453</v>
      </c>
      <c r="F180" t="s">
        <v>3454</v>
      </c>
      <c r="G180" t="s">
        <v>3455</v>
      </c>
      <c r="H180" s="194">
        <f>SUMIF(주문_리스트!C:C,거래처!B180,주문_리스트!K:K)+SUMIF(주문_리스트!C:C,거래처!B180,주문_리스트!L:L)</f>
        <v>0</v>
      </c>
      <c r="J180" t="s">
        <v>3620</v>
      </c>
    </row>
    <row r="181" spans="1:11" x14ac:dyDescent="0.3">
      <c r="A181" s="47">
        <v>180</v>
      </c>
      <c r="B181" t="s">
        <v>3458</v>
      </c>
      <c r="C181" t="s">
        <v>3459</v>
      </c>
      <c r="E181" t="s">
        <v>3460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3462</v>
      </c>
      <c r="C182" t="s">
        <v>3463</v>
      </c>
      <c r="E182" t="s">
        <v>3464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3763</v>
      </c>
    </row>
    <row r="183" spans="1:11" x14ac:dyDescent="0.3">
      <c r="A183" s="47">
        <v>182</v>
      </c>
      <c r="B183" t="s">
        <v>3765</v>
      </c>
      <c r="C183" t="s">
        <v>3766</v>
      </c>
      <c r="E183" t="s">
        <v>3767</v>
      </c>
      <c r="F183" t="s">
        <v>3768</v>
      </c>
      <c r="G183" t="s">
        <v>3769</v>
      </c>
      <c r="H183" s="194">
        <f>SUMIF(주문_리스트!C:C,거래처!B183,주문_리스트!K:K)+SUMIF(주문_리스트!C:C,거래처!B183,주문_리스트!L:L)</f>
        <v>0</v>
      </c>
      <c r="I183" s="52" t="s">
        <v>3522</v>
      </c>
    </row>
    <row r="184" spans="1:11" x14ac:dyDescent="0.3">
      <c r="A184" s="47">
        <v>183</v>
      </c>
      <c r="B184" t="s">
        <v>3503</v>
      </c>
      <c r="C184" t="s">
        <v>3504</v>
      </c>
      <c r="E184" t="s">
        <v>3508</v>
      </c>
      <c r="F184" t="s">
        <v>973</v>
      </c>
      <c r="H184" s="194">
        <v>0</v>
      </c>
      <c r="I184" s="52" t="s">
        <v>3522</v>
      </c>
    </row>
    <row r="185" spans="1:11" x14ac:dyDescent="0.3">
      <c r="A185" s="47">
        <v>184</v>
      </c>
      <c r="B185" t="s">
        <v>3576</v>
      </c>
      <c r="C185" t="s">
        <v>3577</v>
      </c>
      <c r="E185" t="s">
        <v>3578</v>
      </c>
      <c r="F185" t="s">
        <v>963</v>
      </c>
      <c r="G185" t="s">
        <v>3579</v>
      </c>
      <c r="H185" s="194">
        <f>SUMIF(주문_리스트!C:C,거래처!B185,주문_리스트!K:K)+SUMIF(주문_리스트!C:C,거래처!B185,주문_리스트!L:L)</f>
        <v>0</v>
      </c>
      <c r="J185" t="s">
        <v>3620</v>
      </c>
    </row>
    <row r="186" spans="1:11" x14ac:dyDescent="0.3">
      <c r="A186" s="47">
        <v>185</v>
      </c>
      <c r="B186" t="s">
        <v>3635</v>
      </c>
      <c r="C186" t="s">
        <v>3636</v>
      </c>
      <c r="E186" t="s">
        <v>3637</v>
      </c>
      <c r="F186" t="s">
        <v>1181</v>
      </c>
      <c r="G186" t="s">
        <v>3634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3727</v>
      </c>
      <c r="C187" t="s">
        <v>3728</v>
      </c>
      <c r="E187" t="s">
        <v>3729</v>
      </c>
      <c r="F187" t="s">
        <v>1181</v>
      </c>
      <c r="G187" t="s">
        <v>3730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3824</v>
      </c>
      <c r="C188" t="s">
        <v>3825</v>
      </c>
      <c r="E188" t="s">
        <v>3826</v>
      </c>
      <c r="F188" t="s">
        <v>1181</v>
      </c>
      <c r="G188" t="s">
        <v>3826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3890</v>
      </c>
      <c r="C189" t="s">
        <v>3891</v>
      </c>
      <c r="E189" t="s">
        <v>3892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3911</v>
      </c>
    </row>
    <row r="190" spans="1:11" x14ac:dyDescent="0.3">
      <c r="A190" s="47">
        <v>190</v>
      </c>
      <c r="B190" t="s">
        <v>3919</v>
      </c>
      <c r="C190" t="s">
        <v>3920</v>
      </c>
      <c r="E190" t="s">
        <v>3921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191</v>
      </c>
      <c r="B191" t="s">
        <v>3936</v>
      </c>
      <c r="C191" t="s">
        <v>3937</v>
      </c>
      <c r="E191" t="s">
        <v>3938</v>
      </c>
      <c r="F191" t="s">
        <v>976</v>
      </c>
      <c r="G191" t="s">
        <v>3939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192</v>
      </c>
      <c r="B192" t="s">
        <v>3950</v>
      </c>
      <c r="C192" t="s">
        <v>3951</v>
      </c>
      <c r="E192" t="s">
        <v>3952</v>
      </c>
      <c r="F192" t="s">
        <v>963</v>
      </c>
      <c r="G192" t="s">
        <v>3953</v>
      </c>
      <c r="H192" s="194">
        <f>SUMIF(주문_리스트!C:C,거래처!B192,주문_리스트!K:K)+SUMIF(주문_리스트!C:C,거래처!B192,주문_리스트!L:L)</f>
        <v>0</v>
      </c>
      <c r="J192" t="s">
        <v>3946</v>
      </c>
    </row>
    <row r="193" spans="1:8" x14ac:dyDescent="0.3">
      <c r="A193" s="47">
        <v>193</v>
      </c>
      <c r="B193" t="s">
        <v>3976</v>
      </c>
      <c r="C193" t="s">
        <v>3977</v>
      </c>
      <c r="E193" t="s">
        <v>3978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8" x14ac:dyDescent="0.3">
      <c r="H194" s="194">
        <f>SUMIF(주문_리스트!C:C,거래처!B194,주문_리스트!K:K)+SUMIF(주문_리스트!C:C,거래처!B194,주문_리스트!L:L)</f>
        <v>0</v>
      </c>
    </row>
    <row r="195" spans="1:8" x14ac:dyDescent="0.3">
      <c r="H195" s="194">
        <f>SUMIF(주문_리스트!C:C,거래처!B195,주문_리스트!K:K)+SUMIF(주문_리스트!C:C,거래처!B195,주문_리스트!L:L)</f>
        <v>0</v>
      </c>
    </row>
    <row r="196" spans="1:8" x14ac:dyDescent="0.3">
      <c r="H196" s="194">
        <f>SUMIF(주문_리스트!C:C,거래처!B196,주문_리스트!K:K)+SUMIF(주문_리스트!C:C,거래처!B196,주문_리스트!L:L)</f>
        <v>0</v>
      </c>
    </row>
    <row r="197" spans="1:8" x14ac:dyDescent="0.3">
      <c r="H197" s="194">
        <f>SUMIF(주문_리스트!C:C,거래처!B197,주문_리스트!K:K)+SUMIF(주문_리스트!C:C,거래처!B197,주문_리스트!L:L)</f>
        <v>0</v>
      </c>
    </row>
    <row r="198" spans="1:8" x14ac:dyDescent="0.3">
      <c r="H198" s="194">
        <f>SUMIF(주문_리스트!C:C,거래처!B198,주문_리스트!K:K)+SUMIF(주문_리스트!C:C,거래처!B198,주문_리스트!L:L)</f>
        <v>0</v>
      </c>
    </row>
    <row r="199" spans="1:8" x14ac:dyDescent="0.3">
      <c r="H199" s="194">
        <f>SUMIF(주문_리스트!C:C,거래처!B199,주문_리스트!K:K)+SUMIF(주문_리스트!C:C,거래처!B199,주문_리스트!L:L)</f>
        <v>0</v>
      </c>
    </row>
    <row r="200" spans="1:8" x14ac:dyDescent="0.3">
      <c r="H200" s="194">
        <f>SUMIF(주문_리스트!C:C,거래처!B200,주문_리스트!K:K)+SUMIF(주문_리스트!C:C,거래처!B200,주문_리스트!L:L)</f>
        <v>0</v>
      </c>
    </row>
    <row r="201" spans="1:8" x14ac:dyDescent="0.3">
      <c r="H201" s="194">
        <f>SUMIF(주문_리스트!C:C,거래처!B201,주문_리스트!K:K)+SUMIF(주문_리스트!C:C,거래처!B201,주문_리스트!L:L)</f>
        <v>0</v>
      </c>
    </row>
    <row r="202" spans="1:8" x14ac:dyDescent="0.3">
      <c r="H202" s="194">
        <f>SUMIF(주문_리스트!C:C,거래처!B202,주문_리스트!K:K)+SUMIF(주문_리스트!C:C,거래처!B202,주문_리스트!L:L)</f>
        <v>0</v>
      </c>
    </row>
    <row r="203" spans="1:8" x14ac:dyDescent="0.3">
      <c r="H203" s="194">
        <f>SUMIF(주문_리스트!C:C,거래처!B203,주문_리스트!K:K)+SUMIF(주문_리스트!C:C,거래처!B203,주문_리스트!L:L)</f>
        <v>0</v>
      </c>
    </row>
    <row r="204" spans="1:8" x14ac:dyDescent="0.3">
      <c r="H204" s="194">
        <f>SUMIF(주문_리스트!C:C,거래처!B204,주문_리스트!K:K)+SUMIF(주문_리스트!C:C,거래처!B204,주문_리스트!L:L)</f>
        <v>0</v>
      </c>
    </row>
    <row r="205" spans="1:8" x14ac:dyDescent="0.3">
      <c r="H205" s="194">
        <f>SUMIF(주문_리스트!C:C,거래처!B205,주문_리스트!K:K)+SUMIF(주문_리스트!C:C,거래처!B205,주문_리스트!L:L)</f>
        <v>0</v>
      </c>
    </row>
    <row r="206" spans="1:8" x14ac:dyDescent="0.3">
      <c r="H206" s="194">
        <f>SUMIF(주문_리스트!C:C,거래처!B206,주문_리스트!K:K)+SUMIF(주문_리스트!C:C,거래처!B206,주문_리스트!L:L)</f>
        <v>0</v>
      </c>
    </row>
    <row r="207" spans="1:8" x14ac:dyDescent="0.3">
      <c r="H207" s="194">
        <f>SUMIF(주문_리스트!C:C,거래처!B207,주문_리스트!K:K)+SUMIF(주문_리스트!C:C,거래처!B207,주문_리스트!L:L)</f>
        <v>0</v>
      </c>
    </row>
    <row r="208" spans="1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4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248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-49</v>
      </c>
      <c r="I8"/>
    </row>
    <row r="9" spans="1:11" x14ac:dyDescent="0.3">
      <c r="A9">
        <v>8</v>
      </c>
      <c r="B9">
        <v>2</v>
      </c>
      <c r="C9" s="288" t="s">
        <v>3850</v>
      </c>
      <c r="D9" s="288" t="s">
        <v>1140</v>
      </c>
      <c r="E9" s="288" t="s">
        <v>3850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3851</v>
      </c>
      <c r="D15" s="288" t="s">
        <v>1654</v>
      </c>
      <c r="E15" s="288" t="s">
        <v>3668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-8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-8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-101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3466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-47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-101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3851</v>
      </c>
      <c r="D139" s="288" t="s">
        <v>2685</v>
      </c>
      <c r="E139" s="288" t="s">
        <v>3851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3580</v>
      </c>
      <c r="D140" s="288" t="s">
        <v>2683</v>
      </c>
      <c r="E140" s="288" t="s">
        <v>3580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3770</v>
      </c>
      <c r="D148" s="288" t="s">
        <v>2683</v>
      </c>
      <c r="E148" s="288" t="s">
        <v>3770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3581</v>
      </c>
      <c r="D152" s="288" t="s">
        <v>2518</v>
      </c>
      <c r="E152" s="288" t="s">
        <v>3581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3536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3571</v>
      </c>
      <c r="D216" s="288" t="s">
        <v>3572</v>
      </c>
      <c r="E216" s="288" t="s">
        <v>3571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3276</v>
      </c>
      <c r="D218" s="288" t="s">
        <v>3217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3277</v>
      </c>
      <c r="D219" s="288" t="s">
        <v>3274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3275</v>
      </c>
    </row>
    <row r="220" spans="1:9" x14ac:dyDescent="0.3">
      <c r="A220">
        <v>219</v>
      </c>
      <c r="B220">
        <v>4</v>
      </c>
      <c r="C220" s="288" t="s">
        <v>3283</v>
      </c>
      <c r="D220" s="288" t="s">
        <v>3284</v>
      </c>
      <c r="E220" s="288" t="s">
        <v>3283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3312</v>
      </c>
      <c r="D221" s="288" t="s">
        <v>3313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3384</v>
      </c>
      <c r="D222" s="288" t="s">
        <v>3385</v>
      </c>
      <c r="E222" s="288" t="s">
        <v>3384</v>
      </c>
      <c r="H222">
        <f>SUMIF(재고!D:D,제품!D222,재고!F:F)-SUMIF(주문_리스트!E:E,제품!D222,주문_리스트!H:H)</f>
        <v>-1</v>
      </c>
      <c r="I222" s="52" t="s">
        <v>3386</v>
      </c>
    </row>
    <row r="223" spans="1:9" x14ac:dyDescent="0.3">
      <c r="A223">
        <v>222</v>
      </c>
      <c r="B223">
        <v>1</v>
      </c>
      <c r="C223" s="288" t="s">
        <v>3414</v>
      </c>
      <c r="D223" s="288" t="s">
        <v>3415</v>
      </c>
      <c r="E223" s="288" t="s">
        <v>3414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3440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3477</v>
      </c>
      <c r="D225" s="288" t="s">
        <v>3478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3523</v>
      </c>
      <c r="D226" s="288" t="s">
        <v>3222</v>
      </c>
      <c r="E226" s="288" t="s">
        <v>3523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3549</v>
      </c>
      <c r="D227" s="288" t="s">
        <v>3550</v>
      </c>
      <c r="E227" s="288" t="s">
        <v>3549</v>
      </c>
    </row>
    <row r="228" spans="1:8" x14ac:dyDescent="0.3">
      <c r="A228">
        <v>227</v>
      </c>
      <c r="B228">
        <v>3</v>
      </c>
      <c r="D228" s="288" t="s">
        <v>3557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3573</v>
      </c>
      <c r="D229" s="288" t="s">
        <v>3574</v>
      </c>
      <c r="E229" s="288" t="s">
        <v>3573</v>
      </c>
      <c r="H229" s="52">
        <v>0</v>
      </c>
    </row>
    <row r="230" spans="1:8" x14ac:dyDescent="0.3">
      <c r="A230">
        <v>229</v>
      </c>
      <c r="B230">
        <v>3</v>
      </c>
      <c r="D230" s="288" t="s">
        <v>3585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3590</v>
      </c>
      <c r="D231" s="288" t="s">
        <v>3591</v>
      </c>
      <c r="E231" s="288" t="s">
        <v>3590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3593</v>
      </c>
      <c r="D232" s="288" t="s">
        <v>3594</v>
      </c>
      <c r="E232" s="288" t="s">
        <v>3593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3595</v>
      </c>
      <c r="D233" s="288" t="s">
        <v>3585</v>
      </c>
      <c r="E233" s="288" t="s">
        <v>3595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3596</v>
      </c>
      <c r="D234" s="288" t="s">
        <v>3597</v>
      </c>
      <c r="E234" s="288" t="s">
        <v>3596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3631</v>
      </c>
      <c r="D235" s="288" t="s">
        <v>3632</v>
      </c>
      <c r="E235" s="288" t="s">
        <v>3631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3831</v>
      </c>
      <c r="D236" s="288" t="s">
        <v>3832</v>
      </c>
      <c r="E236" s="288" t="s">
        <v>3831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3843</v>
      </c>
      <c r="D237" s="288" t="s">
        <v>3843</v>
      </c>
      <c r="E237" s="288" t="s">
        <v>3844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3857</v>
      </c>
      <c r="E238" s="288" t="s">
        <v>3858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3883</v>
      </c>
      <c r="D239" s="288" t="s">
        <v>3884</v>
      </c>
      <c r="E239" s="288" t="s">
        <v>3883</v>
      </c>
    </row>
    <row r="240" spans="1:8" x14ac:dyDescent="0.3">
      <c r="A240">
        <v>243</v>
      </c>
      <c r="B240">
        <v>4</v>
      </c>
      <c r="C240" s="288" t="s">
        <v>3929</v>
      </c>
      <c r="D240" s="288" t="s">
        <v>3930</v>
      </c>
      <c r="E240" s="288" t="s">
        <v>3929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3962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3967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3969</v>
      </c>
      <c r="E243" s="288" t="s">
        <v>1207</v>
      </c>
      <c r="F243" s="52">
        <v>400000</v>
      </c>
      <c r="G243" s="52">
        <v>200000</v>
      </c>
      <c r="H243" s="52">
        <v>-50</v>
      </c>
    </row>
    <row r="244" spans="1:8" x14ac:dyDescent="0.3">
      <c r="A244">
        <v>247</v>
      </c>
      <c r="B244">
        <v>2</v>
      </c>
      <c r="D244" s="288" t="s">
        <v>3984</v>
      </c>
      <c r="F244" s="52">
        <v>700000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2025-10-20T12:21:23Z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