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5FB3CA9-64CB-459C-A71E-D913861380B7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0" i="4" l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161" i="56" l="1"/>
  <c r="C214" i="56"/>
  <c r="C201" i="56"/>
  <c r="C199" i="56"/>
  <c r="C195" i="56"/>
  <c r="C194" i="56"/>
  <c r="C187" i="56"/>
  <c r="C169" i="56"/>
  <c r="C219" i="56"/>
  <c r="C12" i="56"/>
  <c r="C217" i="56"/>
  <c r="C43" i="56"/>
  <c r="C209" i="56"/>
  <c r="C41" i="56"/>
  <c r="C213" i="56"/>
  <c r="C179" i="56"/>
  <c r="C212" i="56"/>
  <c r="C178" i="56"/>
  <c r="C211" i="56"/>
  <c r="C177" i="56"/>
  <c r="C210" i="56"/>
  <c r="C176" i="56"/>
  <c r="C203" i="56"/>
  <c r="C170" i="56"/>
  <c r="C196" i="56"/>
  <c r="C207" i="56"/>
  <c r="C173" i="56"/>
  <c r="C206" i="56"/>
  <c r="C31" i="56"/>
  <c r="C205" i="56"/>
  <c r="C172" i="56"/>
  <c r="C204" i="56"/>
  <c r="C171" i="56"/>
  <c r="C197" i="56"/>
  <c r="C164" i="56"/>
  <c r="C190" i="56"/>
  <c r="C167" i="56"/>
  <c r="C165" i="56"/>
  <c r="C198" i="56"/>
  <c r="C157" i="56"/>
  <c r="C191" i="56"/>
  <c r="C163" i="56"/>
  <c r="C184" i="56"/>
  <c r="C166" i="56"/>
  <c r="C160" i="56"/>
  <c r="C193" i="56"/>
  <c r="C158" i="56"/>
  <c r="C192" i="56"/>
  <c r="C221" i="56"/>
  <c r="C185" i="56"/>
  <c r="C220" i="56"/>
  <c r="C180" i="56"/>
  <c r="C162" i="56"/>
  <c r="C156" i="56"/>
  <c r="C224" i="56"/>
  <c r="C186" i="56"/>
  <c r="C215" i="56"/>
  <c r="C181" i="56"/>
  <c r="C208" i="56"/>
  <c r="C174" i="56"/>
  <c r="C168" i="56"/>
  <c r="C200" i="56"/>
  <c r="C159" i="56"/>
  <c r="C189" i="56"/>
  <c r="C188" i="56"/>
  <c r="C223" i="56"/>
  <c r="C222" i="56"/>
  <c r="C183" i="56"/>
  <c r="C218" i="56"/>
  <c r="C182" i="56"/>
  <c r="C216" i="56"/>
  <c r="C175" i="56"/>
  <c r="C202" i="56"/>
  <c r="C133" i="56"/>
  <c r="C113" i="56"/>
  <c r="C22" i="56"/>
  <c r="C143" i="56"/>
  <c r="C82" i="56"/>
  <c r="C59" i="56"/>
  <c r="C38" i="56"/>
  <c r="C54" i="56"/>
  <c r="C151" i="56"/>
  <c r="C42" i="56"/>
  <c r="C119" i="56"/>
  <c r="C132" i="56"/>
  <c r="C66" i="56"/>
  <c r="C142" i="56"/>
  <c r="C90" i="56"/>
  <c r="C67" i="56"/>
  <c r="C116" i="56"/>
  <c r="C147" i="56"/>
  <c r="C146" i="56"/>
  <c r="C97" i="56"/>
  <c r="C125" i="56"/>
  <c r="C56" i="56"/>
  <c r="C131" i="56"/>
  <c r="C70" i="56"/>
  <c r="C136" i="56"/>
  <c r="C103" i="56"/>
  <c r="C138" i="56"/>
  <c r="C121" i="56"/>
  <c r="C84" i="56"/>
  <c r="C123" i="56"/>
  <c r="C108" i="56"/>
  <c r="C124" i="56"/>
  <c r="C74" i="56"/>
  <c r="C86" i="56"/>
  <c r="C71" i="56"/>
  <c r="C83" i="56"/>
  <c r="C106" i="56"/>
  <c r="C98" i="56"/>
  <c r="C109" i="56"/>
  <c r="C14" i="56"/>
  <c r="C32" i="56"/>
  <c r="C135" i="56"/>
  <c r="C130" i="56"/>
  <c r="C128" i="56"/>
  <c r="C110" i="56"/>
  <c r="C78" i="56"/>
  <c r="C77" i="56"/>
  <c r="C44" i="56"/>
  <c r="C105" i="56"/>
  <c r="C63" i="56"/>
  <c r="C89" i="56"/>
  <c r="C112" i="56"/>
  <c r="C80" i="56"/>
  <c r="C107" i="56"/>
  <c r="C100" i="56"/>
  <c r="C154" i="56"/>
  <c r="C23" i="56"/>
  <c r="C55" i="56"/>
  <c r="C122" i="56"/>
  <c r="C95" i="56"/>
  <c r="C40" i="56"/>
  <c r="C69" i="56"/>
  <c r="C127" i="56"/>
  <c r="C46" i="56"/>
  <c r="C18" i="56"/>
  <c r="C94" i="56"/>
  <c r="C28" i="56"/>
  <c r="C129" i="56"/>
  <c r="C150" i="56"/>
  <c r="C114" i="56"/>
  <c r="C6" i="56"/>
  <c r="C149" i="56"/>
  <c r="C137" i="56"/>
  <c r="C126" i="56"/>
  <c r="C85" i="56"/>
  <c r="C75" i="56"/>
  <c r="C68" i="56"/>
  <c r="C50" i="56"/>
  <c r="C48" i="56"/>
  <c r="C115" i="56"/>
  <c r="C101" i="56"/>
  <c r="C92" i="56"/>
  <c r="C39" i="56"/>
  <c r="C118" i="56"/>
  <c r="C60" i="56"/>
  <c r="C81" i="56"/>
  <c r="C72" i="56"/>
  <c r="C64" i="56"/>
  <c r="C141" i="56"/>
  <c r="C11" i="56"/>
  <c r="C26" i="56"/>
  <c r="C76" i="56"/>
  <c r="C7" i="56"/>
  <c r="C102" i="56"/>
  <c r="C37" i="56"/>
  <c r="C20" i="56"/>
  <c r="C155" i="56"/>
  <c r="C65" i="56"/>
  <c r="C153" i="56"/>
  <c r="C104" i="56"/>
  <c r="C27" i="56"/>
  <c r="C52" i="56"/>
  <c r="C152" i="56"/>
  <c r="C140" i="56"/>
  <c r="C34" i="56"/>
  <c r="C111" i="56"/>
  <c r="C53" i="56"/>
  <c r="C17" i="56"/>
  <c r="C99" i="56"/>
  <c r="C145" i="56"/>
  <c r="C30" i="56"/>
  <c r="C61" i="56"/>
  <c r="C62" i="56"/>
  <c r="C120" i="56"/>
  <c r="C79" i="56"/>
  <c r="C47" i="56"/>
  <c r="C45" i="56"/>
  <c r="C96" i="56"/>
  <c r="C16" i="56"/>
  <c r="C15" i="56"/>
  <c r="C5" i="56"/>
  <c r="C58" i="56"/>
  <c r="C9" i="56"/>
  <c r="C36" i="56"/>
  <c r="C33" i="56"/>
  <c r="C73" i="56"/>
  <c r="C148" i="56"/>
  <c r="C88" i="56"/>
  <c r="C3" i="56"/>
  <c r="C10" i="56"/>
  <c r="C57" i="56"/>
  <c r="C139" i="56"/>
  <c r="C144" i="56"/>
  <c r="C19" i="56"/>
  <c r="C134" i="56"/>
  <c r="C35" i="56"/>
  <c r="C24" i="56"/>
  <c r="C13" i="56"/>
  <c r="C8" i="56"/>
  <c r="C25" i="56"/>
  <c r="C87" i="56"/>
  <c r="C117" i="56"/>
  <c r="C91" i="56"/>
  <c r="C49" i="56"/>
  <c r="C4" i="56"/>
  <c r="C29" i="56"/>
  <c r="C93" i="56"/>
  <c r="C21" i="56"/>
  <c r="C2" i="56"/>
  <c r="C51" i="56"/>
  <c r="D83" i="56" l="1"/>
  <c r="D54" i="56"/>
  <c r="D49" i="56"/>
  <c r="D4" i="56"/>
  <c r="D13" i="56"/>
  <c r="D214" i="56"/>
  <c r="D159" i="56"/>
  <c r="D204" i="56"/>
  <c r="D9" i="56"/>
  <c r="D136" i="56"/>
  <c r="D3" i="56"/>
  <c r="D81" i="56"/>
  <c r="D221" i="56"/>
  <c r="D55" i="56"/>
  <c r="D79" i="56"/>
  <c r="D110" i="56"/>
  <c r="D127" i="56"/>
  <c r="D37" i="56"/>
  <c r="D161" i="56"/>
  <c r="D125" i="56"/>
  <c r="D220" i="56"/>
  <c r="D86" i="56"/>
  <c r="D8" i="56"/>
  <c r="D190" i="56"/>
  <c r="D215" i="56"/>
  <c r="D93" i="56"/>
  <c r="D65" i="56"/>
  <c r="D143" i="56"/>
  <c r="D16" i="56"/>
  <c r="D6" i="56"/>
  <c r="D131" i="56"/>
  <c r="D146" i="56"/>
  <c r="D178" i="56"/>
  <c r="D101" i="56"/>
  <c r="D69" i="56"/>
  <c r="D111" i="56"/>
  <c r="D76" i="56"/>
  <c r="D191" i="56"/>
  <c r="D198" i="56"/>
  <c r="D120" i="56"/>
  <c r="D71" i="56"/>
  <c r="D85" i="56"/>
  <c r="D59" i="56"/>
  <c r="D102" i="56"/>
  <c r="D168" i="56"/>
  <c r="D145" i="56"/>
  <c r="D53" i="56"/>
  <c r="D98" i="56"/>
  <c r="D29" i="56"/>
  <c r="D7" i="56"/>
  <c r="D70" i="56"/>
  <c r="D105" i="56"/>
  <c r="D123" i="56"/>
  <c r="D189" i="56"/>
  <c r="D219" i="56"/>
  <c r="D148" i="56"/>
  <c r="D92" i="56"/>
  <c r="D132" i="56"/>
  <c r="D88" i="56"/>
  <c r="D78" i="56"/>
  <c r="D94" i="56"/>
  <c r="D36" i="56"/>
  <c r="D11" i="56"/>
  <c r="D196" i="56"/>
  <c r="D134" i="56"/>
  <c r="D73" i="56"/>
  <c r="D26" i="56"/>
  <c r="D150" i="56"/>
  <c r="D119" i="56"/>
  <c r="D133" i="56"/>
  <c r="D186" i="56"/>
  <c r="D15" i="56"/>
  <c r="D157" i="56"/>
  <c r="D193" i="56"/>
  <c r="D74" i="56"/>
  <c r="D18" i="56"/>
  <c r="D195" i="56"/>
  <c r="D35" i="56"/>
  <c r="D173" i="56"/>
  <c r="D104" i="56"/>
  <c r="D20" i="56"/>
  <c r="D209" i="56"/>
  <c r="D108" i="56"/>
  <c r="D25" i="56"/>
  <c r="D149" i="56"/>
  <c r="D118" i="56"/>
  <c r="D38" i="56"/>
  <c r="D56" i="56"/>
  <c r="D24" i="56"/>
  <c r="D169" i="56"/>
  <c r="D164" i="56"/>
  <c r="D156" i="56"/>
  <c r="D183" i="56"/>
  <c r="D106" i="56"/>
  <c r="D223" i="56"/>
  <c r="D40" i="56"/>
  <c r="D126" i="56"/>
  <c r="D142" i="56"/>
  <c r="D207" i="56"/>
  <c r="D112" i="56"/>
  <c r="D58" i="56"/>
  <c r="D33" i="56"/>
  <c r="D155" i="56"/>
  <c r="D128" i="56"/>
  <c r="D113" i="56"/>
  <c r="D192" i="56"/>
  <c r="D167" i="56"/>
  <c r="D45" i="56"/>
  <c r="D27" i="56"/>
  <c r="D160" i="56"/>
  <c r="D188" i="56"/>
  <c r="D12" i="56"/>
  <c r="D213" i="56"/>
  <c r="D5" i="56"/>
  <c r="D52" i="56"/>
  <c r="D180" i="56"/>
  <c r="D100" i="56"/>
  <c r="D170" i="56"/>
  <c r="D31" i="56"/>
  <c r="D48" i="56"/>
  <c r="D154" i="56"/>
  <c r="D63" i="56"/>
  <c r="D194" i="56"/>
  <c r="D124" i="56"/>
  <c r="D176" i="56"/>
  <c r="D182" i="56"/>
  <c r="D99" i="56"/>
  <c r="D135" i="56"/>
  <c r="D51" i="56"/>
  <c r="D144" i="56"/>
  <c r="D50" i="56"/>
  <c r="D177" i="56"/>
  <c r="D200" i="56"/>
  <c r="D181" i="56"/>
  <c r="D22" i="56"/>
  <c r="D222" i="56"/>
  <c r="D199" i="56"/>
  <c r="D172" i="56"/>
  <c r="D84" i="56"/>
  <c r="D171" i="56"/>
  <c r="D68" i="56"/>
  <c r="D82" i="56"/>
  <c r="D96" i="56"/>
  <c r="D162" i="56"/>
  <c r="D28" i="56"/>
  <c r="D201" i="56"/>
  <c r="D121" i="56"/>
  <c r="D115" i="56"/>
  <c r="D87" i="56"/>
  <c r="D60" i="56"/>
  <c r="D44" i="56"/>
  <c r="D137" i="56"/>
  <c r="D30" i="56"/>
  <c r="D109" i="56"/>
  <c r="D10" i="56"/>
  <c r="D41" i="56"/>
  <c r="D90" i="56"/>
  <c r="D66" i="56"/>
  <c r="D211" i="56"/>
  <c r="D179" i="56"/>
  <c r="D72" i="56"/>
  <c r="D165" i="56"/>
  <c r="D129" i="56"/>
  <c r="D42" i="56"/>
  <c r="D210" i="56"/>
  <c r="D217" i="56"/>
  <c r="D77" i="56"/>
  <c r="D39" i="56"/>
  <c r="D206" i="56"/>
  <c r="D46" i="56"/>
  <c r="D138" i="56"/>
  <c r="D64" i="56"/>
  <c r="D202" i="56"/>
  <c r="D89" i="56"/>
  <c r="D75" i="56"/>
  <c r="D122" i="56"/>
  <c r="D91" i="56"/>
  <c r="D47" i="56"/>
  <c r="D158" i="56"/>
  <c r="D141" i="56"/>
  <c r="D212" i="56"/>
  <c r="D147" i="56"/>
  <c r="D19" i="56"/>
  <c r="D205" i="56"/>
  <c r="D62" i="56"/>
  <c r="D17" i="56"/>
  <c r="D32" i="56"/>
  <c r="D2" i="56"/>
  <c r="D139" i="56"/>
  <c r="D208" i="56"/>
  <c r="D67" i="56"/>
  <c r="D218" i="56"/>
  <c r="D151" i="56"/>
  <c r="D80" i="56"/>
  <c r="D203" i="56"/>
  <c r="D23" i="56"/>
  <c r="D103" i="56"/>
  <c r="D114" i="56"/>
  <c r="D224" i="56"/>
  <c r="D185" i="56"/>
  <c r="D216" i="56"/>
  <c r="D152" i="56"/>
  <c r="D140" i="56"/>
  <c r="D43" i="56"/>
  <c r="D95" i="56"/>
  <c r="D107" i="56"/>
  <c r="D117" i="56"/>
  <c r="D34" i="56"/>
  <c r="D153" i="56"/>
  <c r="D116" i="56"/>
  <c r="D130" i="56"/>
  <c r="D166" i="56"/>
  <c r="D187" i="56"/>
  <c r="D163" i="56"/>
  <c r="D61" i="56"/>
  <c r="D197" i="56"/>
  <c r="D14" i="56"/>
  <c r="D21" i="56"/>
  <c r="D57" i="56"/>
  <c r="D174" i="56"/>
  <c r="D175" i="56"/>
  <c r="D184" i="56"/>
  <c r="D97" i="56"/>
  <c r="F14" i="56" l="1"/>
  <c r="F13" i="56"/>
  <c r="F12" i="56"/>
</calcChain>
</file>

<file path=xl/sharedStrings.xml><?xml version="1.0" encoding="utf-8"?>
<sst xmlns="http://schemas.openxmlformats.org/spreadsheetml/2006/main" count="12332" uniqueCount="4052">
  <si>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</si>
  <si>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</si>
  <si>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</si>
  <si>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</si>
  <si>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</si>
  <si>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</si>
  <si>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</si>
  <si>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</si>
  <si>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</si>
  <si>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</si>
  <si>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</si>
  <si>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</si>
  <si>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</si>
  <si>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</si>
  <si>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</si>
  <si>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</si>
  <si>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</si>
  <si>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</si>
  <si>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</si>
  <si>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</si>
  <si>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</si>
  <si>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</si>
  <si>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</si>
  <si>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</si>
  <si>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</si>
  <si>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</si>
  <si>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</si>
  <si>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</si>
  <si>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</si>
  <si>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</si>
  <si>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</si>
  <si>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</si>
  <si>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</si>
  <si>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</si>
  <si>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</si>
  <si>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</si>
  <si>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</si>
  <si>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</si>
  <si>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</si>
  <si>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</si>
  <si>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</si>
  <si>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</si>
  <si>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</si>
  <si>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</si>
  <si>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</si>
  <si>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</si>
  <si>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</si>
  <si>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</si>
  <si>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</si>
  <si>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</si>
  <si>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</si>
  <si>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</si>
  <si>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</si>
  <si>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</si>
  <si>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</si>
  <si>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</si>
  <si>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</si>
  <si>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</si>
  <si>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</si>
  <si>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</si>
  <si>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</si>
  <si>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</si>
  <si>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</si>
  <si>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</si>
  <si>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</si>
  <si>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</si>
  <si>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</si>
  <si>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</si>
  <si>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</si>
  <si>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</si>
  <si>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</si>
  <si>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</si>
  <si>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</si>
  <si>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</si>
  <si>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</si>
  <si>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</si>
  <si>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</si>
  <si>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</si>
  <si>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</si>
  <si>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</si>
  <si>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</si>
  <si>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</si>
  <si>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</si>
  <si>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</si>
  <si>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</si>
  <si>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</si>
  <si>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</si>
  <si>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</si>
  <si>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</si>
  <si>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</si>
  <si>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</si>
  <si>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</si>
  <si>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</si>
  <si>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</si>
  <si>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</si>
  <si>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</si>
  <si>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</si>
  <si>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</si>
  <si>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</si>
  <si>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</si>
  <si>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</si>
  <si>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</si>
  <si>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</si>
  <si>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</si>
  <si>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</si>
  <si>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</si>
  <si>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</si>
  <si>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</si>
  <si>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</si>
  <si>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</si>
  <si>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</si>
  <si>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</si>
  <si>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</si>
  <si>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</si>
  <si>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</si>
  <si>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</si>
  <si>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</si>
  <si>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</si>
  <si>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</si>
  <si>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</si>
  <si>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</si>
  <si>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</si>
  <si>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</si>
  <si>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</si>
  <si>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</si>
  <si>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</si>
  <si>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</si>
  <si>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</si>
  <si>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</si>
  <si>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</si>
  <si>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</si>
  <si>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</si>
  <si>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</si>
  <si>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</si>
  <si>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</si>
  <si>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</si>
  <si>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</si>
  <si>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</si>
  <si>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</si>
  <si>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</si>
  <si>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</si>
  <si>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</si>
  <si>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</si>
  <si>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</si>
  <si>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</si>
  <si>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</si>
  <si>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</si>
  <si>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</si>
  <si>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</si>
  <si>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</si>
  <si>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</si>
  <si>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</si>
  <si>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</si>
  <si>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</si>
  <si>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</si>
  <si>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</si>
  <si>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</si>
  <si>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</si>
  <si>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</si>
  <si>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</si>
  <si>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</si>
  <si>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</si>
  <si>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</si>
  <si>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</si>
  <si>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</si>
  <si>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</si>
  <si>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</si>
  <si>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</si>
  <si>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</si>
  <si>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</si>
  <si>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</si>
  <si>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</si>
  <si>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</si>
  <si>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</si>
  <si>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</si>
  <si>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</si>
  <si>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</si>
  <si>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</si>
  <si>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</si>
  <si>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</si>
  <si>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</si>
  <si>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</si>
  <si>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</si>
  <si>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</si>
  <si>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</si>
  <si>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</si>
  <si>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</si>
  <si>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</si>
  <si>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</si>
  <si>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</si>
  <si>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</si>
  <si>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</si>
  <si>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</si>
  <si>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</si>
  <si>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</si>
  <si>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</si>
  <si>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</si>
  <si>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</si>
  <si>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</si>
  <si>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</si>
  <si>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</si>
  <si>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</si>
  <si>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</si>
  <si>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</si>
  <si>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</si>
  <si>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</si>
  <si>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</si>
  <si>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</si>
  <si>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</si>
  <si>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</si>
  <si>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</si>
  <si>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</si>
  <si>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</si>
  <si>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</si>
  <si>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</si>
  <si>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</si>
  <si>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</si>
  <si>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</si>
  <si>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</si>
  <si>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</si>
  <si>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</si>
  <si>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</si>
  <si>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</si>
  <si>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</si>
  <si>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</si>
  <si>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</si>
  <si>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</si>
  <si>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</si>
  <si>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</si>
  <si>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</si>
  <si>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</si>
  <si>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</si>
  <si>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</si>
  <si>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</si>
  <si>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</si>
  <si>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</si>
  <si>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</si>
  <si>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</si>
  <si>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</si>
  <si>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</si>
  <si>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</si>
  <si>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</si>
  <si>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</si>
  <si>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</si>
  <si>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</si>
  <si>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</si>
  <si>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</si>
  <si>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</si>
  <si>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</si>
  <si>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</si>
  <si>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</si>
  <si>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</si>
  <si>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</si>
  <si>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</si>
  <si>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</si>
  <si>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</si>
  <si>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</si>
  <si>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</si>
  <si>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</si>
  <si>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</si>
  <si>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</si>
  <si>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</si>
  <si>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</si>
  <si>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</si>
  <si>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</si>
  <si>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</si>
  <si>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</si>
  <si>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</si>
  <si>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</si>
  <si>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</si>
  <si>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</si>
  <si>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</si>
  <si>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</si>
  <si>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</si>
  <si>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</si>
  <si>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</si>
  <si>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</si>
  <si>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</si>
  <si>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</si>
  <si>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</si>
  <si>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</si>
  <si>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</si>
  <si>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</si>
  <si>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</si>
  <si>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</si>
  <si>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</si>
  <si>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</si>
  <si>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</si>
  <si>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</si>
  <si>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</si>
  <si>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</si>
  <si>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</si>
  <si>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</si>
  <si>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</si>
  <si>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</si>
  <si>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</si>
  <si>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</si>
  <si>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</si>
  <si>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</si>
  <si>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</si>
  <si>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</si>
  <si>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</si>
  <si>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</si>
  <si>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</si>
  <si>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</si>
  <si>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</si>
  <si>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</si>
  <si>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</si>
  <si>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</si>
  <si>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</si>
  <si>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</si>
  <si>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</si>
  <si>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</si>
  <si>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</si>
  <si>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</si>
  <si>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</si>
  <si>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</si>
  <si>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</si>
  <si>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</si>
  <si>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</si>
  <si>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</si>
  <si>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</si>
  <si>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</si>
  <si>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</si>
  <si>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</si>
  <si>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</si>
  <si>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</si>
  <si>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</si>
  <si>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</si>
  <si>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</si>
  <si>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</si>
  <si>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</si>
  <si>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</si>
  <si>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</si>
  <si>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</si>
  <si>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</si>
  <si>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</si>
  <si>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</si>
  <si>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</si>
  <si>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</si>
  <si>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</si>
  <si>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</si>
  <si>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</si>
  <si>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</si>
  <si>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</si>
  <si>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</si>
  <si>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</si>
  <si>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</si>
  <si>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</si>
  <si>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</si>
  <si>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</si>
  <si>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</si>
  <si>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</si>
  <si>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</si>
  <si>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</si>
  <si>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</si>
  <si>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</si>
  <si>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</si>
  <si>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</si>
  <si>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</si>
  <si>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</si>
  <si>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</si>
  <si>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</si>
  <si>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</si>
  <si>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</si>
  <si>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</si>
  <si>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</si>
  <si>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</si>
  <si>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</si>
  <si>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</si>
  <si>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</si>
  <si>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</si>
  <si>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</si>
  <si>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</si>
  <si>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</si>
  <si>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</si>
  <si>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</si>
  <si>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</si>
  <si>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</si>
  <si>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</si>
  <si>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</si>
  <si>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</si>
  <si>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</si>
  <si>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</si>
  <si>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</si>
  <si>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</si>
  <si>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</si>
  <si>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</si>
  <si>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</si>
  <si>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</si>
  <si>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</si>
  <si>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</si>
  <si>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</si>
  <si>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</si>
  <si>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</si>
  <si>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</si>
  <si>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</si>
  <si>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</si>
  <si>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</si>
  <si>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</si>
  <si>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</si>
  <si>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</si>
  <si>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</si>
  <si>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</si>
  <si>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</si>
  <si>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</si>
  <si>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</si>
  <si>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</si>
  <si>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</si>
  <si>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</si>
  <si>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</si>
  <si>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</si>
  <si>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</si>
  <si>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</si>
  <si>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</si>
  <si>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</si>
  <si>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</si>
  <si>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</si>
  <si>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</si>
  <si>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</si>
  <si>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</si>
  <si>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</si>
  <si>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</si>
  <si>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</si>
  <si>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</si>
  <si>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</si>
  <si>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</si>
  <si>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</si>
  <si>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</si>
  <si>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</si>
  <si>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</si>
  <si>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</si>
  <si>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</si>
  <si>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</si>
  <si>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</si>
  <si>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</si>
  <si>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</si>
  <si>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</si>
  <si>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</si>
  <si>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</si>
  <si>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</si>
  <si>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</si>
  <si>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</si>
  <si>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</si>
  <si>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</si>
  <si>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</si>
  <si>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</si>
  <si>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</si>
  <si>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</si>
  <si>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</si>
  <si>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</si>
  <si>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</si>
  <si>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</si>
  <si>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</si>
  <si>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</si>
  <si>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</si>
  <si>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</si>
  <si>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</si>
  <si>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</si>
  <si>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</si>
  <si>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</si>
  <si>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</si>
  <si>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</si>
  <si>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</si>
  <si>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</si>
  <si>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</si>
  <si>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</si>
  <si>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</si>
  <si>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</si>
  <si>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</si>
  <si>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</si>
  <si>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</si>
  <si>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</si>
  <si>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</si>
  <si>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</si>
  <si>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</si>
  <si>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</si>
  <si>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</si>
  <si>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</si>
  <si>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</si>
  <si>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</si>
  <si>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</si>
  <si>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</si>
  <si>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</si>
  <si>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</si>
  <si>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</si>
  <si>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</si>
  <si>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</si>
  <si>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</si>
  <si>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</si>
  <si>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</si>
  <si>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</si>
  <si>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</si>
  <si>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</si>
  <si>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</si>
  <si>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</si>
  <si>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</si>
  <si>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</si>
  <si>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</si>
  <si>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</si>
  <si>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</si>
  <si>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</si>
  <si>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</si>
  <si>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</si>
  <si>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</si>
  <si>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</si>
  <si>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</si>
  <si>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</si>
  <si>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</si>
  <si>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</si>
  <si>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</si>
  <si>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</si>
  <si>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</si>
  <si>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</si>
  <si>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</si>
  <si>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</si>
  <si>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</si>
  <si>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</si>
  <si>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</si>
  <si>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</si>
  <si>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</si>
  <si>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</si>
  <si>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</si>
  <si>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</si>
  <si>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</si>
  <si>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</si>
  <si>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</si>
  <si>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</si>
  <si>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</si>
  <si>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</si>
  <si>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</si>
  <si>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</si>
  <si>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</si>
  <si>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</si>
  <si>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</si>
  <si>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</si>
  <si>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</si>
  <si>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</si>
  <si>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</si>
  <si>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</si>
  <si>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</si>
  <si>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</si>
  <si>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</si>
  <si>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</si>
  <si>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</si>
  <si>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</si>
  <si>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</si>
  <si>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</si>
  <si>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</si>
  <si>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</si>
  <si>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</si>
  <si>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</si>
  <si>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</si>
  <si>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</si>
  <si>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</si>
  <si>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</si>
  <si>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</si>
  <si>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</si>
  <si>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</si>
  <si>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</si>
  <si>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</si>
  <si>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</si>
  <si>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</si>
  <si>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</si>
  <si>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</si>
  <si>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</si>
  <si>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</si>
  <si>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</si>
  <si>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</si>
  <si>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</si>
  <si>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</si>
  <si>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</si>
  <si>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</si>
  <si>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</si>
  <si>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</si>
  <si>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</si>
  <si>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</si>
  <si>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</si>
  <si>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</si>
  <si>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</si>
  <si>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</si>
  <si>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</si>
  <si>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</si>
  <si>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</si>
  <si>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</si>
  <si>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</si>
  <si>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</si>
  <si>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</si>
  <si>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</si>
  <si>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</si>
  <si>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</si>
  <si>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</si>
  <si>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</si>
  <si>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</si>
  <si>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</si>
  <si>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</si>
  <si>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</si>
  <si>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</si>
  <si>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</si>
  <si>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</si>
  <si>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</si>
  <si>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</si>
  <si>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</si>
  <si>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</si>
  <si>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</si>
  <si>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</si>
  <si>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</si>
  <si>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</si>
  <si>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</si>
  <si>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</si>
  <si>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</si>
  <si>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</si>
  <si>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</si>
  <si>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</si>
  <si>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</si>
  <si>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</si>
  <si>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</si>
  <si>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</si>
  <si>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</si>
  <si>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</si>
  <si>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</si>
  <si>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</si>
  <si>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</si>
  <si>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</si>
  <si>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</si>
  <si>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</si>
  <si>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</si>
  <si>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</si>
  <si>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</si>
  <si>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</si>
  <si>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</si>
  <si>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</si>
  <si>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</si>
  <si>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</si>
  <si>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</si>
  <si>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</si>
  <si>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</si>
  <si>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</si>
  <si>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</si>
  <si>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</si>
  <si>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</si>
  <si>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</si>
  <si>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</si>
  <si>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</si>
  <si>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</si>
  <si>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</si>
  <si>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</si>
  <si>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</si>
  <si>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</si>
  <si>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</si>
  <si>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</si>
  <si>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</si>
  <si>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</si>
  <si>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</si>
  <si>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</si>
  <si>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</si>
  <si>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</si>
  <si>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</si>
  <si>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</si>
  <si>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</si>
  <si>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</si>
  <si>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</si>
  <si>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</si>
  <si>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</si>
  <si>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</si>
  <si>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</si>
  <si>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</si>
  <si>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</si>
  <si>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</si>
  <si>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</si>
  <si>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</si>
  <si>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</si>
  <si>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</si>
  <si>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</si>
  <si>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</si>
  <si>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</si>
  <si>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</si>
  <si>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</si>
  <si>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</si>
  <si>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</si>
  <si>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</si>
  <si>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</si>
  <si>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</si>
  <si>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</si>
  <si>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</si>
  <si>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</si>
  <si>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</si>
  <si>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</si>
  <si>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</si>
  <si>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</si>
  <si>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</si>
  <si>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</si>
  <si>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</si>
  <si>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</si>
  <si>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</si>
  <si>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</si>
  <si>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</si>
  <si>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</si>
  <si>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</si>
  <si>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</si>
  <si>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</si>
  <si>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</si>
  <si>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</si>
  <si>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</si>
  <si>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</si>
  <si>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</si>
  <si>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</si>
  <si>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</si>
  <si>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</si>
  <si>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</si>
  <si>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</si>
  <si>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</si>
  <si>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</si>
  <si>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</si>
  <si>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</si>
  <si>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</si>
  <si>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</si>
  <si>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</si>
  <si>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</si>
  <si>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</si>
  <si>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</si>
  <si>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</si>
  <si>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</si>
  <si>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</si>
  <si>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</si>
  <si>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</si>
  <si>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</si>
  <si>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</si>
  <si>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</si>
  <si>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</si>
  <si>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</si>
  <si>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</si>
  <si>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</si>
  <si>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</si>
  <si>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</si>
  <si>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</si>
  <si>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</si>
  <si>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</si>
  <si>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</si>
  <si>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</si>
  <si>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</si>
  <si>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</si>
  <si>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</si>
  <si>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</si>
  <si>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</si>
  <si>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</si>
  <si>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</si>
  <si>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</si>
  <si>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</si>
  <si>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</si>
  <si>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</si>
  <si>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</si>
  <si>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</si>
  <si>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</si>
  <si>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</si>
  <si>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</si>
  <si>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</si>
  <si>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</si>
  <si>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</si>
  <si>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</si>
  <si>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</si>
  <si>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</si>
  <si>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</si>
  <si>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</si>
  <si>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</si>
  <si>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</si>
  <si>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</si>
  <si>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</si>
  <si>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</si>
  <si>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</si>
  <si>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</si>
  <si>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</si>
  <si>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</si>
  <si>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</si>
  <si>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</si>
  <si>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</si>
  <si>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</si>
  <si>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</si>
  <si>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</si>
  <si>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</si>
  <si>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</si>
  <si>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</si>
  <si>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</si>
  <si>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</si>
  <si>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</si>
  <si>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</si>
  <si>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</si>
  <si>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</si>
  <si>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</si>
  <si>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</si>
  <si>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</si>
  <si>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</si>
  <si>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</si>
  <si>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</si>
  <si>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</si>
  <si>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</si>
  <si>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</si>
  <si>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</si>
  <si>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</si>
  <si>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</si>
  <si>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</si>
  <si>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</si>
  <si>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</si>
  <si>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</si>
  <si>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</si>
  <si>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</si>
  <si>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</si>
  <si>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</si>
  <si>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</si>
  <si>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</si>
  <si>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</si>
  <si>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</si>
  <si>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</si>
  <si>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</si>
  <si>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</si>
  <si>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</si>
  <si>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</si>
  <si>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</si>
  <si>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</si>
  <si>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</si>
  <si>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</si>
  <si>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</si>
  <si>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</si>
  <si>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</si>
  <si>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</si>
  <si>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</si>
  <si>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</si>
  <si>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</si>
  <si>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</si>
  <si>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</si>
  <si>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</si>
  <si>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</si>
  <si>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</si>
  <si>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</si>
  <si>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</si>
  <si>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</si>
  <si>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</si>
  <si>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</si>
  <si>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</si>
  <si>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</si>
  <si>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</si>
  <si>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</si>
  <si>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</si>
  <si>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</si>
  <si>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</si>
  <si>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</si>
  <si>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</si>
  <si>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</si>
  <si>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</si>
  <si>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</si>
  <si>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</si>
  <si>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</si>
  <si>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</si>
  <si>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</si>
  <si>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</si>
  <si>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</si>
  <si>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</si>
  <si>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</si>
  <si>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</si>
  <si>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</si>
  <si>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</si>
  <si>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</si>
  <si>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</si>
  <si>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</si>
  <si>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</si>
  <si>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</si>
  <si>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</si>
  <si>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</si>
  <si>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</si>
  <si>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</si>
  <si>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</si>
  <si>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</si>
  <si>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</si>
  <si>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</si>
  <si>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</si>
  <si>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</si>
  <si>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</si>
  <si>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</si>
  <si>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</si>
  <si>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</si>
  <si>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</si>
  <si>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</si>
  <si>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</si>
  <si>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</si>
  <si>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</si>
  <si>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</si>
  <si>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</si>
  <si>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</si>
  <si>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</si>
  <si>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</si>
  <si>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</si>
  <si>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</si>
  <si>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</si>
  <si>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</si>
  <si>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</si>
  <si>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</si>
  <si>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</si>
  <si>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</si>
  <si>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</si>
  <si>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</si>
  <si>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</si>
  <si>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</si>
  <si>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</si>
  <si>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</si>
  <si>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</si>
  <si>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</si>
  <si>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</si>
  <si>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</si>
  <si>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</si>
  <si>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</si>
  <si>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</si>
  <si>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</si>
  <si>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</si>
  <si>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</si>
  <si>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</si>
  <si>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</si>
  <si>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</si>
  <si>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</si>
  <si>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</si>
  <si>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</si>
  <si>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</si>
  <si>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</si>
  <si>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</si>
  <si>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</si>
  <si>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</si>
  <si>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</si>
  <si>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</si>
  <si>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</si>
  <si>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</si>
  <si>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</si>
  <si>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</si>
  <si>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</si>
  <si>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</si>
  <si>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</si>
  <si>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</si>
  <si>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</si>
  <si>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</si>
  <si>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</si>
  <si>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</si>
  <si>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</si>
  <si>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</si>
  <si>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</si>
  <si>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</si>
  <si>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</si>
  <si>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</si>
  <si>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</si>
  <si>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</si>
  <si>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</si>
  <si>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</si>
  <si>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</si>
  <si>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</si>
  <si>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</si>
  <si>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</si>
  <si>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</si>
  <si>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</si>
  <si>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</si>
  <si>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</si>
  <si>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</si>
  <si>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</si>
  <si>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</si>
  <si>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</si>
  <si>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</si>
  <si>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</si>
  <si>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</si>
  <si>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</si>
  <si>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</si>
  <si>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</si>
  <si>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</si>
  <si>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</si>
  <si>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</si>
  <si>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</si>
  <si>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</si>
  <si>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</si>
  <si>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</si>
  <si>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</si>
  <si>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</si>
  <si>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</si>
  <si>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</si>
  <si>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</si>
  <si>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</si>
  <si>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</si>
  <si>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</si>
  <si>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</si>
  <si>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</si>
  <si>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</si>
  <si>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</si>
  <si>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</si>
  <si>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</si>
  <si>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</si>
  <si>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</si>
  <si>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</si>
  <si>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</si>
  <si>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</si>
  <si>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</si>
  <si>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</si>
  <si>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</si>
  <si>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</si>
  <si>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</si>
  <si>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</si>
  <si>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</si>
  <si>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</si>
  <si>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</si>
  <si>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</si>
  <si>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</si>
  <si>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</si>
  <si>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</si>
  <si>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</si>
  <si>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</si>
  <si>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</si>
  <si>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</si>
  <si>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</si>
  <si>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</si>
  <si>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</si>
  <si>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</si>
  <si>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</si>
  <si>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</si>
  <si>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</si>
  <si>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</si>
  <si>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</si>
  <si>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</si>
  <si>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</si>
  <si>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</si>
  <si>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</si>
  <si>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</si>
  <si>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</si>
  <si>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</si>
  <si>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</si>
  <si>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</si>
  <si>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</si>
  <si>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</si>
  <si>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</si>
  <si>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</si>
  <si>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</si>
  <si>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</si>
  <si>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</si>
  <si>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</si>
  <si>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</si>
  <si>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</si>
  <si>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</si>
  <si>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</si>
  <si>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</si>
  <si>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</si>
  <si>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</si>
  <si>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</si>
  <si>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</si>
  <si>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</si>
  <si>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</si>
  <si>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</si>
  <si>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</si>
  <si>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</si>
  <si>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</si>
  <si>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</si>
  <si>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</si>
  <si>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</si>
  <si>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</si>
  <si>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</si>
  <si>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</si>
  <si>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</si>
  <si>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</si>
  <si>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</si>
  <si>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</si>
  <si>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</si>
  <si>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</si>
  <si>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</si>
  <si>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</si>
  <si>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</si>
  <si>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</si>
  <si>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</si>
  <si>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</si>
  <si>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</si>
  <si>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</si>
  <si>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</si>
  <si>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</si>
  <si>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</si>
  <si>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</si>
  <si>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</si>
  <si>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</si>
  <si>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</si>
  <si>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</si>
  <si>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</si>
  <si>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</si>
  <si>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</si>
  <si>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</si>
  <si>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</si>
  <si>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</si>
  <si>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</si>
  <si>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</si>
  <si>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</si>
  <si>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</si>
  <si>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</si>
  <si>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</si>
  <si>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</si>
  <si>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</si>
  <si>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</si>
  <si>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</si>
  <si>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</si>
  <si>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</si>
  <si>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</si>
  <si>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</si>
  <si>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</si>
  <si>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</si>
  <si>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</si>
  <si>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</si>
  <si>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</si>
  <si>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</si>
  <si>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</si>
  <si>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</si>
  <si>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</si>
  <si>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</si>
  <si>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</si>
  <si>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</si>
  <si>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</si>
  <si>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</si>
  <si>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</si>
  <si>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</si>
  <si>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</si>
  <si>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</si>
  <si>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</si>
  <si>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</si>
  <si>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</si>
  <si>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</si>
  <si>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</si>
  <si>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</si>
  <si>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</si>
  <si>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</si>
  <si>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</si>
  <si>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</si>
  <si>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</si>
  <si>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</si>
  <si>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</si>
  <si>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</si>
  <si>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</si>
  <si>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</si>
  <si>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</si>
  <si>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</si>
  <si>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</si>
  <si>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</si>
  <si>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</si>
  <si>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</si>
  <si>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</si>
  <si>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</si>
  <si>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</si>
  <si>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</si>
  <si>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</si>
  <si>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</si>
  <si>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</si>
  <si>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</si>
  <si>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</si>
  <si>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</si>
  <si>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</si>
  <si>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</si>
  <si>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</si>
  <si>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</si>
  <si>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</si>
  <si>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</si>
  <si>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</si>
  <si>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</si>
  <si>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</si>
  <si>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</si>
  <si>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</si>
  <si>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</si>
  <si>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</si>
  <si>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</si>
  <si>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</si>
  <si>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</si>
  <si>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</si>
  <si>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</si>
  <si>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</si>
  <si>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</si>
  <si>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</si>
  <si>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</si>
  <si>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</si>
  <si>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</si>
  <si>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</si>
  <si>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</si>
  <si>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</si>
  <si>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</si>
  <si>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</si>
  <si>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</si>
  <si>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</si>
  <si>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</si>
  <si>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</si>
  <si>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</si>
  <si>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</si>
  <si>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</si>
  <si>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</si>
  <si>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</si>
  <si>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</si>
  <si>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</si>
  <si>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</si>
  <si>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</si>
  <si>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</si>
  <si>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</si>
  <si>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</si>
  <si>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</si>
  <si>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</si>
  <si>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</si>
  <si>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</si>
  <si>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</si>
  <si>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</si>
  <si>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</si>
  <si>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</si>
  <si>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</si>
  <si>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</si>
  <si>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</si>
  <si>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</si>
  <si>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</si>
  <si>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</si>
  <si>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</si>
  <si>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</si>
  <si>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</si>
  <si>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</si>
  <si>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</si>
  <si>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</si>
  <si>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</si>
  <si>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</si>
  <si>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</si>
  <si>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</si>
  <si>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</si>
  <si>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</si>
  <si>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</si>
  <si>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</si>
  <si>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</si>
  <si>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</si>
  <si>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</si>
  <si>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</si>
  <si>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</si>
  <si>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</si>
  <si>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</si>
  <si>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</si>
  <si>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</si>
  <si>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</si>
  <si>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</si>
  <si>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</si>
  <si>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</si>
  <si>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</si>
  <si>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</si>
  <si>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</si>
  <si>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</si>
  <si>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</si>
  <si>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</si>
  <si>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</si>
  <si>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</si>
  <si>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</si>
  <si>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</si>
  <si>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</si>
  <si>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</si>
  <si>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</si>
  <si>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</si>
  <si>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</si>
  <si>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</si>
  <si>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</si>
  <si>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</si>
  <si>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</si>
  <si>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</si>
  <si>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</si>
  <si>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</si>
  <si>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</si>
  <si>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</si>
  <si>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</si>
  <si>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</si>
  <si>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</si>
  <si>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</si>
  <si>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</si>
  <si>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</si>
  <si>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</si>
  <si>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</si>
  <si>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</si>
  <si>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</si>
  <si>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</si>
  <si>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</si>
  <si>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</si>
  <si>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</si>
  <si>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</si>
  <si>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</si>
  <si>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</si>
  <si>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</si>
  <si>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</si>
  <si>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</si>
  <si>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</si>
  <si>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</si>
  <si>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</si>
  <si>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</si>
  <si>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</si>
  <si>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</si>
  <si>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</si>
  <si>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</si>
  <si>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</si>
  <si>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</si>
  <si>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</si>
  <si>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</si>
  <si>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</si>
  <si>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</si>
  <si>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</si>
  <si>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</si>
  <si>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</si>
  <si>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</si>
  <si>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</si>
  <si>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</si>
  <si>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</si>
  <si>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</si>
  <si>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</si>
  <si>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</si>
  <si>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</si>
  <si>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</si>
  <si>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</si>
  <si>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</si>
  <si>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</si>
  <si>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</si>
  <si>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</si>
  <si>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</si>
  <si>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</si>
  <si>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</si>
  <si>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</si>
  <si>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</si>
  <si>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</si>
  <si>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</si>
  <si>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</si>
  <si>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</si>
  <si>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</si>
  <si>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</si>
  <si>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</si>
  <si>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</si>
  <si>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</si>
  <si>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</si>
  <si>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</si>
  <si>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</si>
  <si>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</si>
  <si>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</si>
  <si>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</si>
  <si>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</si>
  <si>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</si>
  <si>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</si>
  <si>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</si>
  <si>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</si>
  <si>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</si>
  <si>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</si>
  <si>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</si>
  <si>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</si>
  <si>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</si>
  <si>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</si>
  <si>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</si>
  <si>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</si>
  <si>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</si>
  <si>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</si>
  <si>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</si>
  <si>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</si>
  <si>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</si>
  <si>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</si>
  <si>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</si>
  <si>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</si>
  <si>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</si>
  <si>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</si>
  <si>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</si>
  <si>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</si>
  <si>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</si>
  <si>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</si>
  <si>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</si>
  <si>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</si>
  <si>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</si>
  <si>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</si>
  <si>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</si>
  <si>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</si>
  <si>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</si>
  <si>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</si>
  <si>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</si>
  <si>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</si>
  <si>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</si>
  <si>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</si>
  <si>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</si>
  <si>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</si>
  <si>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</si>
  <si>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</si>
  <si>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</si>
  <si>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</si>
  <si>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</si>
  <si>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</si>
  <si>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</si>
  <si>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</si>
  <si>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</si>
  <si>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</si>
  <si>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</si>
  <si>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</si>
  <si>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</si>
  <si>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</si>
  <si>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</si>
  <si>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</si>
  <si>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</si>
  <si>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</si>
  <si>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</si>
  <si>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</si>
  <si>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</si>
  <si>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</si>
  <si>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</si>
  <si>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</si>
  <si>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</si>
  <si>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</si>
  <si>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</si>
  <si>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</si>
  <si>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</si>
  <si>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</si>
  <si>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</si>
  <si>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</si>
  <si>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</si>
  <si>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</si>
  <si>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</si>
  <si>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</si>
  <si>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</si>
  <si>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</si>
  <si>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</si>
  <si>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</si>
  <si>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</si>
  <si>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</si>
  <si>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</si>
  <si>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</si>
  <si>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</si>
  <si>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</si>
  <si>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</si>
  <si>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</si>
  <si>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</si>
  <si>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</si>
  <si>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</si>
  <si>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</si>
  <si>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</si>
  <si>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</si>
  <si>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</si>
  <si>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</si>
  <si>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</si>
  <si>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</si>
  <si>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</si>
  <si>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</si>
  <si>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</si>
  <si>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</si>
  <si>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</si>
  <si>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</si>
  <si>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</si>
  <si>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</si>
  <si>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</si>
  <si>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</si>
  <si>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</si>
  <si>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</si>
  <si>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</si>
  <si>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</si>
  <si>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</si>
  <si>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</si>
  <si>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</si>
  <si>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</si>
  <si>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</si>
  <si>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</si>
  <si>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</si>
  <si>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</si>
  <si>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</si>
  <si>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</si>
  <si>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</si>
  <si>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</si>
  <si>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</si>
  <si>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</si>
  <si>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</si>
  <si>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</si>
  <si>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</si>
  <si>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</si>
  <si>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</si>
  <si>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</si>
  <si>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</si>
  <si>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</si>
  <si>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</si>
  <si>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</si>
  <si>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</si>
  <si>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</si>
  <si>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</si>
  <si>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</si>
  <si>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</si>
  <si>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</si>
  <si>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</si>
  <si>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</si>
  <si>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</si>
  <si>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</si>
  <si>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</si>
  <si>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</si>
  <si>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</si>
  <si>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</si>
  <si>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</si>
  <si>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</si>
  <si>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</si>
  <si>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</si>
  <si>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</si>
  <si>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</si>
  <si>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</si>
  <si>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</si>
  <si>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</si>
  <si>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</si>
  <si>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</si>
  <si>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</si>
  <si>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</si>
  <si>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</si>
  <si>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</si>
  <si>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</si>
  <si>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</si>
  <si>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</si>
  <si>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</si>
  <si>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</si>
  <si>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</si>
  <si>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</si>
  <si>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</si>
  <si>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</si>
  <si>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</si>
  <si>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</si>
  <si>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</si>
  <si>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</si>
  <si>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</si>
  <si>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</si>
  <si>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</si>
  <si>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</si>
  <si>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</si>
  <si>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</si>
  <si>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</si>
  <si>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</si>
  <si>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</si>
  <si>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</si>
  <si>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</si>
  <si>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</si>
  <si>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</si>
  <si>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</si>
  <si>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</si>
  <si>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</si>
  <si>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</si>
  <si>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</si>
  <si>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</si>
  <si>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</si>
  <si>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</si>
  <si>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</si>
  <si>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</si>
  <si>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</si>
  <si>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</si>
  <si>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</si>
  <si>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</si>
  <si>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</si>
  <si>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</si>
  <si>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</si>
  <si>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</si>
  <si>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</si>
  <si>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</si>
  <si>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</si>
  <si>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</si>
  <si>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</si>
  <si>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</si>
  <si>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</si>
  <si>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</si>
  <si>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</si>
  <si>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</si>
  <si>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</si>
  <si>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</si>
  <si>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</si>
  <si>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</si>
  <si>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</si>
  <si>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</si>
  <si>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</si>
  <si>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</si>
  <si>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</si>
  <si>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</si>
  <si>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</si>
  <si>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</si>
  <si>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</si>
  <si>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</si>
  <si>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</si>
  <si>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</si>
  <si>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</si>
  <si>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</si>
  <si>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</si>
  <si>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</si>
  <si>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</si>
  <si>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</si>
  <si>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</si>
  <si>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</si>
  <si>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</si>
  <si>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</si>
  <si>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</si>
  <si>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</si>
  <si>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</si>
  <si>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</si>
  <si>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</si>
  <si>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</si>
  <si>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</si>
  <si>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</si>
  <si>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</si>
  <si>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</si>
  <si>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</si>
  <si>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</si>
  <si>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</si>
  <si>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</si>
  <si>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</si>
  <si>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</si>
  <si>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</si>
  <si>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</si>
  <si>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</si>
  <si>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</si>
  <si>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</si>
  <si>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</si>
  <si>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</si>
  <si>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</si>
  <si>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</si>
  <si>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</si>
  <si>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</si>
  <si>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</si>
  <si>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</si>
  <si>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</si>
  <si>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</si>
  <si>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</si>
  <si>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</si>
  <si>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</si>
  <si>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</si>
  <si>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</si>
  <si>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</si>
  <si>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</si>
  <si>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</si>
  <si>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</si>
  <si>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</si>
  <si>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</si>
  <si>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</si>
  <si>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</si>
  <si>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</si>
  <si>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</si>
  <si>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</si>
  <si>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</si>
  <si>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</si>
  <si>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</si>
  <si>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</si>
  <si>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</si>
  <si>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</si>
  <si>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</si>
  <si>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</si>
  <si>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</si>
  <si>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</si>
  <si>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</si>
  <si>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</si>
  <si>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</si>
  <si>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</si>
  <si>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</si>
  <si>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</si>
  <si>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</si>
  <si>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</si>
  <si>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</si>
  <si>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</si>
  <si>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</si>
  <si>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</si>
  <si>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</si>
  <si>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</si>
  <si>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</si>
  <si>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</si>
  <si>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</si>
  <si>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</si>
  <si>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</si>
  <si>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</si>
  <si>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</si>
  <si>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</si>
  <si>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</si>
  <si>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</si>
  <si>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</si>
  <si>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</si>
  <si>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</si>
  <si>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</si>
  <si>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</si>
  <si>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</si>
  <si>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</si>
  <si>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</si>
  <si>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</si>
  <si>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</si>
  <si>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</si>
  <si>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</si>
  <si>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</si>
  <si>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</si>
  <si>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</si>
  <si>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</si>
  <si>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</si>
  <si>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</si>
  <si>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</si>
  <si>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</si>
  <si>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</si>
  <si>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</si>
  <si>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</si>
  <si>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</si>
  <si>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</si>
  <si>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</si>
  <si>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</si>
  <si>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</si>
  <si>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</si>
  <si>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</si>
  <si>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</si>
  <si>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</si>
  <si>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</si>
  <si>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</si>
  <si>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</si>
  <si>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</si>
  <si>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</si>
  <si>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</si>
  <si>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</si>
  <si>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</si>
  <si>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</si>
  <si>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</si>
  <si>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</si>
  <si>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</si>
  <si>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</si>
  <si>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</si>
  <si>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</si>
  <si>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</si>
  <si>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</si>
  <si>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</si>
  <si>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</si>
  <si>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</si>
  <si>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</si>
  <si>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</si>
  <si>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</si>
  <si>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</si>
  <si>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</si>
  <si>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</si>
  <si>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</si>
  <si>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</si>
  <si>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</si>
  <si>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</si>
  <si>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</si>
  <si>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</si>
  <si>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</si>
  <si>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</si>
  <si>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</si>
  <si>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</si>
  <si>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</si>
  <si>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</si>
  <si>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</si>
  <si>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</si>
  <si>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</si>
  <si>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</si>
  <si>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</si>
  <si>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</si>
  <si>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</si>
  <si>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</si>
  <si>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</si>
  <si>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</si>
  <si>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</si>
  <si>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</si>
  <si>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</si>
  <si>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</si>
  <si>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</si>
  <si>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</si>
  <si>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</si>
  <si>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</si>
  <si>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</si>
  <si>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</si>
  <si>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</si>
  <si>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</si>
  <si>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</si>
  <si>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</si>
  <si>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</si>
  <si>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</si>
  <si>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</si>
  <si>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</si>
  <si>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</si>
  <si>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</si>
  <si>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</si>
  <si>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</si>
  <si>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</si>
  <si>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</si>
  <si>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</si>
  <si>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</si>
  <si>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</si>
  <si>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</si>
  <si>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</si>
  <si>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</si>
  <si>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</si>
  <si>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</si>
  <si>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</si>
  <si>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</si>
  <si>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</si>
  <si>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</si>
  <si>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</si>
  <si>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</si>
  <si>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</si>
  <si>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</si>
  <si>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</si>
  <si>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</si>
  <si>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</si>
  <si>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</si>
  <si>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</si>
  <si>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</si>
  <si>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</si>
  <si>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</si>
  <si>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</si>
  <si>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</si>
  <si>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</si>
  <si>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</si>
  <si>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</si>
  <si>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</si>
  <si>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</si>
  <si>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</si>
  <si>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</si>
  <si>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</si>
  <si>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</si>
  <si>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</si>
  <si>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</si>
  <si>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</si>
  <si>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</si>
  <si>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</si>
  <si>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</si>
  <si>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</si>
  <si>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</si>
  <si>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</si>
  <si>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</si>
  <si>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</si>
  <si>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</si>
  <si>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</si>
  <si>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</si>
  <si>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</si>
  <si>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</si>
  <si>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</si>
  <si>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</si>
  <si>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</si>
  <si>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</si>
  <si>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</si>
  <si>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</si>
  <si>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</si>
  <si>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</si>
  <si>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</si>
  <si>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</si>
  <si>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</si>
  <si>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</si>
  <si>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</si>
  <si>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</si>
  <si>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</si>
  <si>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</si>
  <si>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</si>
  <si>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</si>
  <si>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</si>
  <si>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</si>
  <si>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</si>
  <si>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</si>
  <si>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</si>
  <si>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</si>
  <si>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</si>
  <si>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</si>
  <si>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</si>
  <si>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</si>
  <si>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</si>
  <si>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</si>
  <si>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</si>
  <si>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</si>
  <si>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</si>
  <si>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</si>
  <si>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</si>
  <si>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</si>
  <si>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</si>
  <si>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</si>
  <si>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</si>
  <si>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</si>
  <si>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</si>
  <si>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</si>
  <si>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</si>
  <si>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</si>
  <si>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</si>
  <si>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</si>
  <si>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</si>
  <si>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</si>
  <si>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</si>
  <si>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</si>
  <si>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</si>
  <si>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</si>
  <si>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</si>
  <si>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</si>
  <si>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</si>
  <si>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</si>
  <si>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</si>
  <si>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</si>
  <si>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</si>
  <si>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</si>
  <si>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</si>
  <si>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</si>
  <si>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</si>
  <si>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</si>
  <si>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</si>
  <si>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</si>
  <si>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</si>
  <si>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</si>
  <si>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</si>
  <si>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</si>
  <si>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</si>
  <si>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</si>
  <si>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</si>
  <si>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</si>
  <si>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</si>
  <si>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</si>
  <si>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</si>
  <si>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</si>
  <si>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</si>
  <si>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</si>
  <si>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</si>
  <si>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</si>
  <si>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</si>
  <si>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</si>
  <si>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</si>
  <si>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</si>
  <si>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</si>
  <si>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</si>
  <si>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</si>
  <si>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</si>
  <si>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</si>
  <si>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</si>
  <si>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</si>
  <si>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</si>
  <si>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</si>
  <si>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</si>
  <si>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</si>
  <si>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</si>
  <si>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</si>
  <si>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</si>
  <si>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</si>
  <si>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</si>
  <si>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</si>
  <si>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</si>
  <si>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</si>
  <si>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</si>
  <si>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</si>
  <si>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</si>
  <si>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</si>
  <si>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</si>
  <si>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</si>
  <si>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</si>
  <si>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</si>
  <si>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</si>
  <si>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</si>
  <si>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</si>
  <si>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</si>
  <si>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</si>
  <si>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</si>
  <si>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</si>
  <si>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</si>
  <si>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</si>
  <si>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</si>
  <si>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</si>
  <si>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</si>
  <si>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</si>
  <si>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</si>
  <si>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</si>
  <si>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</si>
  <si>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</si>
  <si>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</si>
  <si>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</si>
  <si>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</si>
  <si>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</si>
  <si>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</si>
  <si>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</si>
  <si>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</si>
  <si>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</si>
  <si>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</si>
  <si>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</si>
  <si>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</si>
  <si>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</si>
  <si>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</si>
  <si>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</si>
  <si>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</si>
  <si>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</si>
  <si>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</si>
  <si>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</si>
  <si>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</si>
  <si>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</si>
  <si>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</si>
  <si>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</si>
  <si>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</si>
  <si>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</si>
  <si>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</si>
  <si>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</si>
  <si>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</si>
  <si>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</si>
  <si>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</si>
  <si>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</si>
  <si>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</si>
  <si>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</si>
  <si>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</si>
  <si>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</si>
  <si>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</si>
  <si>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</si>
  <si>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</si>
  <si>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</si>
  <si>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</si>
  <si>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</si>
  <si>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</si>
  <si>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</si>
  <si>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</si>
  <si>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</si>
  <si>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</si>
  <si>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</si>
  <si>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</si>
  <si>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</si>
  <si>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</si>
  <si>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</si>
  <si>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</si>
  <si>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</si>
  <si>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</si>
  <si>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</si>
  <si>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</si>
  <si>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</si>
  <si>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</si>
  <si>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</si>
  <si>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</si>
  <si>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</si>
  <si>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</si>
  <si>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</si>
  <si>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</si>
  <si>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</si>
  <si>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</si>
  <si>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</si>
  <si>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</si>
  <si>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</si>
  <si>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</si>
  <si>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</si>
  <si>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</si>
  <si>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</si>
  <si>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</si>
  <si>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</si>
  <si>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</si>
  <si>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</si>
  <si>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</si>
  <si>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</si>
  <si>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</si>
  <si>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</si>
  <si>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</si>
  <si>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</si>
  <si>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</si>
  <si>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</si>
  <si>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</si>
  <si>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</si>
  <si>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</si>
  <si>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</si>
  <si>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</si>
  <si>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</si>
  <si>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</si>
  <si>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</si>
  <si>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</si>
  <si>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</si>
  <si>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</si>
  <si>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</si>
  <si>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</si>
  <si>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</si>
  <si>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</si>
  <si>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</si>
  <si>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</si>
  <si>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</si>
  <si>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</si>
  <si>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</si>
  <si>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</si>
  <si>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</si>
  <si>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</si>
  <si>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</si>
  <si>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</si>
  <si>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</si>
  <si>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</si>
  <si>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</si>
  <si>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</si>
  <si>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</si>
  <si>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</si>
  <si>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</si>
  <si>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</si>
  <si>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</si>
  <si>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</si>
  <si>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</si>
  <si>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</si>
  <si>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</si>
  <si>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</si>
  <si>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</si>
  <si>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</si>
  <si>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</si>
  <si>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</si>
  <si>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</si>
  <si>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</si>
  <si>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</si>
  <si>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</si>
  <si>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</si>
  <si>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</si>
  <si>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</si>
  <si>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</si>
  <si>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</si>
  <si>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</si>
  <si>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</si>
  <si>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</si>
  <si>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</si>
  <si>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</si>
  <si>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</si>
  <si>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</si>
  <si>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</si>
  <si>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</si>
  <si>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</si>
  <si>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</si>
  <si>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</si>
  <si>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</si>
  <si>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</si>
  <si>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</si>
  <si>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</si>
  <si>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</si>
  <si>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</si>
  <si>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</si>
  <si>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</si>
  <si>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</si>
  <si>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</si>
  <si>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</si>
  <si>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</si>
  <si>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</si>
  <si>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</si>
  <si>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</si>
  <si>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</si>
  <si>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</si>
  <si>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</si>
  <si>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</si>
  <si>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</si>
  <si>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</si>
  <si>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</si>
  <si>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</si>
  <si>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</si>
  <si>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</si>
  <si>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</si>
  <si>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</si>
  <si>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</si>
  <si>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</si>
  <si>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</si>
  <si>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</si>
  <si>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</si>
  <si>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</si>
  <si>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</si>
  <si>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</si>
  <si>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</si>
  <si>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</si>
  <si>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</si>
  <si>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</si>
  <si>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</si>
  <si>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</si>
  <si>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</si>
  <si>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</si>
  <si>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</si>
  <si>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</si>
  <si>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</si>
  <si>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</si>
  <si>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</si>
  <si>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</si>
  <si>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</si>
  <si>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</si>
  <si>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</si>
  <si>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</si>
  <si>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</si>
  <si>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</si>
  <si>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</si>
  <si>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</si>
  <si>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</si>
  <si>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</si>
  <si>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</si>
  <si>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</si>
  <si>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</si>
  <si>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</si>
  <si>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</si>
  <si>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</si>
  <si>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</si>
  <si>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</si>
  <si>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</si>
  <si>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</si>
  <si>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</si>
  <si>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</si>
  <si>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</si>
  <si>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</si>
  <si>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</si>
  <si>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</si>
  <si>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</si>
  <si>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</si>
  <si>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</si>
  <si>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</si>
  <si>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</si>
  <si>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</si>
  <si>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</si>
  <si>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</si>
  <si>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</si>
  <si>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</si>
  <si>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</si>
  <si>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</si>
  <si>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</si>
  <si>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</si>
  <si>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</si>
  <si>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</si>
  <si>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</si>
  <si>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</si>
  <si>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</si>
  <si>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</si>
  <si>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</si>
  <si>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</si>
  <si>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</si>
  <si>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</si>
  <si>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</si>
  <si>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</si>
  <si>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</si>
  <si>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</si>
  <si>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</si>
  <si>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</si>
  <si>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</si>
  <si>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</si>
  <si>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</si>
  <si>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</si>
  <si>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</si>
  <si>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</si>
  <si>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</si>
  <si>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</si>
  <si>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</si>
  <si>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</si>
  <si>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</si>
  <si>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</si>
  <si>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</si>
  <si>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</si>
  <si>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</si>
  <si>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</si>
  <si>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</si>
  <si>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</si>
  <si>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</si>
  <si>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</si>
  <si>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</si>
  <si>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</si>
  <si>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</si>
  <si>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</si>
  <si>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</si>
  <si>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</si>
  <si>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</si>
  <si>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</si>
  <si>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</si>
  <si>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</si>
  <si>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</si>
  <si>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</si>
  <si>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</si>
  <si>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</si>
  <si>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</si>
  <si>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</si>
  <si>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</si>
  <si>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</si>
  <si>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</si>
  <si>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</si>
  <si>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</si>
  <si>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</si>
  <si>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</si>
  <si>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</si>
  <si>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</si>
  <si>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</si>
  <si>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</si>
  <si>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</si>
  <si>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</si>
  <si>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</si>
  <si>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</si>
  <si>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</si>
  <si>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</si>
  <si>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</si>
  <si>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</si>
  <si>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</si>
  <si>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</si>
  <si>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</si>
  <si>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</si>
  <si>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</si>
  <si>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</si>
  <si>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</si>
  <si>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</si>
  <si>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</si>
  <si>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</si>
  <si>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</si>
  <si>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</si>
  <si>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</si>
  <si>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</si>
  <si>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</si>
  <si>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</si>
  <si>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</si>
  <si>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</si>
  <si>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</si>
  <si>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</si>
  <si>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</si>
  <si>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</si>
  <si>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</si>
  <si>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</si>
  <si>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</si>
  <si>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</si>
  <si>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</si>
  <si>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</si>
  <si>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</si>
  <si>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</si>
  <si>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</si>
  <si>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</si>
  <si>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</si>
  <si>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</si>
  <si>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</si>
  <si>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</si>
  <si>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</si>
  <si>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</si>
  <si>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</si>
  <si>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</si>
  <si>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</si>
  <si>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</si>
  <si>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</si>
  <si>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</si>
  <si>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</si>
  <si>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</si>
  <si>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</si>
  <si>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</si>
  <si>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</si>
  <si>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</si>
  <si>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</si>
  <si>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</si>
  <si>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</si>
  <si>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</si>
  <si>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</si>
  <si>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</si>
  <si>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</si>
  <si>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</si>
  <si>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</si>
  <si>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</si>
  <si>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</si>
  <si>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</si>
  <si>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</si>
  <si>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</si>
  <si>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</si>
  <si>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</si>
  <si>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</si>
  <si>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</si>
  <si>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</si>
  <si>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</si>
  <si>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</si>
  <si>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</si>
  <si>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</si>
  <si>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</si>
  <si>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</si>
  <si>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</si>
  <si>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</si>
  <si>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</si>
  <si>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</si>
  <si>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</si>
  <si>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</si>
  <si>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</si>
  <si>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</si>
  <si>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</si>
  <si>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</si>
  <si>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</si>
  <si>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</si>
  <si>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</si>
  <si>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</si>
  <si>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</si>
  <si>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</si>
  <si>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</si>
  <si>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</si>
  <si>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</si>
  <si>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</si>
  <si>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</si>
  <si>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</si>
  <si>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</si>
  <si>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</si>
  <si>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</si>
  <si>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</si>
  <si>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</si>
  <si>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</si>
  <si>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</si>
  <si>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</si>
  <si>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</si>
  <si>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</si>
  <si>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</si>
  <si>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</si>
  <si>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</si>
  <si>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</si>
  <si>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</si>
  <si>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</si>
  <si>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</si>
  <si>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</si>
  <si>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</si>
  <si>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</si>
  <si>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</si>
  <si>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</si>
  <si>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</si>
  <si>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</si>
  <si>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</si>
  <si>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</si>
  <si>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</si>
  <si>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</si>
  <si>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</si>
  <si>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</si>
  <si>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</si>
  <si>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</si>
  <si>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</si>
  <si>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</si>
  <si>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</si>
  <si>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</si>
  <si>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</si>
  <si>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</si>
  <si>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</si>
  <si>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</si>
  <si>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</si>
  <si>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</si>
  <si>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</si>
  <si>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</si>
  <si>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</si>
  <si>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</si>
  <si>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</si>
  <si>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</si>
  <si>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</si>
  <si>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</si>
  <si>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</si>
  <si>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</si>
  <si>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</si>
  <si>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</si>
  <si>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</si>
  <si>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</si>
  <si>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</si>
  <si>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</si>
  <si>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</si>
  <si>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</si>
  <si>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</si>
  <si>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</si>
  <si>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</si>
  <si>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</si>
  <si>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</si>
  <si>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</si>
  <si>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</si>
  <si>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</si>
  <si>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</si>
  <si>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</si>
  <si>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</si>
  <si>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</si>
  <si>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</si>
  <si>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</si>
  <si>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</si>
  <si>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</si>
  <si>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</si>
  <si>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</si>
  <si>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</si>
  <si>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</si>
  <si>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</si>
  <si>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</si>
  <si>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</si>
  <si>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</si>
  <si>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</si>
  <si>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</si>
  <si>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</si>
  <si>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</si>
  <si>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</si>
  <si>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</si>
  <si>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</si>
  <si>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</si>
  <si>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</si>
  <si>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</si>
  <si>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</si>
  <si>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</si>
  <si>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</si>
  <si>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</si>
  <si>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</si>
  <si>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</si>
  <si>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</si>
  <si>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</si>
  <si>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</si>
  <si>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</si>
  <si>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</si>
  <si>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</si>
  <si>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</si>
  <si>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</si>
  <si>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</si>
  <si>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</si>
  <si>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</si>
  <si>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</si>
  <si>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</si>
  <si>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</si>
  <si>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</si>
  <si>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</si>
  <si>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</si>
  <si>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</si>
  <si>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</si>
  <si>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</si>
  <si>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</si>
  <si>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</si>
  <si>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</si>
  <si>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</si>
  <si>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</si>
  <si>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</si>
  <si>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</si>
  <si>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</si>
  <si>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</si>
  <si>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</si>
  <si>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</si>
  <si>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</si>
  <si>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</si>
  <si>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</si>
  <si>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</si>
  <si>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</si>
  <si>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</si>
  <si>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</si>
  <si>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</si>
  <si>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</si>
  <si>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</si>
  <si>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</si>
  <si>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</si>
  <si>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</si>
  <si>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</si>
  <si>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</si>
  <si>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</si>
  <si>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</si>
  <si>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</si>
  <si>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</si>
  <si>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</si>
  <si>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</si>
  <si>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</si>
  <si>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</si>
  <si>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</si>
  <si>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</si>
  <si>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</si>
  <si>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</si>
  <si>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</si>
  <si>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</si>
  <si>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</si>
  <si>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</si>
  <si>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</si>
  <si>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</si>
  <si>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</si>
  <si>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</si>
  <si>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</si>
  <si>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</si>
  <si>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</si>
  <si>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</si>
  <si>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</si>
  <si>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</si>
  <si>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</si>
  <si>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</si>
  <si>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</si>
  <si>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</si>
  <si>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</si>
  <si>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</si>
  <si>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</si>
  <si>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</si>
  <si>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</si>
  <si>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</si>
  <si>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</si>
  <si>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</si>
  <si>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</si>
  <si>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</si>
  <si>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</si>
  <si>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</si>
  <si>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</si>
  <si>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</si>
  <si>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</si>
  <si>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</si>
  <si>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</si>
  <si>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</si>
  <si>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</si>
  <si>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</si>
  <si>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</si>
  <si>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</si>
  <si>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</si>
  <si>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</si>
  <si>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</si>
  <si>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</si>
  <si>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</si>
  <si>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</si>
  <si>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</si>
  <si>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</si>
  <si>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</si>
  <si>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</si>
  <si>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</si>
  <si>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</si>
  <si>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</si>
  <si>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</si>
  <si>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</si>
  <si>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</si>
  <si>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</si>
  <si>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</si>
  <si>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</si>
  <si>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</si>
  <si>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</si>
  <si>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</si>
  <si>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</si>
  <si>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</si>
  <si>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</si>
  <si>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</si>
  <si>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</si>
  <si>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</si>
  <si>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</si>
  <si>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</si>
  <si>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</si>
  <si>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</si>
  <si>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</si>
  <si>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</si>
  <si>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</si>
  <si>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</si>
  <si>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</si>
  <si>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</si>
  <si>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</si>
  <si>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</si>
  <si>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</si>
  <si>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</si>
  <si>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</si>
  <si>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</si>
  <si>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</si>
  <si>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</si>
  <si>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</si>
  <si>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</si>
  <si>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</si>
  <si>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</si>
  <si>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</si>
  <si>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</si>
  <si>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</si>
  <si>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</si>
  <si>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</si>
  <si>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</si>
  <si>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</si>
  <si>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</si>
  <si>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</si>
  <si>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</si>
  <si>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</si>
  <si>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</si>
  <si>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</si>
  <si>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</si>
  <si>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</si>
  <si>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</si>
  <si>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</si>
  <si>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</si>
  <si>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</si>
  <si>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</si>
  <si>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</si>
  <si>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</si>
  <si>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</si>
  <si>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</si>
  <si>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</si>
  <si>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</si>
  <si>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</si>
  <si>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</si>
  <si>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</si>
  <si>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</si>
  <si>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</si>
  <si>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</si>
  <si>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</si>
  <si>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</si>
  <si>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</si>
  <si>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</si>
  <si>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</si>
  <si>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</si>
  <si>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</si>
  <si>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</si>
  <si>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</si>
  <si>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</si>
  <si>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</si>
  <si>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</si>
  <si>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</si>
  <si>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</si>
  <si>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</si>
  <si>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</si>
  <si>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</si>
  <si>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</si>
  <si>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</si>
  <si>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</si>
  <si>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</si>
  <si>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</si>
  <si>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</si>
  <si>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</si>
  <si>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</si>
  <si>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</si>
  <si>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</si>
  <si>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</si>
  <si>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</si>
  <si>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</si>
  <si>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</si>
  <si>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</si>
  <si>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</si>
  <si>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</si>
  <si>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</si>
  <si>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</si>
  <si>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</si>
  <si>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</si>
  <si>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</si>
  <si>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</si>
  <si>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</si>
  <si>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</si>
  <si>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</si>
  <si>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</si>
  <si>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</si>
  <si>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</si>
  <si>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</si>
  <si>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</si>
  <si>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</si>
  <si>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</si>
  <si>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</si>
  <si>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</si>
  <si>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</si>
  <si>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</si>
  <si>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</si>
  <si>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</si>
  <si>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</si>
  <si>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</si>
  <si>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</si>
  <si>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</si>
  <si>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</si>
  <si>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</si>
  <si>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</si>
  <si>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</si>
  <si>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</si>
  <si>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</si>
  <si>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</si>
  <si>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</si>
  <si>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</si>
  <si>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</si>
  <si>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</si>
  <si>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</si>
  <si>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</si>
  <si>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</si>
  <si>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</si>
  <si>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</si>
  <si>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</si>
  <si>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</si>
  <si>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</si>
  <si>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</si>
  <si>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</si>
  <si>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</si>
  <si>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</si>
  <si>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</si>
  <si>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</si>
  <si>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</si>
  <si>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</si>
  <si>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</si>
  <si>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</si>
  <si>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</si>
  <si>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</si>
  <si>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</si>
  <si>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</si>
  <si>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</si>
  <si>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</si>
  <si>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</si>
  <si>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</si>
  <si>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</si>
  <si>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</si>
  <si>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</si>
  <si>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</si>
  <si>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</si>
  <si>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</si>
  <si>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</si>
  <si>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</si>
  <si>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</si>
  <si>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</si>
  <si>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</si>
  <si>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</si>
  <si>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</si>
  <si>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</si>
  <si>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</si>
  <si>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</si>
  <si>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</si>
  <si>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</si>
  <si>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</si>
  <si>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</si>
  <si>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</si>
  <si>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</si>
  <si>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</si>
  <si>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</si>
  <si>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</si>
  <si>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</si>
  <si>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</si>
  <si>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</si>
  <si>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</si>
  <si>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</si>
  <si>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</si>
  <si>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</si>
  <si>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</si>
  <si>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</si>
  <si>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</si>
  <si>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</si>
  <si>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</si>
  <si>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</si>
  <si>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</si>
  <si>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</si>
  <si>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</si>
  <si>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</si>
  <si>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</si>
  <si>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</si>
  <si>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</si>
  <si>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</si>
  <si>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</si>
  <si>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</si>
  <si>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</si>
  <si>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</si>
  <si>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</si>
  <si>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</si>
  <si>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</si>
  <si>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</si>
  <si>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</si>
  <si>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</si>
  <si>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</si>
  <si>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</si>
  <si>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</si>
  <si>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</si>
  <si>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</si>
  <si>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</si>
  <si>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</si>
  <si>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</si>
  <si>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</si>
  <si>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</si>
  <si>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</si>
  <si>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</si>
  <si>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</si>
  <si>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</si>
  <si>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</si>
  <si>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</si>
  <si>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</si>
  <si>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</si>
  <si>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</si>
  <si>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</si>
  <si>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</si>
  <si>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</si>
  <si>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</si>
  <si>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</si>
  <si>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</si>
  <si>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</si>
  <si>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</si>
  <si>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</si>
  <si>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</si>
  <si>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</si>
  <si>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</si>
  <si>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</si>
  <si>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</si>
  <si>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</si>
  <si>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</si>
  <si>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</si>
  <si>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</si>
  <si>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</si>
  <si>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</si>
  <si>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</si>
  <si>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</si>
  <si>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</si>
  <si>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</si>
  <si>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</si>
  <si>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</si>
  <si>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</si>
  <si>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</si>
  <si>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</si>
  <si>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</si>
  <si>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</si>
  <si>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</si>
  <si>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</si>
  <si>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</si>
  <si>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</si>
  <si>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</si>
  <si>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</si>
  <si>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</si>
  <si>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</si>
  <si>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</si>
  <si>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</si>
  <si>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</si>
  <si>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</si>
  <si>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</si>
  <si>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</si>
  <si>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</si>
  <si>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</si>
  <si>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</si>
  <si>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</si>
  <si>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</si>
  <si>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</si>
  <si>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</si>
  <si>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</si>
  <si>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</si>
  <si>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</si>
  <si>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</si>
  <si>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</si>
  <si>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</si>
  <si>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</si>
  <si>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</si>
  <si>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</si>
  <si>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</si>
  <si>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</si>
  <si>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</si>
  <si>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</si>
  <si>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</si>
  <si>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</si>
  <si>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</si>
  <si>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</si>
  <si>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</si>
  <si>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</si>
  <si>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</si>
  <si>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</si>
  <si>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</si>
  <si>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</si>
  <si>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</si>
  <si>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</si>
  <si>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</si>
  <si>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</si>
  <si>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</si>
  <si>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</si>
  <si>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</si>
  <si>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</si>
  <si>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</si>
  <si>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</si>
  <si>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</si>
  <si>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</si>
  <si>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</si>
  <si>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</si>
  <si>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</si>
  <si>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</si>
  <si>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</si>
  <si>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</si>
  <si>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</si>
  <si>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</si>
  <si>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</si>
  <si>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</si>
  <si>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</si>
  <si>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</si>
  <si>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</si>
  <si>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</si>
  <si>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</si>
  <si>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</si>
  <si>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</si>
  <si>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</si>
  <si>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</si>
  <si>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</si>
  <si>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</si>
  <si>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</si>
  <si>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</si>
  <si>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</si>
  <si>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</si>
  <si>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</si>
  <si>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</si>
  <si>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</si>
  <si>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</si>
  <si>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</si>
  <si>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</si>
  <si>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</si>
  <si>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</si>
  <si>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</si>
  <si>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</si>
  <si>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</si>
  <si>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</si>
  <si>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</si>
  <si>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</si>
  <si>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</si>
  <si>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</si>
  <si>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</si>
  <si>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</si>
  <si>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</si>
  <si>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</si>
  <si>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</si>
  <si>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</si>
  <si>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</si>
  <si>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</si>
  <si>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</si>
  <si>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</si>
  <si>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</si>
  <si>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</si>
  <si>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</si>
  <si>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</si>
  <si>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</si>
  <si>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</si>
  <si>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</si>
  <si>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</si>
  <si>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</si>
  <si>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</si>
  <si>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</si>
  <si>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</si>
  <si>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</si>
  <si>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</si>
  <si>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</si>
  <si>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</si>
  <si>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</si>
  <si>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</si>
  <si>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</si>
  <si>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</si>
  <si>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</si>
  <si>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</si>
  <si>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</si>
  <si>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</si>
  <si>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</si>
  <si>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</si>
  <si>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</si>
  <si>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</si>
  <si>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</si>
  <si>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</si>
  <si>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</si>
  <si>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</si>
  <si>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</si>
  <si>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</si>
  <si>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</si>
  <si>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</si>
  <si>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</si>
  <si>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</si>
  <si>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</si>
  <si>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</si>
  <si>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</si>
  <si>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</si>
  <si>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</si>
  <si>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</si>
  <si>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</si>
  <si>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</si>
  <si>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</si>
  <si>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</si>
  <si>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</si>
  <si>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</si>
  <si>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</si>
  <si>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</si>
  <si>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</si>
  <si>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</si>
  <si>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</si>
  <si>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</si>
  <si>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</si>
  <si>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</si>
  <si>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</si>
  <si>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</si>
  <si>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</si>
  <si>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</si>
  <si>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</si>
  <si>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</si>
  <si>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</si>
  <si>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</si>
  <si>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</si>
  <si>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</si>
  <si>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</si>
  <si>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</si>
  <si>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</si>
  <si>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</si>
  <si>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</si>
  <si>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</si>
  <si>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</si>
  <si>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</si>
  <si>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</si>
  <si>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</si>
  <si>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</si>
  <si>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</si>
  <si>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</si>
  <si>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</si>
  <si>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</si>
  <si>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</si>
  <si>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</si>
  <si>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</si>
  <si>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</si>
  <si>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</si>
  <si>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</si>
  <si>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</si>
  <si>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</si>
  <si>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</si>
  <si>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</si>
  <si>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</si>
  <si>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</si>
  <si>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</si>
  <si>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</si>
  <si>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</si>
  <si>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</si>
  <si>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</si>
  <si>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</si>
  <si>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</si>
  <si>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</si>
  <si>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</si>
  <si>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</si>
  <si>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</si>
  <si>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</si>
  <si>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</si>
  <si>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</si>
  <si>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</si>
  <si>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</si>
  <si>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</si>
  <si>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</si>
  <si>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</si>
  <si>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</si>
  <si>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</si>
  <si>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</si>
  <si>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</si>
  <si>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</si>
  <si>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</si>
  <si>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</si>
  <si>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</si>
  <si>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</si>
  <si>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</si>
  <si>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</si>
  <si>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</si>
  <si>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</si>
  <si>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</si>
  <si>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</si>
  <si>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</si>
  <si>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</si>
  <si>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</si>
  <si>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</si>
  <si>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</si>
  <si>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</si>
  <si>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</si>
  <si>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</si>
  <si>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</si>
  <si>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</si>
  <si>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</si>
  <si>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</si>
  <si>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</si>
  <si>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</si>
  <si>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</si>
  <si>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</si>
  <si>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</si>
  <si>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</si>
  <si>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</si>
  <si>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</si>
  <si>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</si>
  <si>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</si>
  <si>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</si>
  <si>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</si>
  <si>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</si>
  <si>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</si>
  <si>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</si>
  <si>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</si>
  <si>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</si>
  <si>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</si>
  <si>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</si>
  <si>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</si>
  <si>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</si>
  <si>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</si>
  <si>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</si>
  <si>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</si>
  <si>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</si>
  <si>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</si>
  <si>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</si>
  <si>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</si>
  <si>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</si>
  <si>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</si>
  <si>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</si>
  <si>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</si>
  <si>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</si>
  <si>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</si>
  <si>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</si>
  <si>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</si>
  <si>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</si>
  <si>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</si>
  <si>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</si>
  <si>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</si>
  <si>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</si>
  <si>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</si>
  <si>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</si>
  <si>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</si>
  <si>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</si>
  <si>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</si>
  <si>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</si>
  <si>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</si>
  <si>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</si>
  <si>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</si>
  <si>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</si>
  <si>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</si>
  <si>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</si>
  <si>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</si>
  <si>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</si>
  <si>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</si>
  <si>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</si>
  <si>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</si>
  <si>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</si>
  <si>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</si>
  <si>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</si>
  <si>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</si>
  <si>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</si>
  <si>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</si>
  <si>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</si>
  <si>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</si>
  <si>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</si>
  <si>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</si>
  <si>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</si>
  <si>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</si>
  <si>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</si>
  <si>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</si>
  <si>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</si>
  <si>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</si>
  <si>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</si>
  <si>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</si>
  <si>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</si>
  <si>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</si>
  <si>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</si>
  <si>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</si>
  <si>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</si>
  <si>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</si>
  <si>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</si>
  <si>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</si>
  <si>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</si>
  <si>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</si>
  <si>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</si>
  <si>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</si>
  <si>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</si>
  <si>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</si>
  <si>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</si>
  <si>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</si>
  <si>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</si>
  <si>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</si>
  <si>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</si>
  <si>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</si>
  <si>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</si>
  <si>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</si>
  <si>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</si>
  <si>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</si>
  <si>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</si>
  <si>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</si>
  <si>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</si>
  <si>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</si>
  <si>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</si>
  <si>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</si>
  <si>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</si>
  <si>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</si>
  <si>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</si>
  <si>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</si>
  <si>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</si>
  <si>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</si>
  <si>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</si>
  <si>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</si>
  <si>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</si>
  <si>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</si>
  <si>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</si>
  <si>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</si>
  <si>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</si>
  <si>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</si>
  <si>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</si>
  <si>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</si>
  <si>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</si>
  <si>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</si>
  <si>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</si>
  <si>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</si>
  <si>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</si>
  <si>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</si>
  <si>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</si>
  <si>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</si>
  <si>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</si>
  <si>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</si>
  <si>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</si>
  <si>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</si>
  <si>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</si>
  <si>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</si>
  <si>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</si>
  <si>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</si>
  <si>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</si>
  <si>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</si>
  <si>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</si>
  <si>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</si>
  <si>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</si>
  <si>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</si>
  <si>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</si>
  <si>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</si>
  <si>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</si>
  <si>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</si>
  <si>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</si>
  <si>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</si>
  <si>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</si>
  <si>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</si>
  <si>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</si>
  <si>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</si>
  <si>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</si>
  <si>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</si>
  <si>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</si>
  <si>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</si>
  <si>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</si>
  <si>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</si>
  <si>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</si>
  <si>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</si>
  <si>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</si>
  <si>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</si>
  <si>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</si>
  <si>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</si>
  <si>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</si>
  <si>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</si>
  <si>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</si>
  <si>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</si>
  <si>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</si>
  <si>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</si>
  <si>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</si>
  <si>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</si>
  <si>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</si>
  <si>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</si>
  <si>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</si>
  <si>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</si>
  <si>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</si>
  <si>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</si>
  <si>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</si>
  <si>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</si>
  <si>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</si>
  <si>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</si>
  <si>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</si>
  <si>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</si>
  <si>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</si>
  <si>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</si>
  <si>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</si>
  <si>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</si>
  <si>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</si>
  <si>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</si>
  <si>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</si>
  <si>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</si>
  <si>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</si>
  <si>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</si>
  <si>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</si>
  <si>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</si>
  <si>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</si>
  <si>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</si>
  <si>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</si>
  <si>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</si>
  <si>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</si>
  <si>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</si>
  <si>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</si>
  <si>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</si>
  <si>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</si>
  <si>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</si>
  <si>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</si>
  <si>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</si>
  <si>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</si>
  <si>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</si>
  <si>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</si>
  <si>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</si>
  <si>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</si>
  <si>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</si>
  <si>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</si>
  <si>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</si>
  <si>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</si>
  <si>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</si>
  <si>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</si>
  <si>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</si>
  <si>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</si>
  <si>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</si>
  <si>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</si>
  <si>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</si>
  <si>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</si>
  <si>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</si>
  <si>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</si>
  <si>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</si>
  <si>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</si>
  <si>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</si>
  <si>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</si>
  <si>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</si>
  <si>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</si>
  <si>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</si>
  <si>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</si>
  <si>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</si>
  <si>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</si>
  <si>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</si>
  <si>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</si>
  <si>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</si>
  <si>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</si>
  <si>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</si>
  <si>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</si>
  <si>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</si>
  <si>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</si>
  <si>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</si>
  <si>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</si>
  <si>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</si>
  <si>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</si>
  <si>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</si>
  <si>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</si>
  <si>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</si>
  <si>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</si>
  <si>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</si>
  <si>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</si>
  <si>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</si>
  <si>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</si>
  <si>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</si>
  <si>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</si>
  <si>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</si>
  <si>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</si>
  <si>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</si>
  <si>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</si>
  <si>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</si>
  <si>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</si>
  <si>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</si>
  <si>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</si>
  <si>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</si>
  <si>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</si>
  <si>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</si>
  <si>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</si>
  <si>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</si>
  <si>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</si>
  <si>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</si>
  <si>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</si>
  <si>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</si>
  <si>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</si>
  <si>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</si>
  <si>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</si>
  <si>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</si>
  <si>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</si>
  <si>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</si>
  <si>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</si>
  <si>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</si>
  <si>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</si>
  <si>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</si>
  <si>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</si>
  <si>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</si>
  <si>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</si>
  <si>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</si>
  <si>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</si>
  <si>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</si>
  <si>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</si>
  <si>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</si>
  <si>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</si>
  <si>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</si>
  <si>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</si>
  <si>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</si>
  <si>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</si>
  <si>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</si>
  <si>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</si>
  <si>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</si>
  <si>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</si>
  <si>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</si>
  <si>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</si>
  <si>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</si>
  <si>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</si>
  <si>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</si>
  <si>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</si>
  <si>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</si>
  <si>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</si>
  <si>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</si>
  <si>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</si>
  <si>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</si>
  <si>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</si>
  <si>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</si>
  <si>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</si>
  <si>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</si>
  <si>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</si>
  <si>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</si>
  <si>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</si>
  <si>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</si>
  <si>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</si>
  <si>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</si>
  <si>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</si>
  <si>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</si>
  <si>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</si>
  <si>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</si>
  <si>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</si>
  <si>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</si>
  <si>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</si>
  <si>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</si>
  <si>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</si>
  <si>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</si>
  <si>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</si>
  <si>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</si>
  <si>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</si>
  <si>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</si>
  <si>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</si>
  <si>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</si>
  <si>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</si>
  <si>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</si>
  <si>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</si>
  <si>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</si>
  <si>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</si>
  <si>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</si>
  <si>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</si>
  <si>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</si>
  <si>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</si>
  <si>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</si>
  <si>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</si>
  <si>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</si>
  <si>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</si>
  <si>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</si>
  <si>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</si>
  <si>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</si>
  <si>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</si>
  <si>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</si>
  <si>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</si>
  <si>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</si>
  <si>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</si>
  <si>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</si>
  <si>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</si>
  <si>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</si>
  <si>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</si>
  <si>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</si>
  <si>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</si>
  <si>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</si>
  <si>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</si>
  <si>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</si>
  <si>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</si>
  <si>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</si>
  <si>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</si>
  <si>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</si>
  <si>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</si>
  <si>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</si>
  <si>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</si>
  <si>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</si>
  <si>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</si>
  <si>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</si>
  <si>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</si>
  <si>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</si>
  <si>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</si>
  <si>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</si>
  <si>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</si>
  <si>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</si>
  <si>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</si>
  <si>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</si>
  <si>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</si>
  <si>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</si>
  <si>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</si>
  <si>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</si>
  <si>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</si>
  <si>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</si>
  <si>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</si>
  <si>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</si>
  <si>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</si>
  <si>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</si>
  <si>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</si>
  <si>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</si>
  <si>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</si>
  <si>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</si>
  <si>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</si>
  <si>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</si>
  <si>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</si>
  <si>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</si>
  <si>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</si>
  <si>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</si>
  <si>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</si>
  <si>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</si>
  <si>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</si>
  <si>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</si>
  <si>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</si>
  <si>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</si>
  <si>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</si>
  <si>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</si>
  <si>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</si>
  <si>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</si>
  <si>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</si>
  <si>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</si>
  <si>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</si>
  <si>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</si>
  <si>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</si>
  <si>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</si>
  <si>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</si>
  <si>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</si>
  <si>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</si>
  <si>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</si>
  <si>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</si>
  <si>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</si>
  <si>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</si>
  <si>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</si>
  <si>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</si>
  <si>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</si>
  <si>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</si>
  <si>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</si>
  <si>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</si>
  <si>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</si>
  <si>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</si>
  <si>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</si>
  <si>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</si>
  <si>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</si>
  <si>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</si>
  <si>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</si>
  <si>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</si>
  <si>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</si>
  <si>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</si>
  <si>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</si>
  <si>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</si>
  <si>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</si>
  <si>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</si>
  <si>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</si>
  <si>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</si>
  <si>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</si>
  <si>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</si>
  <si>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</si>
  <si>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</si>
  <si>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</si>
  <si>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</si>
  <si>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</si>
  <si>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</si>
  <si>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</si>
  <si>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</si>
  <si>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</si>
  <si>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</si>
  <si>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</si>
  <si>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</si>
  <si>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</si>
  <si>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</si>
  <si>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</si>
  <si>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</si>
  <si>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</si>
  <si>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</si>
  <si>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</si>
  <si>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</si>
  <si>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</si>
  <si>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</si>
  <si>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</si>
  <si>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</si>
  <si>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</si>
  <si>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</si>
  <si>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</si>
  <si>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</si>
  <si>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</si>
  <si>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</si>
  <si>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</si>
  <si>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</si>
  <si>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</si>
  <si>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</si>
  <si>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</si>
  <si>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</si>
  <si>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</si>
  <si>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</si>
  <si>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</si>
  <si>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</si>
  <si>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</si>
  <si>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</si>
  <si>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</si>
  <si>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</si>
  <si>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</si>
  <si>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</si>
  <si>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</si>
  <si>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</si>
  <si>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</si>
  <si>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</si>
  <si>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</si>
  <si>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</si>
  <si>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</si>
  <si>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</si>
  <si>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</si>
  <si>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</si>
  <si>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</si>
  <si>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</si>
  <si>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</si>
  <si>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</si>
  <si>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</si>
  <si>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</si>
  <si>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</si>
  <si>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</si>
  <si>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</si>
  <si>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</si>
  <si>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</si>
  <si>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</si>
  <si>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</si>
  <si>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</si>
  <si>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</si>
  <si>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</si>
  <si>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</si>
  <si>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</si>
  <si>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</si>
  <si>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</si>
  <si>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</si>
  <si>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</si>
  <si>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</si>
  <si>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</si>
  <si>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</si>
  <si>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</si>
  <si>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</si>
  <si>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</si>
  <si>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</si>
  <si>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</si>
  <si>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</si>
  <si>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</si>
  <si>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</si>
  <si>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</si>
  <si>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</si>
  <si>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</si>
  <si>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</si>
  <si>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</si>
  <si>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</si>
  <si>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</si>
  <si>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</si>
  <si>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</si>
  <si>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</si>
  <si>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</si>
  <si>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</si>
  <si>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</si>
  <si>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</si>
  <si>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</si>
  <si>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</si>
  <si>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</si>
  <si>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</si>
  <si>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</si>
  <si>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</si>
  <si>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</si>
  <si>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</si>
  <si>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</si>
  <si>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</si>
  <si>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</si>
  <si>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</si>
  <si>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</si>
  <si>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</si>
  <si>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</si>
  <si>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</si>
  <si>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</si>
  <si>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</si>
  <si>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</si>
  <si>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</si>
  <si>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</si>
  <si>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</si>
  <si>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</si>
  <si>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</si>
  <si>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</si>
  <si>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</si>
  <si>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</si>
  <si>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</si>
  <si>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</si>
  <si>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</si>
  <si>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</si>
  <si>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</si>
  <si>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</si>
  <si>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</si>
  <si>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</si>
  <si>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</si>
  <si>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</si>
  <si>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</si>
  <si>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</si>
  <si>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</si>
  <si>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</si>
  <si>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</si>
  <si>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</si>
  <si>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</si>
  <si>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</si>
  <si>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</si>
  <si>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</si>
  <si>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</si>
  <si>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</si>
  <si>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</si>
  <si>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</si>
  <si>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</si>
  <si>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</si>
  <si>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</si>
  <si>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</si>
  <si>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</si>
  <si>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</si>
  <si>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</si>
  <si>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</si>
  <si>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</si>
  <si>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</si>
  <si>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</si>
  <si>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</si>
  <si>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</si>
  <si>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</si>
  <si>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</si>
  <si>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</si>
  <si>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</si>
  <si>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</si>
  <si>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</si>
  <si>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</si>
  <si>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</si>
  <si>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</si>
  <si>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</si>
  <si>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</si>
  <si>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</si>
  <si>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</si>
  <si>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</si>
  <si>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</si>
  <si>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</si>
  <si>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</si>
  <si>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</si>
  <si>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</si>
  <si>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</si>
  <si>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</si>
  <si>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</si>
  <si>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</si>
  <si>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</si>
  <si>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</si>
  <si>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</si>
  <si>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</si>
  <si>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</si>
  <si>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</si>
  <si>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</si>
  <si>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</si>
  <si>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</si>
  <si>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</si>
  <si>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</si>
  <si>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</si>
  <si>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</si>
  <si>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</si>
  <si>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</si>
  <si>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</si>
  <si>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</si>
  <si>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</si>
  <si>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</si>
  <si>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</si>
  <si>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</si>
  <si>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</si>
  <si>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</si>
  <si>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</si>
  <si>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</si>
  <si>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</si>
  <si>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</si>
  <si>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</si>
  <si>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</si>
  <si>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</si>
  <si>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</si>
  <si>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</si>
  <si>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</si>
  <si>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</si>
  <si>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</si>
  <si>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</si>
  <si>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</si>
  <si>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</si>
  <si>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</si>
  <si>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</si>
  <si>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</si>
  <si>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</si>
  <si>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</si>
  <si>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</si>
  <si>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</si>
  <si>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</si>
  <si>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</si>
  <si>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</si>
  <si>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</si>
  <si>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</si>
  <si>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</si>
  <si>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</si>
  <si>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</si>
  <si>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</si>
  <si>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</si>
  <si>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</si>
  <si>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</si>
  <si>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</si>
  <si>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</si>
  <si>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</si>
  <si>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</si>
  <si>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</si>
  <si>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</si>
  <si>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</si>
  <si>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</si>
  <si>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</si>
  <si>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</si>
  <si>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</si>
  <si>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</si>
  <si>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</si>
  <si>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</si>
  <si>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</si>
  <si>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</si>
  <si>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</si>
  <si>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</si>
  <si>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</si>
  <si>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</si>
  <si>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</si>
  <si>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</si>
  <si>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</si>
  <si>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</si>
  <si>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</si>
  <si>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</si>
  <si>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</si>
  <si>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</si>
  <si>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</si>
  <si>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</si>
  <si>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</si>
  <si>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</si>
  <si>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</si>
  <si>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</si>
  <si>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</si>
  <si>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</si>
  <si>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</si>
  <si>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</si>
  <si>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</si>
  <si>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</si>
  <si>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</si>
  <si>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</si>
  <si>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</si>
  <si>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</si>
  <si>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</si>
  <si>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</si>
  <si>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</si>
  <si>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</si>
  <si>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</si>
  <si>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</si>
  <si>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</si>
  <si>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</si>
  <si>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</si>
  <si>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</si>
  <si>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</si>
  <si>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</si>
  <si>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</si>
  <si>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</si>
  <si>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</si>
  <si>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</si>
  <si>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</si>
  <si>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</si>
  <si>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</si>
  <si>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</si>
  <si>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</si>
  <si>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</si>
  <si>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</si>
  <si>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</si>
  <si>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</si>
  <si>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</si>
  <si>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</si>
  <si>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</si>
  <si>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</si>
  <si>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</si>
  <si>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</si>
  <si>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</si>
  <si>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</si>
  <si>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</si>
  <si>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</si>
  <si>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</si>
  <si>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</si>
  <si>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</si>
  <si>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</si>
  <si>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</si>
  <si>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</si>
  <si>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</si>
  <si>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</si>
  <si>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</si>
  <si>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</si>
  <si>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</si>
  <si>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</si>
  <si>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</si>
  <si>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</si>
  <si>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</si>
  <si>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</si>
  <si>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</si>
  <si>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</si>
  <si>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</si>
  <si>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</si>
  <si>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</si>
  <si>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</si>
  <si>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</si>
  <si>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</si>
  <si>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</si>
  <si>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</si>
  <si>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</si>
  <si>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</si>
  <si>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</si>
  <si>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</si>
  <si>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</si>
  <si>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</si>
  <si>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</si>
  <si>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</si>
  <si>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</si>
  <si>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</si>
  <si>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</si>
  <si>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</si>
  <si>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</si>
  <si>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</si>
  <si>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</si>
  <si>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</si>
  <si>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</si>
  <si>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</si>
  <si>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</si>
  <si>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</si>
  <si>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</si>
  <si>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</si>
  <si>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</si>
  <si>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</si>
  <si>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</si>
  <si>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</si>
  <si>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</si>
  <si>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</si>
  <si>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</si>
  <si>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</si>
  <si>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</si>
  <si>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</si>
  <si>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</si>
  <si>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</si>
  <si>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</si>
  <si>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</si>
  <si>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</si>
  <si>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</si>
  <si>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</si>
  <si>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</si>
  <si>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</si>
  <si>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</si>
  <si>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</si>
  <si>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</si>
  <si>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</si>
  <si>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</si>
  <si>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</si>
  <si>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</si>
  <si>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</si>
  <si>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</si>
  <si>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</si>
  <si>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</si>
  <si>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</si>
  <si>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</si>
  <si>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</si>
  <si>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</si>
  <si>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</si>
  <si>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</si>
  <si>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</si>
  <si>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</si>
  <si>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</si>
  <si>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</si>
  <si>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</si>
  <si>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</si>
  <si>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</si>
  <si>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</si>
  <si>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</si>
  <si>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</si>
  <si>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</si>
  <si>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</si>
  <si>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</si>
  <si>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</si>
  <si>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</si>
  <si>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</si>
  <si>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</si>
  <si>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</si>
  <si>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</si>
  <si>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</si>
  <si>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</si>
  <si>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</si>
  <si>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</si>
  <si>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</si>
  <si>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</si>
  <si>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</si>
  <si>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</si>
  <si>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</si>
  <si>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</si>
  <si>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</si>
  <si>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</si>
  <si>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</si>
  <si>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</si>
  <si>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</si>
  <si>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</si>
  <si>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</si>
  <si>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</si>
  <si>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</si>
  <si>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</si>
  <si>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</si>
  <si>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</si>
  <si>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</si>
  <si>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</si>
  <si>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</si>
  <si>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</si>
  <si>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</si>
  <si>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</si>
  <si>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</si>
  <si>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</si>
  <si>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</si>
  <si>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</si>
  <si>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</si>
  <si>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</si>
  <si>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</si>
  <si>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O</t>
    <phoneticPr fontId="2" type="noConversion"/>
  </si>
  <si>
    <t>부산비엔비(부산)</t>
    <phoneticPr fontId="2" type="noConversion"/>
  </si>
  <si>
    <t>8HP_OILPAN</t>
    <phoneticPr fontId="2" type="noConversion"/>
  </si>
  <si>
    <t>B24117624192</t>
    <phoneticPr fontId="2" type="noConversion"/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</si>
  <si>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</si>
  <si>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</si>
  <si>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</si>
  <si>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</si>
  <si>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</si>
  <si>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</si>
  <si>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</si>
  <si>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</si>
  <si>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</si>
  <si>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</si>
  <si>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</si>
  <si>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</si>
  <si>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</si>
  <si>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</si>
  <si>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</si>
  <si>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</si>
  <si>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</si>
  <si>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</si>
  <si>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농협 3520106511413</t>
    <phoneticPr fontId="2" type="noConversion"/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</si>
  <si>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</si>
  <si>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</si>
  <si>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</si>
  <si>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</si>
  <si>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</si>
  <si>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</si>
  <si>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</si>
  <si>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</si>
  <si>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</si>
  <si>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</si>
  <si>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</si>
  <si>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</si>
  <si>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</si>
  <si>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</si>
  <si>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</si>
  <si>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</si>
  <si>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</si>
  <si>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</si>
  <si>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</si>
  <si>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</si>
  <si>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</si>
  <si>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</si>
  <si>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</si>
  <si>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</si>
  <si>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2025-10-24</t>
  </si>
  <si>
    <t>천안오토(천안)_251024_170355.xlsx</t>
  </si>
  <si>
    <t>웨스트모터스(대구)_251024_170419.xlsx</t>
  </si>
  <si>
    <t>0DN325421\</t>
  </si>
  <si>
    <t>미르오토(대구)_251024_171635.xlsx</t>
  </si>
  <si>
    <t>미르오토(대구)_251024_171635.xlsx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</si>
</sst>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경남오토미션(창원)</c:v>
                </c:pt>
                <c:pt idx="2">
                  <c:v>미르오토(대구)</c:v>
                </c:pt>
                <c:pt idx="3">
                  <c:v>하나오토(청주)</c:v>
                </c:pt>
                <c:pt idx="4">
                  <c:v>오토젠(남양주)</c:v>
                </c:pt>
                <c:pt idx="5">
                  <c:v>조이오토(대구)</c:v>
                </c:pt>
                <c:pt idx="6">
                  <c:v>대명오토(서울서초)</c:v>
                </c:pt>
                <c:pt idx="7">
                  <c:v>그린오토매틱(제주)</c:v>
                </c:pt>
                <c:pt idx="8">
                  <c:v>스카이오토미션(천안)</c:v>
                </c:pt>
                <c:pt idx="9">
                  <c:v>부산비엔비(부산)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5550000</c:v>
                </c:pt>
                <c:pt idx="1">
                  <c:v>5400000</c:v>
                </c:pt>
                <c:pt idx="2">
                  <c:v>9479000</c:v>
                </c:pt>
                <c:pt idx="3">
                  <c:v>2970000</c:v>
                </c:pt>
                <c:pt idx="4">
                  <c:v>2895000</c:v>
                </c:pt>
                <c:pt idx="5">
                  <c:v>4155000</c:v>
                </c:pt>
                <c:pt idx="6">
                  <c:v>3685000</c:v>
                </c:pt>
                <c:pt idx="7">
                  <c:v>2310000</c:v>
                </c:pt>
                <c:pt idx="8">
                  <c:v>2400000</c:v>
                </c:pt>
                <c:pt idx="9">
                  <c:v>1980000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경남오토미션(창원)</c:v>
                      </c:pt>
                      <c:pt idx="2">
                        <c:v>미르오토(대구)</c:v>
                      </c:pt>
                      <c:pt idx="3">
                        <c:v>하나오토(청주)</c:v>
                      </c:pt>
                      <c:pt idx="4">
                        <c:v>오토젠(남양주)</c:v>
                      </c:pt>
                      <c:pt idx="5">
                        <c:v>조이오토(대구)</c:v>
                      </c:pt>
                      <c:pt idx="6">
                        <c:v>대명오토(서울서초)</c:v>
                      </c:pt>
                      <c:pt idx="7">
                        <c:v>그린오토매틱(제주)</c:v>
                      </c:pt>
                      <c:pt idx="8">
                        <c:v>스카이오토미션(천안)</c:v>
                      </c:pt>
                      <c:pt idx="9">
                        <c:v>부산비엔비(부산)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6</c:v>
                      </c:pt>
                      <c:pt idx="4">
                        <c:v>7</c:v>
                      </c:pt>
                      <c:pt idx="5">
                        <c:v>4</c:v>
                      </c:pt>
                      <c:pt idx="6">
                        <c:v>5</c:v>
                      </c:pt>
                      <c:pt idx="7">
                        <c:v>15</c:v>
                      </c:pt>
                      <c:pt idx="8">
                        <c:v>13</c:v>
                      </c:pt>
                      <c:pt idx="9">
                        <c:v>18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3084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3591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 x14ac:dyDescent="0.3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Z22" sqref="Z2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4021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45954</v>
      </c>
      <c r="U2" s="315"/>
    </row>
    <row r="3" spans="1:21" ht="24.95" customHeight="1" x14ac:dyDescent="0.3">
      <c r="A3" s="382" t="s">
        <v>1167</v>
      </c>
      <c r="B3" s="37" t="s">
        <v>59</v>
      </c>
      <c r="C3" s="385" t="s">
        <v>1302</v>
      </c>
      <c r="D3" s="386"/>
      <c r="E3" s="386"/>
      <c r="F3" s="386"/>
      <c r="G3" s="386"/>
      <c r="H3" s="386"/>
      <c r="I3" s="386"/>
      <c r="J3" s="387"/>
      <c r="K3" s="388" t="s">
        <v>1168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21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20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25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2255</v>
      </c>
      <c r="B8" s="424"/>
      <c r="C8" s="424"/>
      <c r="D8" s="424"/>
      <c r="E8" s="425"/>
      <c r="F8" s="426" t="s">
        <v>2254</v>
      </c>
      <c r="G8" s="427"/>
      <c r="H8" s="427"/>
      <c r="I8" s="428"/>
      <c r="J8" s="434">
        <v>1500000</v>
      </c>
      <c r="K8" s="434"/>
      <c r="L8" s="434"/>
      <c r="M8" s="434"/>
      <c r="N8" s="434"/>
      <c r="O8" s="435">
        <v>1</v>
      </c>
      <c r="P8" s="435"/>
      <c r="Q8" s="429"/>
      <c r="R8" s="430"/>
      <c r="S8" s="431"/>
      <c r="T8" s="432">
        <v>1500000</v>
      </c>
      <c r="U8" s="433"/>
    </row>
    <row r="9" spans="1:21" ht="15.6" customHeight="1" x14ac:dyDescent="0.3">
      <c r="A9" s="412" t="s">
        <v>2181</v>
      </c>
      <c r="B9" s="413"/>
      <c r="C9" s="413"/>
      <c r="D9" s="413"/>
      <c r="E9" s="414"/>
      <c r="F9" s="415" t="s">
        <v>1803</v>
      </c>
      <c r="G9" s="413"/>
      <c r="H9" s="413"/>
      <c r="I9" s="414"/>
      <c r="J9" s="421">
        <v>50000</v>
      </c>
      <c r="K9" s="421"/>
      <c r="L9" s="421"/>
      <c r="M9" s="421"/>
      <c r="N9" s="421"/>
      <c r="O9" s="422">
        <v>1</v>
      </c>
      <c r="P9" s="422"/>
      <c r="Q9" s="416"/>
      <c r="R9" s="417"/>
      <c r="S9" s="418"/>
      <c r="T9" s="419">
        <v>50000</v>
      </c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2317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9479000</v>
      </c>
      <c r="G20" s="318"/>
      <c r="H20" s="318"/>
      <c r="I20" s="319"/>
      <c r="J20" s="355">
        <f>SUM(J8:N19)</f>
        <v>1550000</v>
      </c>
      <c r="K20" s="356"/>
      <c r="L20" s="356"/>
      <c r="M20" s="356"/>
      <c r="N20" s="357"/>
      <c r="O20" s="320">
        <f>SUM(O8:P19)</f>
        <v>2</v>
      </c>
      <c r="P20" s="320"/>
      <c r="Q20" s="358">
        <f>SUM(Q8:S19)</f>
        <v>0</v>
      </c>
      <c r="R20" s="318"/>
      <c r="S20" s="319"/>
      <c r="T20" s="318">
        <f>SUM(T8:U15)</f>
        <v>1550000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11029000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미르오토(대구)</v>
      </c>
      <c r="R21" s="326"/>
      <c r="S21" s="326"/>
      <c r="T21" s="326"/>
      <c r="U21" s="378"/>
    </row>
    <row r="22" spans="1:21" ht="20.100000000000001" customHeight="1" x14ac:dyDescent="0.3">
      <c r="A22" s="305" t="s">
        <v>4051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1197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농협 3520106511413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45954</v>
      </c>
      <c r="U25" s="315"/>
    </row>
    <row r="26" spans="1:21" ht="24.95" customHeight="1" x14ac:dyDescent="0.3">
      <c r="A26" s="382" t="s">
        <v>1167</v>
      </c>
      <c r="B26" s="37" t="s">
        <v>59</v>
      </c>
      <c r="C26" s="385" t="str">
        <f>C3</f>
        <v>미르오토(대구)</v>
      </c>
      <c r="D26" s="386"/>
      <c r="E26" s="386"/>
      <c r="F26" s="386"/>
      <c r="G26" s="386"/>
      <c r="H26" s="386"/>
      <c r="I26" s="386"/>
      <c r="J26" s="387"/>
      <c r="K26" s="388" t="s">
        <v>1168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대구 서구 가르뱅이로10길 3-5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010-6859-2065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대구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0CK_TCU</v>
      </c>
      <c r="B31" s="373"/>
      <c r="C31" s="373"/>
      <c r="D31" s="373"/>
      <c r="E31" s="373"/>
      <c r="F31" s="373" t="str">
        <f>F8</f>
        <v>927156AA</v>
      </c>
      <c r="G31" s="373"/>
      <c r="H31" s="373"/>
      <c r="I31" s="373"/>
      <c r="J31" s="377">
        <f>J8</f>
        <v>1500000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0</v>
      </c>
      <c r="R31" s="374"/>
      <c r="S31" s="374"/>
      <c r="T31" s="375">
        <f>T8</f>
        <v>1500000</v>
      </c>
      <c r="U31" s="376"/>
    </row>
    <row r="32" spans="1:21" ht="15.6" customHeight="1" x14ac:dyDescent="0.3">
      <c r="A32" s="365" t="str">
        <f t="shared" ref="A32:A38" si="0">A9</f>
        <v>0CK_Filter</v>
      </c>
      <c r="B32" s="366"/>
      <c r="C32" s="366"/>
      <c r="D32" s="366"/>
      <c r="E32" s="366"/>
      <c r="F32" s="366" t="str">
        <f t="shared" ref="F32:F38" si="1">F9</f>
        <v>0DN325421</v>
      </c>
      <c r="G32" s="366"/>
      <c r="H32" s="366"/>
      <c r="I32" s="366"/>
      <c r="J32" s="370">
        <f t="shared" ref="J32:J38" si="2">J9</f>
        <v>50000</v>
      </c>
      <c r="K32" s="370"/>
      <c r="L32" s="370"/>
      <c r="M32" s="370"/>
      <c r="N32" s="370"/>
      <c r="O32" s="370">
        <f t="shared" ref="O32:O38" si="3">O9</f>
        <v>1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50000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2317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9479000</v>
      </c>
      <c r="G43" s="318"/>
      <c r="H43" s="318"/>
      <c r="I43" s="319"/>
      <c r="J43" s="355">
        <f>J20</f>
        <v>1550000</v>
      </c>
      <c r="K43" s="356"/>
      <c r="L43" s="356"/>
      <c r="M43" s="356"/>
      <c r="N43" s="357"/>
      <c r="O43" s="320">
        <f>O20</f>
        <v>2</v>
      </c>
      <c r="P43" s="320"/>
      <c r="Q43" s="358">
        <f>Q20</f>
        <v>0</v>
      </c>
      <c r="R43" s="318"/>
      <c r="S43" s="318"/>
      <c r="T43" s="318">
        <f>T20</f>
        <v>1550000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11029000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미르오토(대구)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1500000</v>
      </c>
      <c r="H1" s="107">
        <f>SUM(H2:H2)</f>
        <v>1</v>
      </c>
      <c r="I1" s="107">
        <f>SUM(I2:I2)</f>
        <v>0</v>
      </c>
      <c r="J1" s="107">
        <f>SUM(J2:J2)</f>
        <v>1500000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4046</v>
      </c>
      <c r="C2" s="47" t="s">
        <v>1399</v>
      </c>
      <c r="D2" s="290" t="s">
        <v>1201</v>
      </c>
      <c r="E2" t="s">
        <v>2180</v>
      </c>
      <c r="F2" s="290" t="s">
        <v>1201</v>
      </c>
      <c r="G2">
        <v>1500000</v>
      </c>
      <c r="H2">
        <v>1</v>
      </c>
      <c r="I2" s="226"/>
      <c r="J2" s="226">
        <v>1500000</v>
      </c>
    </row>
    <row r="3" spans="1:12" x14ac:dyDescent="0.3">
      <c r="A3" s="47">
        <v>2</v>
      </c>
      <c r="B3" s="47" t="s">
        <v>4046</v>
      </c>
      <c r="C3" s="47" t="s">
        <v>1399</v>
      </c>
      <c r="D3" s="290" t="s">
        <v>4049</v>
      </c>
      <c r="E3" t="s">
        <v>2181</v>
      </c>
      <c r="F3" s="290" t="s">
        <v>1803</v>
      </c>
      <c r="G3">
        <v>50000</v>
      </c>
      <c r="H3">
        <v>1</v>
      </c>
      <c r="I3" s="226"/>
      <c r="J3" s="226">
        <v>50000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1558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1559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024"/>
  <sheetViews>
    <sheetView workbookViewId="0">
      <pane xSplit="1" ySplit="1" topLeftCell="B1969" activePane="bottomRight" state="frozen"/>
      <selection activeCell="N26" sqref="N26"/>
      <selection pane="topRight" activeCell="N26" sqref="N26"/>
      <selection pane="bottomLeft" activeCell="N26" sqref="N26"/>
      <selection pane="bottomRight" activeCell="A1997" sqref="A199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1670</v>
      </c>
      <c r="M1" s="261" t="s">
        <v>4</v>
      </c>
      <c r="N1" s="97">
        <v>2025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2702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1437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1437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1391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1399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1399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1399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1442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1399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1444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1449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1399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1452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1454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1456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1458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1399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1399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1444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1399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1399</v>
      </c>
      <c r="D30" s="295" t="s">
        <v>1213</v>
      </c>
      <c r="E30" s="292" t="s">
        <v>1129</v>
      </c>
      <c r="F30" s="269" t="s">
        <v>1464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1467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1467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1467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1467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1469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1469</v>
      </c>
      <c r="E37" s="292" t="s">
        <v>1470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1473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1399</v>
      </c>
      <c r="E40" s="292" t="s">
        <v>1475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1399</v>
      </c>
      <c r="E41" s="292" t="s">
        <v>1476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1479</v>
      </c>
      <c r="E43" s="292" t="s">
        <v>1480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1485</v>
      </c>
      <c r="E46" s="292" t="s">
        <v>1486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1469</v>
      </c>
      <c r="E48" s="292" t="s">
        <v>1492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1494</v>
      </c>
      <c r="D49" s="295" t="s">
        <v>1361</v>
      </c>
      <c r="E49" s="292" t="s">
        <v>1495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1494</v>
      </c>
      <c r="E50" s="292" t="s">
        <v>1496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1498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1399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1399</v>
      </c>
      <c r="E53" s="292" t="s">
        <v>1501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1378</v>
      </c>
      <c r="E55" s="292" t="s">
        <v>1505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1378</v>
      </c>
      <c r="E56" s="292" t="s">
        <v>1506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1444</v>
      </c>
      <c r="E57" s="292" t="s">
        <v>1508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1444</v>
      </c>
      <c r="E58" s="292" t="s">
        <v>1509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1444</v>
      </c>
      <c r="E59" s="292" t="s">
        <v>1510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1469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1515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1517</v>
      </c>
      <c r="E64" s="292" t="s">
        <v>1518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1517</v>
      </c>
      <c r="E65" s="292" t="s">
        <v>1519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1521</v>
      </c>
      <c r="E66" s="292" t="s">
        <v>1524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1444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1444</v>
      </c>
      <c r="E68" s="292" t="s">
        <v>1408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1532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1449</v>
      </c>
      <c r="E75" s="292" t="s">
        <v>1535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1444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1444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1541</v>
      </c>
      <c r="E80" s="292" t="s">
        <v>1542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1544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1391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1395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1551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1551</v>
      </c>
      <c r="E88" s="292" t="s">
        <v>1496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1554</v>
      </c>
      <c r="E89" s="292" t="s">
        <v>1555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1554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1561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1541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1541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1577</v>
      </c>
      <c r="E96" s="292" t="s">
        <v>1578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1577</v>
      </c>
      <c r="E97" s="292" t="s">
        <v>1519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1580</v>
      </c>
      <c r="E98" s="292" t="s">
        <v>1581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1580</v>
      </c>
      <c r="E99" s="292" t="s">
        <v>1650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1580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1586</v>
      </c>
      <c r="E102" s="292" t="s">
        <v>1587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1586</v>
      </c>
      <c r="D103" s="295">
        <v>415054509</v>
      </c>
      <c r="E103" s="292" t="s">
        <v>2522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1586</v>
      </c>
      <c r="E104" s="292" t="s">
        <v>1588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1586</v>
      </c>
      <c r="E105" s="292" t="s">
        <v>1589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1586</v>
      </c>
      <c r="D106" s="295" t="s">
        <v>1563</v>
      </c>
      <c r="E106" s="292" t="s">
        <v>1205</v>
      </c>
      <c r="F106" s="269" t="s">
        <v>1563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1467</v>
      </c>
      <c r="E107" s="292" t="s">
        <v>1592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1596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1598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1452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1452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1452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1452</v>
      </c>
      <c r="E117" s="292" t="s">
        <v>1600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1602</v>
      </c>
      <c r="E118" s="292" t="s">
        <v>1603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1577</v>
      </c>
      <c r="D121" s="295">
        <v>415072909</v>
      </c>
      <c r="E121" s="292" t="s">
        <v>2522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1577</v>
      </c>
      <c r="D122" s="295" t="s">
        <v>1626</v>
      </c>
      <c r="E122" s="292" t="s">
        <v>1627</v>
      </c>
      <c r="F122" s="269" t="s">
        <v>1626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1577</v>
      </c>
      <c r="D123" s="295">
        <v>415072909</v>
      </c>
      <c r="E123" s="292" t="s">
        <v>2522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1577</v>
      </c>
      <c r="D124" s="295" t="s">
        <v>1626</v>
      </c>
      <c r="E124" s="292" t="s">
        <v>1627</v>
      </c>
      <c r="F124" s="269" t="s">
        <v>1626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1577</v>
      </c>
      <c r="E125" s="292" t="s">
        <v>1629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1449</v>
      </c>
      <c r="E126" s="292" t="s">
        <v>1636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1541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1541</v>
      </c>
      <c r="E128" s="292" t="s">
        <v>1496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1541</v>
      </c>
      <c r="E129" s="292" t="s">
        <v>1639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1399</v>
      </c>
      <c r="D130" s="295" t="s">
        <v>1200</v>
      </c>
      <c r="E130" s="292" t="s">
        <v>1643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1644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1658</v>
      </c>
      <c r="E133" s="292" t="s">
        <v>1661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1663</v>
      </c>
      <c r="E134" s="292" t="s">
        <v>1664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1541</v>
      </c>
      <c r="E135" s="292" t="s">
        <v>1666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1449</v>
      </c>
      <c r="E136" s="292" t="s">
        <v>1668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1671</v>
      </c>
      <c r="E137" s="292" t="s">
        <v>1674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1676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1444</v>
      </c>
      <c r="E140" s="292" t="s">
        <v>1684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1444</v>
      </c>
      <c r="E141" s="292" t="s">
        <v>1685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1444</v>
      </c>
      <c r="E142" s="292" t="s">
        <v>1688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1444</v>
      </c>
      <c r="E143" s="292" t="s">
        <v>1689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1444</v>
      </c>
      <c r="E144" s="292" t="s">
        <v>1690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1469</v>
      </c>
      <c r="E146" s="292" t="s">
        <v>1695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1722</v>
      </c>
      <c r="D147" s="295">
        <v>2800802</v>
      </c>
      <c r="E147" s="292" t="s">
        <v>1717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1722</v>
      </c>
      <c r="D148" s="295" t="s">
        <v>1715</v>
      </c>
      <c r="E148" s="292" t="s">
        <v>1716</v>
      </c>
      <c r="F148" s="269" t="s">
        <v>1715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1722</v>
      </c>
      <c r="D149" s="295">
        <v>7252703114</v>
      </c>
      <c r="E149" s="292" t="s">
        <v>1703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1722</v>
      </c>
      <c r="D150" s="295" t="s">
        <v>1704</v>
      </c>
      <c r="E150" s="292" t="s">
        <v>1705</v>
      </c>
      <c r="F150" s="269" t="s">
        <v>1704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1722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1541</v>
      </c>
      <c r="E152" s="292" t="s">
        <v>1744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1580</v>
      </c>
      <c r="E153" s="292" t="s">
        <v>1746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1399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1399</v>
      </c>
      <c r="E155" s="292" t="s">
        <v>1496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1747</v>
      </c>
      <c r="E156" s="292" t="s">
        <v>1748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1722</v>
      </c>
      <c r="D159" s="295">
        <v>415090409</v>
      </c>
      <c r="E159" s="292" t="s">
        <v>2522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1563</v>
      </c>
      <c r="E160" s="292" t="s">
        <v>1205</v>
      </c>
      <c r="F160" s="269" t="s">
        <v>1563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1790</v>
      </c>
      <c r="E161" s="292" t="s">
        <v>1794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1790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1790</v>
      </c>
      <c r="D163" s="295" t="s">
        <v>1795</v>
      </c>
      <c r="E163" s="292" t="s">
        <v>1796</v>
      </c>
      <c r="F163" s="269" t="s">
        <v>1795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1722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1722</v>
      </c>
      <c r="D165" s="295">
        <v>415090409</v>
      </c>
      <c r="E165" s="292" t="s">
        <v>2522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1399</v>
      </c>
      <c r="D166" s="295" t="s">
        <v>1752</v>
      </c>
      <c r="E166" s="292" t="s">
        <v>1203</v>
      </c>
      <c r="F166" s="269" t="s">
        <v>1752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1479</v>
      </c>
      <c r="E167" s="292" t="s">
        <v>1800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1449</v>
      </c>
      <c r="D168" s="295">
        <v>927156</v>
      </c>
      <c r="E168" s="292" t="s">
        <v>1802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1449</v>
      </c>
      <c r="D169" s="295" t="s">
        <v>1803</v>
      </c>
      <c r="E169" s="292" t="s">
        <v>1575</v>
      </c>
      <c r="F169" s="269" t="s">
        <v>1803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1805</v>
      </c>
      <c r="D170" s="295" t="s">
        <v>1200</v>
      </c>
      <c r="E170" s="292" t="s">
        <v>1643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1809</v>
      </c>
      <c r="D172" s="295" t="s">
        <v>1766</v>
      </c>
      <c r="E172" s="292" t="s">
        <v>1764</v>
      </c>
      <c r="F172" s="269" t="s">
        <v>1766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1809</v>
      </c>
      <c r="D173" s="295" t="s">
        <v>1763</v>
      </c>
      <c r="E173" s="292" t="s">
        <v>1764</v>
      </c>
      <c r="F173" s="269" t="s">
        <v>1763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1580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1812</v>
      </c>
      <c r="E175" s="292" t="s">
        <v>1743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1722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1722</v>
      </c>
      <c r="D177" s="295" t="s">
        <v>1822</v>
      </c>
      <c r="E177" s="292" t="s">
        <v>1823</v>
      </c>
      <c r="F177" s="269" t="s">
        <v>1822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1722</v>
      </c>
      <c r="D178" s="295" t="s">
        <v>1795</v>
      </c>
      <c r="E178" s="292" t="s">
        <v>1796</v>
      </c>
      <c r="F178" s="269" t="s">
        <v>1795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1541</v>
      </c>
      <c r="E179" s="292" t="s">
        <v>1744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1458</v>
      </c>
      <c r="E180" s="292" t="s">
        <v>1744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1805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1469</v>
      </c>
      <c r="E182" s="292" t="s">
        <v>1839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1838</v>
      </c>
      <c r="E183" s="292" t="s">
        <v>1841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1752</v>
      </c>
      <c r="E184" s="292" t="s">
        <v>1203</v>
      </c>
      <c r="F184" s="269" t="s">
        <v>1752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1577</v>
      </c>
      <c r="D186" s="295" t="s">
        <v>1752</v>
      </c>
      <c r="E186" s="292" t="s">
        <v>1203</v>
      </c>
      <c r="F186" s="269" t="s">
        <v>1752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1704</v>
      </c>
      <c r="E187" s="292" t="s">
        <v>1705</v>
      </c>
      <c r="F187" s="269" t="s">
        <v>1704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1795</v>
      </c>
      <c r="E189" s="292" t="s">
        <v>1796</v>
      </c>
      <c r="F189" s="269" t="s">
        <v>1795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1822</v>
      </c>
      <c r="E190" s="292" t="s">
        <v>1823</v>
      </c>
      <c r="F190" s="269" t="s">
        <v>1822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1847</v>
      </c>
      <c r="D191" s="295" t="s">
        <v>1849</v>
      </c>
      <c r="E191" s="292" t="s">
        <v>1850</v>
      </c>
      <c r="F191" s="269" t="s">
        <v>1849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1809</v>
      </c>
      <c r="D196" s="295" t="s">
        <v>3666</v>
      </c>
      <c r="E196" s="292" t="s">
        <v>1859</v>
      </c>
      <c r="F196" s="269" t="s">
        <v>3666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1861</v>
      </c>
      <c r="E197" s="292" t="s">
        <v>1862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1867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1867</v>
      </c>
      <c r="E199" s="292" t="s">
        <v>1869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1870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1870</v>
      </c>
      <c r="E201" s="292" t="s">
        <v>1872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1876</v>
      </c>
      <c r="E202" s="292" t="s">
        <v>1743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1722</v>
      </c>
      <c r="D203" s="295" t="s">
        <v>1873</v>
      </c>
      <c r="E203" s="292" t="s">
        <v>1874</v>
      </c>
      <c r="F203" s="269" t="s">
        <v>1873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1671</v>
      </c>
      <c r="D204" s="295" t="s">
        <v>1201</v>
      </c>
      <c r="E204" s="292" t="s">
        <v>1644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1809</v>
      </c>
      <c r="D205" s="295" t="s">
        <v>1766</v>
      </c>
      <c r="E205" s="292" t="s">
        <v>1764</v>
      </c>
      <c r="F205" s="269" t="s">
        <v>1766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1809</v>
      </c>
      <c r="D206" s="295" t="s">
        <v>1763</v>
      </c>
      <c r="E206" s="292" t="s">
        <v>1764</v>
      </c>
      <c r="F206" s="269" t="s">
        <v>1763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1890</v>
      </c>
      <c r="E207" s="292" t="s">
        <v>1893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1894</v>
      </c>
      <c r="D208" s="295" t="s">
        <v>1752</v>
      </c>
      <c r="E208" s="292" t="s">
        <v>1203</v>
      </c>
      <c r="F208" s="269" t="s">
        <v>1752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1752</v>
      </c>
      <c r="E209" s="292" t="s">
        <v>1203</v>
      </c>
      <c r="F209" s="269" t="s">
        <v>1752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1752</v>
      </c>
      <c r="E210" s="292" t="s">
        <v>1203</v>
      </c>
      <c r="F210" s="269" t="s">
        <v>1752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1598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1580</v>
      </c>
      <c r="D212" s="295" t="s">
        <v>1901</v>
      </c>
      <c r="E212" s="292" t="s">
        <v>1902</v>
      </c>
      <c r="F212" s="269" t="s">
        <v>1901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1399</v>
      </c>
      <c r="E213" s="292" t="s">
        <v>1916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1541</v>
      </c>
      <c r="E214" s="292" t="s">
        <v>1919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1442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1671</v>
      </c>
      <c r="D216" s="295" t="s">
        <v>1752</v>
      </c>
      <c r="E216" s="292" t="s">
        <v>1203</v>
      </c>
      <c r="F216" s="269" t="s">
        <v>1752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1671</v>
      </c>
      <c r="E217" s="292" t="s">
        <v>1496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1722</v>
      </c>
      <c r="E218" s="292" t="s">
        <v>1926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1722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1598</v>
      </c>
      <c r="D220" s="295" t="s">
        <v>1923</v>
      </c>
      <c r="E220" s="292" t="s">
        <v>1581</v>
      </c>
      <c r="F220" s="269" t="s">
        <v>1923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1931</v>
      </c>
      <c r="D221" s="295" t="s">
        <v>1795</v>
      </c>
      <c r="E221" s="292" t="s">
        <v>1796</v>
      </c>
      <c r="F221" s="269" t="s">
        <v>1795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1931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1931</v>
      </c>
      <c r="D223" s="295" t="s">
        <v>1901</v>
      </c>
      <c r="E223" s="292" t="s">
        <v>1902</v>
      </c>
      <c r="F223" s="269" t="s">
        <v>1901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1942</v>
      </c>
      <c r="D224" s="295" t="s">
        <v>1933</v>
      </c>
      <c r="E224" s="292" t="s">
        <v>1934</v>
      </c>
      <c r="F224" s="269" t="s">
        <v>1933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1942</v>
      </c>
      <c r="D225" s="295" t="s">
        <v>1936</v>
      </c>
      <c r="E225" s="292" t="s">
        <v>1935</v>
      </c>
      <c r="F225" s="269" t="s">
        <v>1936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1399</v>
      </c>
      <c r="E226" s="292" t="s">
        <v>1744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1399</v>
      </c>
      <c r="D227" s="295">
        <v>24152333903</v>
      </c>
      <c r="E227" s="292" t="s">
        <v>1549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1580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1577</v>
      </c>
      <c r="D229" s="295">
        <v>415072909</v>
      </c>
      <c r="E229" s="292" t="s">
        <v>2522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1577</v>
      </c>
      <c r="D230" s="295" t="s">
        <v>1201</v>
      </c>
      <c r="E230" s="292" t="s">
        <v>1644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1577</v>
      </c>
      <c r="D231" s="295" t="s">
        <v>1803</v>
      </c>
      <c r="E231" s="292" t="s">
        <v>1575</v>
      </c>
      <c r="F231" s="269" t="s">
        <v>1803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1722</v>
      </c>
      <c r="E232" s="292" t="s">
        <v>1953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1449</v>
      </c>
      <c r="D233" s="295" t="s">
        <v>1956</v>
      </c>
      <c r="E233" s="292" t="s">
        <v>1957</v>
      </c>
      <c r="F233" s="269" t="s">
        <v>1956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1449</v>
      </c>
      <c r="D234" s="295" t="s">
        <v>1803</v>
      </c>
      <c r="E234" s="292" t="s">
        <v>1575</v>
      </c>
      <c r="F234" s="269" t="s">
        <v>1803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1598</v>
      </c>
      <c r="E235" s="292" t="s">
        <v>2577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1961</v>
      </c>
      <c r="D236" s="295" t="s">
        <v>3666</v>
      </c>
      <c r="E236" s="292" t="s">
        <v>1859</v>
      </c>
      <c r="F236" s="269" t="s">
        <v>3666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1961</v>
      </c>
      <c r="E237" s="292" t="s">
        <v>1965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1961</v>
      </c>
      <c r="E238" s="292" t="s">
        <v>1966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1961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1961</v>
      </c>
      <c r="D240" s="295">
        <v>50229</v>
      </c>
      <c r="E240" s="292" t="s">
        <v>1642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1961</v>
      </c>
      <c r="D241" s="295" t="s">
        <v>1795</v>
      </c>
      <c r="E241" s="292" t="s">
        <v>1796</v>
      </c>
      <c r="F241" s="269" t="s">
        <v>1795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1554</v>
      </c>
      <c r="D242" s="295" t="s">
        <v>1704</v>
      </c>
      <c r="E242" s="292" t="s">
        <v>1705</v>
      </c>
      <c r="F242" s="269" t="s">
        <v>1704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1444</v>
      </c>
      <c r="D243" s="295">
        <v>2800802</v>
      </c>
      <c r="E243" s="292" t="s">
        <v>1717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1444</v>
      </c>
      <c r="E244" s="292" t="s">
        <v>1973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1444</v>
      </c>
      <c r="E245" s="292" t="s">
        <v>1974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1391</v>
      </c>
      <c r="E246" s="292" t="s">
        <v>1535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1977</v>
      </c>
      <c r="D247" s="295" t="s">
        <v>1198</v>
      </c>
      <c r="E247" s="292" t="s">
        <v>1978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1980</v>
      </c>
      <c r="D248" s="295" t="s">
        <v>1822</v>
      </c>
      <c r="E248" s="292" t="s">
        <v>1823</v>
      </c>
      <c r="F248" s="269" t="s">
        <v>1822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1980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1980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1931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1449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1790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1444</v>
      </c>
      <c r="E254" s="292" t="s">
        <v>1985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1809</v>
      </c>
      <c r="E255" s="292" t="s">
        <v>1496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1521</v>
      </c>
      <c r="E258" s="292" t="s">
        <v>1524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1521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1444</v>
      </c>
      <c r="E260" s="292" t="s">
        <v>1535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1992</v>
      </c>
      <c r="E262" s="292" t="s">
        <v>1205</v>
      </c>
      <c r="F262" s="269" t="s">
        <v>1992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1532</v>
      </c>
      <c r="E264" s="292" t="s">
        <v>1743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1444</v>
      </c>
      <c r="E265" s="292" t="s">
        <v>1998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2015</v>
      </c>
      <c r="D266" s="295" t="s">
        <v>1795</v>
      </c>
      <c r="E266" s="292" t="s">
        <v>1796</v>
      </c>
      <c r="F266" s="269" t="s">
        <v>1795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2015</v>
      </c>
      <c r="D267" s="295" t="s">
        <v>1822</v>
      </c>
      <c r="E267" s="292" t="s">
        <v>1823</v>
      </c>
      <c r="F267" s="269" t="s">
        <v>1822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2015</v>
      </c>
      <c r="D268" s="295" t="s">
        <v>2012</v>
      </c>
      <c r="E268" s="292" t="s">
        <v>2013</v>
      </c>
      <c r="F268" s="269" t="s">
        <v>2012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2015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2015</v>
      </c>
      <c r="E270" s="292" t="s">
        <v>2014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2015</v>
      </c>
      <c r="D271" s="295">
        <v>50229</v>
      </c>
      <c r="E271" s="292" t="s">
        <v>1642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2015</v>
      </c>
      <c r="D272" s="295" t="s">
        <v>1901</v>
      </c>
      <c r="E272" s="292" t="s">
        <v>1902</v>
      </c>
      <c r="F272" s="269" t="s">
        <v>1901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1809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1722</v>
      </c>
      <c r="D274" s="295" t="s">
        <v>1752</v>
      </c>
      <c r="E274" s="292" t="s">
        <v>1203</v>
      </c>
      <c r="F274" s="269" t="s">
        <v>1752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1722</v>
      </c>
      <c r="E275" s="292" t="s">
        <v>1496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2024</v>
      </c>
      <c r="D276" s="295" t="s">
        <v>2022</v>
      </c>
      <c r="E276" s="292" t="s">
        <v>2023</v>
      </c>
      <c r="F276" s="269" t="s">
        <v>2022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1980</v>
      </c>
      <c r="D277" s="295" t="s">
        <v>1200</v>
      </c>
      <c r="E277" s="292" t="s">
        <v>1643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1747</v>
      </c>
      <c r="D278" s="295" t="s">
        <v>1216</v>
      </c>
      <c r="E278" s="292" t="s">
        <v>2027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1980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1980</v>
      </c>
      <c r="D280" s="295" t="s">
        <v>1704</v>
      </c>
      <c r="E280" s="292" t="s">
        <v>1705</v>
      </c>
      <c r="F280" s="269" t="s">
        <v>1704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1980</v>
      </c>
      <c r="E281" s="292" t="s">
        <v>2029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1980</v>
      </c>
      <c r="D282" s="295" t="s">
        <v>1795</v>
      </c>
      <c r="E282" s="292" t="s">
        <v>1796</v>
      </c>
      <c r="F282" s="269" t="s">
        <v>1795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1444</v>
      </c>
      <c r="E284" s="292" t="s">
        <v>2032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2034</v>
      </c>
      <c r="E285" s="292" t="s">
        <v>2037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2039</v>
      </c>
      <c r="D286" s="295" t="s">
        <v>1201</v>
      </c>
      <c r="E286" s="292" t="s">
        <v>1644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2039</v>
      </c>
      <c r="D287" s="295" t="s">
        <v>1803</v>
      </c>
      <c r="E287" s="292" t="s">
        <v>1575</v>
      </c>
      <c r="F287" s="269" t="s">
        <v>1803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2039</v>
      </c>
      <c r="D288" s="295" t="s">
        <v>1720</v>
      </c>
      <c r="E288" s="292" t="s">
        <v>1721</v>
      </c>
      <c r="F288" s="269" t="s">
        <v>1720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1577</v>
      </c>
      <c r="E290" s="292" t="s">
        <v>1743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2046</v>
      </c>
      <c r="E291" s="292" t="s">
        <v>2049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1554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2053</v>
      </c>
      <c r="E294" s="292" t="s">
        <v>1670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1577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2039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1980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1980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1541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1977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1444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1467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2015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1399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1580</v>
      </c>
      <c r="D307" s="295" t="s">
        <v>1201</v>
      </c>
      <c r="E307" s="292" t="s">
        <v>1644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1580</v>
      </c>
      <c r="D308" s="295" t="s">
        <v>1803</v>
      </c>
      <c r="E308" s="292" t="s">
        <v>1575</v>
      </c>
      <c r="F308" s="269" t="s">
        <v>1803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1580</v>
      </c>
      <c r="E309" s="292" t="s">
        <v>2056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1554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2034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1722</v>
      </c>
      <c r="D312" s="295">
        <v>2800802</v>
      </c>
      <c r="E312" s="292" t="s">
        <v>1717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1580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1977</v>
      </c>
      <c r="D314" s="295" t="s">
        <v>1198</v>
      </c>
      <c r="E314" s="292" t="s">
        <v>1978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1399</v>
      </c>
      <c r="D315" s="295">
        <v>415072909</v>
      </c>
      <c r="E315" s="298" t="s">
        <v>2522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1399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1977</v>
      </c>
      <c r="E317" s="292" t="s">
        <v>1670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1580</v>
      </c>
      <c r="E318" s="292" t="s">
        <v>2077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1961</v>
      </c>
      <c r="E319" s="292" t="s">
        <v>2075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2078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1541</v>
      </c>
      <c r="D322" s="295">
        <v>501220522</v>
      </c>
      <c r="E322" s="292" t="s">
        <v>2023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1399</v>
      </c>
      <c r="D323" s="295" t="s">
        <v>1752</v>
      </c>
      <c r="E323" s="292" t="s">
        <v>1203</v>
      </c>
      <c r="F323" s="269" t="s">
        <v>1752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1469</v>
      </c>
      <c r="E324" s="292" t="s">
        <v>1496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1399</v>
      </c>
      <c r="D325" s="295" t="s">
        <v>1752</v>
      </c>
      <c r="E325" s="292" t="s">
        <v>2084</v>
      </c>
      <c r="F325" s="269" t="s">
        <v>1752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1961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1643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2089</v>
      </c>
      <c r="D329" s="295" t="s">
        <v>1201</v>
      </c>
      <c r="E329" s="292" t="s">
        <v>1644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2089</v>
      </c>
      <c r="D330" s="295" t="s">
        <v>1803</v>
      </c>
      <c r="E330" s="292" t="s">
        <v>1575</v>
      </c>
      <c r="F330" s="269" t="s">
        <v>1803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1554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2089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1399</v>
      </c>
      <c r="D335" s="295">
        <v>1068298046</v>
      </c>
      <c r="E335" s="292" t="s">
        <v>2091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1399</v>
      </c>
      <c r="D336" s="295">
        <v>24152333907</v>
      </c>
      <c r="E336" s="292" t="s">
        <v>1549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2089</v>
      </c>
      <c r="D337" s="295" t="s">
        <v>1201</v>
      </c>
      <c r="E337" s="292" t="s">
        <v>1644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2089</v>
      </c>
      <c r="D338" s="295" t="s">
        <v>1803</v>
      </c>
      <c r="E338" s="292" t="s">
        <v>1575</v>
      </c>
      <c r="F338" s="269" t="s">
        <v>1803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2095</v>
      </c>
      <c r="D339" s="295" t="s">
        <v>1201</v>
      </c>
      <c r="E339" s="292" t="s">
        <v>1644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2095</v>
      </c>
      <c r="D340" s="295" t="s">
        <v>1803</v>
      </c>
      <c r="E340" s="292" t="s">
        <v>1575</v>
      </c>
      <c r="F340" s="269" t="s">
        <v>1803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2095</v>
      </c>
      <c r="D341" s="295" t="s">
        <v>1720</v>
      </c>
      <c r="E341" s="292" t="s">
        <v>1721</v>
      </c>
      <c r="F341" s="269" t="s">
        <v>1720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2095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2089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1722</v>
      </c>
      <c r="D345" s="295" t="s">
        <v>1213</v>
      </c>
      <c r="E345" s="292" t="s">
        <v>1129</v>
      </c>
      <c r="F345" s="269" t="s">
        <v>1464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2078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1469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1722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1532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2109</v>
      </c>
      <c r="E351" s="292" t="s">
        <v>1965</v>
      </c>
      <c r="F351" s="269" t="s">
        <v>2109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2015</v>
      </c>
      <c r="D352" s="295">
        <v>36050661</v>
      </c>
      <c r="E352" s="292" t="s">
        <v>2107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2342</v>
      </c>
      <c r="E354" s="292" t="s">
        <v>2087</v>
      </c>
      <c r="F354" s="269" t="s">
        <v>2342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1790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2015</v>
      </c>
      <c r="E357" s="292" t="s">
        <v>1746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1790</v>
      </c>
      <c r="E358" s="292" t="s">
        <v>1746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2306</v>
      </c>
      <c r="E359" s="292" t="s">
        <v>1495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2306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1444</v>
      </c>
      <c r="D361" s="295">
        <v>1068298046</v>
      </c>
      <c r="E361" s="292" t="s">
        <v>2091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1977</v>
      </c>
      <c r="D362" s="295" t="s">
        <v>1752</v>
      </c>
      <c r="E362" s="292" t="s">
        <v>1203</v>
      </c>
      <c r="F362" s="269" t="s">
        <v>1752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1598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1454</v>
      </c>
      <c r="E364" s="292" t="s">
        <v>2126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1454</v>
      </c>
      <c r="E365" s="292" t="s">
        <v>2127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2133</v>
      </c>
      <c r="D367" s="295" t="s">
        <v>1201</v>
      </c>
      <c r="E367" s="292" t="s">
        <v>1644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1399</v>
      </c>
      <c r="E368" s="292" t="s">
        <v>2137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2133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1598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1449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1449</v>
      </c>
      <c r="D372" s="295">
        <v>1068298046</v>
      </c>
      <c r="E372" s="292" t="s">
        <v>2091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1931</v>
      </c>
      <c r="D373" s="295">
        <v>1068298046</v>
      </c>
      <c r="E373" s="292" t="s">
        <v>2091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1931</v>
      </c>
      <c r="D374" s="295">
        <v>24152333903</v>
      </c>
      <c r="E374" s="292" t="s">
        <v>1549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2162</v>
      </c>
      <c r="E375" s="292" t="s">
        <v>2163</v>
      </c>
      <c r="F375" s="269" t="s">
        <v>2162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1790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2145</v>
      </c>
      <c r="D377" s="295">
        <v>7252703114</v>
      </c>
      <c r="E377" s="292" t="s">
        <v>1703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2149</v>
      </c>
      <c r="D378" s="295">
        <v>2800802</v>
      </c>
      <c r="E378" s="292" t="s">
        <v>1717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1399</v>
      </c>
      <c r="E379" s="292" t="s">
        <v>2152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2145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1671</v>
      </c>
      <c r="E382" s="292" t="s">
        <v>2158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1378</v>
      </c>
      <c r="E383" s="292" t="s">
        <v>2160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1977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1378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1722</v>
      </c>
      <c r="E386" s="292" t="s">
        <v>2037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1722</v>
      </c>
      <c r="E387" s="292" t="s">
        <v>2164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1449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2171</v>
      </c>
      <c r="D390" s="295" t="s">
        <v>1213</v>
      </c>
      <c r="E390" s="292" t="s">
        <v>1129</v>
      </c>
      <c r="F390" s="269" t="s">
        <v>1464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1790</v>
      </c>
      <c r="E392" s="292" t="s">
        <v>1743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1598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1598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1580</v>
      </c>
      <c r="D395" s="295" t="s">
        <v>1207</v>
      </c>
      <c r="E395" s="292" t="s">
        <v>2187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2089</v>
      </c>
      <c r="D396" s="295" t="s">
        <v>1201</v>
      </c>
      <c r="E396" s="292" t="s">
        <v>2180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2089</v>
      </c>
      <c r="D397" s="295" t="s">
        <v>1803</v>
      </c>
      <c r="E397" s="292" t="s">
        <v>2181</v>
      </c>
      <c r="F397" s="269" t="s">
        <v>1803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2089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1541</v>
      </c>
      <c r="E399" s="292" t="s">
        <v>2010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2101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1747</v>
      </c>
      <c r="D401" s="295">
        <v>50229</v>
      </c>
      <c r="E401" s="292" t="s">
        <v>2190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2215</v>
      </c>
      <c r="E402" s="292" t="s">
        <v>2213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1870</v>
      </c>
      <c r="D403" s="295" t="s">
        <v>1201</v>
      </c>
      <c r="E403" s="292" t="s">
        <v>2180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1870</v>
      </c>
      <c r="D404" s="295" t="s">
        <v>1803</v>
      </c>
      <c r="E404" s="292" t="s">
        <v>2181</v>
      </c>
      <c r="F404" s="269" t="s">
        <v>1803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1870</v>
      </c>
      <c r="D405" s="295" t="s">
        <v>2217</v>
      </c>
      <c r="E405" s="292" t="s">
        <v>4043</v>
      </c>
      <c r="F405" s="269" t="s">
        <v>2217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1870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2095</v>
      </c>
      <c r="D407" s="295" t="s">
        <v>2217</v>
      </c>
      <c r="E407" s="292" t="s">
        <v>4043</v>
      </c>
      <c r="F407" s="269" t="s">
        <v>2217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1931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1747</v>
      </c>
      <c r="D409" s="295">
        <v>50229</v>
      </c>
      <c r="E409" s="292" t="s">
        <v>2190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1747</v>
      </c>
      <c r="D410" s="295" t="s">
        <v>1259</v>
      </c>
      <c r="E410" s="292" t="s">
        <v>2188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1747</v>
      </c>
      <c r="D411" s="295" t="s">
        <v>1822</v>
      </c>
      <c r="E411" s="292" t="s">
        <v>2192</v>
      </c>
      <c r="F411" s="269" t="s">
        <v>1822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1870</v>
      </c>
      <c r="E412" s="292" t="s">
        <v>2228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1870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1847</v>
      </c>
      <c r="E414" s="292" t="s">
        <v>2230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1747</v>
      </c>
      <c r="E415" s="292" t="s">
        <v>1519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1747</v>
      </c>
      <c r="E416" s="292" t="s">
        <v>1535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2254</v>
      </c>
      <c r="E419" s="292" t="s">
        <v>2255</v>
      </c>
      <c r="F419" s="269" t="s">
        <v>2254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1847</v>
      </c>
      <c r="E420" s="292" t="s">
        <v>1746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1671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1469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1722</v>
      </c>
      <c r="D423" s="295" t="s">
        <v>1201</v>
      </c>
      <c r="E423" s="292" t="s">
        <v>2180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1722</v>
      </c>
      <c r="D424" s="295" t="s">
        <v>1803</v>
      </c>
      <c r="E424" s="292" t="s">
        <v>2181</v>
      </c>
      <c r="F424" s="269" t="s">
        <v>1803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1722</v>
      </c>
      <c r="D425" s="295" t="s">
        <v>1720</v>
      </c>
      <c r="E425" s="292" t="s">
        <v>2183</v>
      </c>
      <c r="F425" s="269" t="s">
        <v>1720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1722</v>
      </c>
      <c r="E426" s="292" t="s">
        <v>2241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1391</v>
      </c>
      <c r="E427" s="292" t="s">
        <v>2037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1444</v>
      </c>
      <c r="E428" s="292" t="s">
        <v>2245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1752</v>
      </c>
      <c r="E430" s="292" t="s">
        <v>1203</v>
      </c>
      <c r="F430" s="269" t="s">
        <v>1752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2186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2348</v>
      </c>
      <c r="E433" s="292" t="s">
        <v>1646</v>
      </c>
      <c r="F433" s="269" t="s">
        <v>2348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1861</v>
      </c>
      <c r="D434" s="295" t="s">
        <v>1200</v>
      </c>
      <c r="E434" s="292" t="s">
        <v>2186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2095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2239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1391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1554</v>
      </c>
      <c r="E438" s="292" t="s">
        <v>2256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2258</v>
      </c>
      <c r="D439" s="295" t="s">
        <v>1213</v>
      </c>
      <c r="E439" s="292" t="s">
        <v>2178</v>
      </c>
      <c r="F439" s="269" t="s">
        <v>1464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1671</v>
      </c>
      <c r="D440" s="295" t="s">
        <v>1956</v>
      </c>
      <c r="E440" s="292" t="s">
        <v>2202</v>
      </c>
      <c r="F440" s="269" t="s">
        <v>1956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1671</v>
      </c>
      <c r="D441" s="295" t="s">
        <v>1803</v>
      </c>
      <c r="E441" s="292" t="s">
        <v>2181</v>
      </c>
      <c r="F441" s="269" t="s">
        <v>1803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1671</v>
      </c>
      <c r="E442" s="292" t="s">
        <v>2203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2261</v>
      </c>
      <c r="D443" s="295" t="s">
        <v>1201</v>
      </c>
      <c r="E443" s="292" t="s">
        <v>2180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2261</v>
      </c>
      <c r="D444" s="295" t="s">
        <v>1803</v>
      </c>
      <c r="E444" s="292" t="s">
        <v>2181</v>
      </c>
      <c r="F444" s="269" t="s">
        <v>1803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1861</v>
      </c>
      <c r="D445" s="295" t="s">
        <v>1201</v>
      </c>
      <c r="E445" s="292" t="s">
        <v>2180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1861</v>
      </c>
      <c r="D446" s="295" t="s">
        <v>1803</v>
      </c>
      <c r="E446" s="292" t="s">
        <v>2181</v>
      </c>
      <c r="F446" s="269" t="s">
        <v>1803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2261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2258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1454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1399</v>
      </c>
      <c r="D451" s="295">
        <v>7252703114</v>
      </c>
      <c r="E451" s="292" t="s">
        <v>1703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1554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1449</v>
      </c>
      <c r="D454" s="295" t="s">
        <v>1198</v>
      </c>
      <c r="E454" s="292" t="s">
        <v>2267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1479</v>
      </c>
      <c r="E455" s="292" t="s">
        <v>1743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1449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2277</v>
      </c>
      <c r="E459" s="292" t="s">
        <v>1719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1722</v>
      </c>
      <c r="D460" s="295">
        <v>4150862090</v>
      </c>
      <c r="E460" s="292" t="s">
        <v>2522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1452</v>
      </c>
      <c r="E461" s="292" t="s">
        <v>1744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1822</v>
      </c>
      <c r="E465" s="292" t="s">
        <v>2192</v>
      </c>
      <c r="F465" s="269" t="s">
        <v>1822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1544</v>
      </c>
      <c r="E466" s="292" t="s">
        <v>2290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1544</v>
      </c>
      <c r="E467" s="292" t="s">
        <v>1746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1554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2292</v>
      </c>
      <c r="D469" s="295" t="s">
        <v>1198</v>
      </c>
      <c r="E469" s="292" t="s">
        <v>2197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2292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1399</v>
      </c>
      <c r="E472" s="292" t="s">
        <v>1743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1554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1671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1577</v>
      </c>
      <c r="D476" s="295" t="s">
        <v>1207</v>
      </c>
      <c r="E476" s="292" t="s">
        <v>2187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1577</v>
      </c>
      <c r="D477" s="295">
        <v>50229</v>
      </c>
      <c r="E477" s="292" t="s">
        <v>2190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1577</v>
      </c>
      <c r="D478" s="295" t="s">
        <v>1795</v>
      </c>
      <c r="E478" s="292" t="s">
        <v>2191</v>
      </c>
      <c r="F478" s="269" t="s">
        <v>1795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2306</v>
      </c>
      <c r="D479" s="295" t="s">
        <v>1752</v>
      </c>
      <c r="E479" s="292" t="s">
        <v>2299</v>
      </c>
      <c r="F479" s="269" t="s">
        <v>1752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2306</v>
      </c>
      <c r="E480" s="292" t="s">
        <v>1496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2188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1671</v>
      </c>
      <c r="E482" s="292" t="s">
        <v>1496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1861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1586</v>
      </c>
      <c r="D484" s="295" t="s">
        <v>1213</v>
      </c>
      <c r="E484" s="292" t="s">
        <v>2178</v>
      </c>
      <c r="F484" s="269" t="s">
        <v>1464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2306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1671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1479</v>
      </c>
      <c r="D487" s="295">
        <v>501220639</v>
      </c>
      <c r="E487" s="292" t="s">
        <v>1759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1580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1722</v>
      </c>
      <c r="E489" s="292" t="s">
        <v>1744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1577</v>
      </c>
      <c r="E490" s="292" t="s">
        <v>1535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1790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1541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1541</v>
      </c>
      <c r="E495" s="292" t="s">
        <v>2316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2148</v>
      </c>
      <c r="E496" s="292" t="s">
        <v>1855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1399</v>
      </c>
      <c r="E497" s="292" t="s">
        <v>2318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1747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1586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1894</v>
      </c>
      <c r="E500" s="292" t="s">
        <v>2320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2319</v>
      </c>
      <c r="E502" s="292" t="s">
        <v>2197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2319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2321</v>
      </c>
      <c r="E504" s="292" t="s">
        <v>1717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1894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2276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2321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1747</v>
      </c>
      <c r="E508" s="292" t="s">
        <v>2299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1747</v>
      </c>
      <c r="E509" s="292" t="s">
        <v>1496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1747</v>
      </c>
      <c r="E510" s="292" t="s">
        <v>1519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1391</v>
      </c>
      <c r="E511" s="292" t="s">
        <v>2522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1399</v>
      </c>
      <c r="E512" s="292" t="s">
        <v>2027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1541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2352</v>
      </c>
      <c r="E514" s="292" t="s">
        <v>1723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2215</v>
      </c>
      <c r="E516" s="292" t="s">
        <v>3070</v>
      </c>
      <c r="F516" s="269" t="s">
        <v>2327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2101</v>
      </c>
      <c r="E517" s="292" t="s">
        <v>1203</v>
      </c>
      <c r="F517" s="269" t="s">
        <v>1752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2101</v>
      </c>
      <c r="E518" s="292" t="s">
        <v>2338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1747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2113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2178</v>
      </c>
      <c r="F522" s="269" t="s">
        <v>1464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1580</v>
      </c>
      <c r="E523" s="292" t="s">
        <v>2056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1577</v>
      </c>
      <c r="E526" s="292" t="s">
        <v>1746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1452</v>
      </c>
      <c r="E527" s="292" t="s">
        <v>1746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2333</v>
      </c>
      <c r="E528" s="292" t="s">
        <v>1746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1391</v>
      </c>
      <c r="E529" s="292" t="s">
        <v>1746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1479</v>
      </c>
      <c r="E530" s="292" t="s">
        <v>1746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2361</v>
      </c>
      <c r="E532" s="292" t="s">
        <v>1219</v>
      </c>
      <c r="F532" s="269" t="s">
        <v>2162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1541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2292</v>
      </c>
      <c r="E534" s="292" t="s">
        <v>2187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2292</v>
      </c>
      <c r="E535" s="292" t="s">
        <v>2190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2292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1456</v>
      </c>
      <c r="E537" s="292" t="s">
        <v>1717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1399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1541</v>
      </c>
      <c r="E539" s="292" t="s">
        <v>1203</v>
      </c>
      <c r="F539" s="269" t="s">
        <v>1752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1541</v>
      </c>
      <c r="E540" s="292" t="s">
        <v>1496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1541</v>
      </c>
      <c r="E541" s="292" t="s">
        <v>1703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2258</v>
      </c>
      <c r="E542" s="292" t="s">
        <v>2196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1449</v>
      </c>
      <c r="E545" s="292" t="s">
        <v>2363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2375</v>
      </c>
      <c r="E546" s="292" t="s">
        <v>2374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1449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1598</v>
      </c>
      <c r="E549" s="292" t="s">
        <v>2196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2381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1456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2386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2380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1580</v>
      </c>
      <c r="E554" s="292" t="s">
        <v>1535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1580</v>
      </c>
      <c r="E555" s="292" t="s">
        <v>1549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1722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1722</v>
      </c>
      <c r="E557" s="292" t="s">
        <v>2389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1541</v>
      </c>
      <c r="E558" s="292" t="s">
        <v>2187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1541</v>
      </c>
      <c r="E559" s="292" t="s">
        <v>2190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1541</v>
      </c>
      <c r="E560" s="292" t="s">
        <v>2188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1541</v>
      </c>
      <c r="E561" s="292" t="s">
        <v>2192</v>
      </c>
      <c r="F561" s="269" t="s">
        <v>1822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1541</v>
      </c>
      <c r="E562" s="292" t="s">
        <v>2191</v>
      </c>
      <c r="F562" s="269" t="s">
        <v>1795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1598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1456</v>
      </c>
      <c r="E564" s="292" t="s">
        <v>1717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2191</v>
      </c>
      <c r="F566" s="269" t="s">
        <v>1795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1580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2405</v>
      </c>
      <c r="E570" s="292" t="s">
        <v>2404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1722</v>
      </c>
      <c r="E571" s="292" t="s">
        <v>2187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2429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2361</v>
      </c>
      <c r="E573" s="292" t="s">
        <v>2255</v>
      </c>
      <c r="F573" s="269" t="s">
        <v>2254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2361</v>
      </c>
      <c r="E574" s="292" t="s">
        <v>2055</v>
      </c>
      <c r="F574" s="269" t="s">
        <v>2434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1874</v>
      </c>
      <c r="F576" s="269" t="s">
        <v>2414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1722</v>
      </c>
      <c r="E577" s="292" t="s">
        <v>1743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1444</v>
      </c>
      <c r="E579" s="292" t="s">
        <v>2196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1399</v>
      </c>
      <c r="E580" s="292" t="s">
        <v>2196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1580</v>
      </c>
      <c r="E581" s="292" t="s">
        <v>2187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1580</v>
      </c>
      <c r="E582" s="292" t="s">
        <v>2188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1577</v>
      </c>
      <c r="E584" s="292" t="s">
        <v>2423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1577</v>
      </c>
      <c r="E585" s="292" t="s">
        <v>2425</v>
      </c>
      <c r="F585" s="269" t="s">
        <v>2424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1577</v>
      </c>
      <c r="E586" s="292" t="s">
        <v>2427</v>
      </c>
      <c r="F586" s="269" t="s">
        <v>2426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1577</v>
      </c>
      <c r="E587" s="292" t="s">
        <v>2192</v>
      </c>
      <c r="F587" s="269" t="s">
        <v>1822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2410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1444</v>
      </c>
      <c r="E589" s="292" t="s">
        <v>2430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1444</v>
      </c>
      <c r="E590" s="292" t="s">
        <v>2431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1444</v>
      </c>
      <c r="E591" s="292" t="s">
        <v>2432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1444</v>
      </c>
      <c r="E592" s="292" t="s">
        <v>2433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2258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1399</v>
      </c>
      <c r="E596" s="292" t="s">
        <v>2340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2101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1596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2365</v>
      </c>
      <c r="E599" s="292" t="s">
        <v>2451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1747</v>
      </c>
      <c r="E600" s="292" t="s">
        <v>2190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1747</v>
      </c>
      <c r="E601" s="292" t="s">
        <v>2188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2722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1577</v>
      </c>
      <c r="E605" s="292" t="s">
        <v>2577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1577</v>
      </c>
      <c r="E606" s="292" t="s">
        <v>1519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1444</v>
      </c>
      <c r="E607" s="292" t="s">
        <v>2458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2319</v>
      </c>
      <c r="E608" s="292" t="s">
        <v>2460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1894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1444</v>
      </c>
      <c r="E610" s="292" t="s">
        <v>2463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1456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2465</v>
      </c>
      <c r="D612" s="295" t="s">
        <v>1213</v>
      </c>
      <c r="E612" s="292" t="s">
        <v>2466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2476</v>
      </c>
      <c r="E615" s="292" t="s">
        <v>1203</v>
      </c>
      <c r="F615" s="269" t="s">
        <v>1752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1452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2467</v>
      </c>
      <c r="E618" s="292" t="s">
        <v>1717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1449</v>
      </c>
      <c r="E619" s="292" t="s">
        <v>1203</v>
      </c>
      <c r="F619" s="269" t="s">
        <v>1752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2365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2467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2319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1449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1488</v>
      </c>
      <c r="E624" s="292" t="s">
        <v>2180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1488</v>
      </c>
      <c r="E625" s="292" t="s">
        <v>2181</v>
      </c>
      <c r="F625" s="269" t="s">
        <v>1803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1473</v>
      </c>
      <c r="E626" s="292" t="s">
        <v>2196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1479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2476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2148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2486</v>
      </c>
      <c r="E630" s="292" t="s">
        <v>1717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1894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2191</v>
      </c>
      <c r="F633" s="269" t="s">
        <v>1795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2192</v>
      </c>
      <c r="F634" s="269" t="s">
        <v>1822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1809</v>
      </c>
      <c r="E635" s="292" t="s">
        <v>2178</v>
      </c>
      <c r="F635" s="269" t="s">
        <v>1464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1980</v>
      </c>
      <c r="E636" s="292" t="s">
        <v>2186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2496</v>
      </c>
      <c r="E637" s="292" t="s">
        <v>2180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2496</v>
      </c>
      <c r="E638" s="292" t="s">
        <v>2181</v>
      </c>
      <c r="F638" s="269" t="s">
        <v>1803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2688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1469</v>
      </c>
      <c r="E640" s="292" t="s">
        <v>2500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1494</v>
      </c>
      <c r="E641" s="292" t="s">
        <v>2299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1494</v>
      </c>
      <c r="E642" s="292" t="s">
        <v>1496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2496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1980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1399</v>
      </c>
      <c r="E645" s="292" t="s">
        <v>1743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2486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1541</v>
      </c>
      <c r="E647" s="292" t="s">
        <v>1743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1454</v>
      </c>
      <c r="E649" s="292" t="s">
        <v>2127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1494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1561</v>
      </c>
      <c r="F651" s="269" t="s">
        <v>1768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2700</v>
      </c>
      <c r="E653" s="292" t="s">
        <v>2701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1399</v>
      </c>
      <c r="E655" s="292" t="s">
        <v>1743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1469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1479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1378</v>
      </c>
      <c r="E658" s="292" t="s">
        <v>1203</v>
      </c>
      <c r="F658" s="269" t="s">
        <v>1752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1378</v>
      </c>
      <c r="E659" s="292" t="s">
        <v>1496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1378</v>
      </c>
      <c r="E660" s="292" t="s">
        <v>1519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1378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1541</v>
      </c>
      <c r="E662" s="292" t="s">
        <v>2555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1541</v>
      </c>
      <c r="E663" s="292" t="s">
        <v>2557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1399</v>
      </c>
      <c r="E664" s="292" t="s">
        <v>1743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2558</v>
      </c>
      <c r="E665" s="292" t="s">
        <v>2178</v>
      </c>
      <c r="F665" s="269" t="s">
        <v>1464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2558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1452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2700</v>
      </c>
      <c r="E668" s="292" t="s">
        <v>1827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1399</v>
      </c>
      <c r="E669" s="292" t="s">
        <v>2566</v>
      </c>
      <c r="F669" s="269" t="s">
        <v>2565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2778</v>
      </c>
      <c r="M670" s="269"/>
    </row>
    <row r="671" spans="1:13" x14ac:dyDescent="0.3">
      <c r="A671" s="271">
        <v>670</v>
      </c>
      <c r="B671" s="264">
        <v>45826</v>
      </c>
      <c r="C671" s="292" t="s">
        <v>1977</v>
      </c>
      <c r="E671" s="292" t="s">
        <v>2197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1977</v>
      </c>
      <c r="E672" s="292" t="s">
        <v>1519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1977</v>
      </c>
      <c r="E673" s="292" t="s">
        <v>2197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2292</v>
      </c>
      <c r="E674" s="292" t="s">
        <v>2037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2292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1454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1977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1722</v>
      </c>
      <c r="E678" s="292" t="s">
        <v>2330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1399</v>
      </c>
      <c r="E679" s="292" t="s">
        <v>1203</v>
      </c>
      <c r="F679" s="269" t="s">
        <v>1752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1399</v>
      </c>
      <c r="E680" s="292" t="s">
        <v>1850</v>
      </c>
      <c r="F680" s="269" t="s">
        <v>1849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1977</v>
      </c>
      <c r="E681" s="292" t="s">
        <v>2577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1449</v>
      </c>
      <c r="E682" s="292" t="s">
        <v>1203</v>
      </c>
      <c r="F682" s="269" t="s">
        <v>1752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2558</v>
      </c>
      <c r="E683" s="292" t="s">
        <v>1203</v>
      </c>
      <c r="F683" s="269" t="s">
        <v>1752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2558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1399</v>
      </c>
      <c r="E685" s="292" t="s">
        <v>2180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1399</v>
      </c>
      <c r="E686" s="292" t="s">
        <v>2181</v>
      </c>
      <c r="F686" s="269" t="s">
        <v>1803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1444</v>
      </c>
      <c r="E687" s="292" t="s">
        <v>2178</v>
      </c>
      <c r="F687" s="269" t="s">
        <v>1464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2657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2410</v>
      </c>
      <c r="E689" s="292" t="s">
        <v>2027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1577</v>
      </c>
      <c r="E690" s="292" t="s">
        <v>2587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1577</v>
      </c>
      <c r="E691" s="292" t="s">
        <v>1759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1577</v>
      </c>
      <c r="E692" s="292" t="s">
        <v>2112</v>
      </c>
      <c r="F692" s="269" t="s">
        <v>2582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1577</v>
      </c>
      <c r="E693" s="292" t="s">
        <v>2589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1977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1809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2255</v>
      </c>
      <c r="F696" s="269" t="s">
        <v>2254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2612</v>
      </c>
      <c r="F697" s="269" t="s">
        <v>1755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2410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1541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1580</v>
      </c>
      <c r="E700" s="292" t="s">
        <v>1203</v>
      </c>
      <c r="F700" s="269" t="s">
        <v>1752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1580</v>
      </c>
      <c r="E701" s="292" t="s">
        <v>1705</v>
      </c>
      <c r="F701" s="269" t="s">
        <v>1704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2215</v>
      </c>
      <c r="E702" s="292" t="s">
        <v>1219</v>
      </c>
      <c r="F702" s="269" t="s">
        <v>2162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2215</v>
      </c>
      <c r="E703" s="292" t="s">
        <v>2338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1541</v>
      </c>
      <c r="E704" s="292" t="s">
        <v>1203</v>
      </c>
      <c r="F704" s="269" t="s">
        <v>1752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1541</v>
      </c>
      <c r="E705" s="292" t="s">
        <v>1703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1541</v>
      </c>
      <c r="E706" s="292" t="s">
        <v>1496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2602</v>
      </c>
      <c r="E707" s="292" t="s">
        <v>1203</v>
      </c>
      <c r="F707" s="269" t="s">
        <v>1752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2602</v>
      </c>
      <c r="E708" s="292" t="s">
        <v>1519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1580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1449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1580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2610</v>
      </c>
      <c r="E712" s="292" t="s">
        <v>1717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2610</v>
      </c>
      <c r="E713" s="292" t="s">
        <v>1746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2597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1586</v>
      </c>
      <c r="E715" s="292" t="s">
        <v>1743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2672</v>
      </c>
      <c r="E716" s="292" t="s">
        <v>2673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1722</v>
      </c>
      <c r="E717" s="292" t="s">
        <v>2616</v>
      </c>
      <c r="F717" s="269" t="s">
        <v>2615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1747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2602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2618</v>
      </c>
      <c r="E720" s="292" t="s">
        <v>1205</v>
      </c>
      <c r="F720" s="269" t="s">
        <v>1563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2618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2623</v>
      </c>
      <c r="E722" s="292" t="s">
        <v>2622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1444</v>
      </c>
      <c r="E724" s="292" t="s">
        <v>2625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2629</v>
      </c>
      <c r="M726" s="269"/>
    </row>
    <row r="727" spans="1:14" x14ac:dyDescent="0.3">
      <c r="A727" s="271">
        <v>726</v>
      </c>
      <c r="B727" s="264">
        <v>45832</v>
      </c>
      <c r="C727" s="292" t="s">
        <v>1580</v>
      </c>
      <c r="E727" s="292" t="s">
        <v>2180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1580</v>
      </c>
      <c r="E728" s="292" t="s">
        <v>2181</v>
      </c>
      <c r="F728" s="269" t="s">
        <v>1803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2670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2632</v>
      </c>
      <c r="E731" s="292" t="s">
        <v>1496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1722</v>
      </c>
      <c r="E732" s="292" t="s">
        <v>2186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1541</v>
      </c>
      <c r="E733" s="292" t="s">
        <v>2181</v>
      </c>
      <c r="F733" s="269" t="s">
        <v>1803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2180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2181</v>
      </c>
      <c r="F735" s="269" t="s">
        <v>1803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1581</v>
      </c>
      <c r="F736" s="269" t="s">
        <v>1923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1894</v>
      </c>
      <c r="E737" s="292" t="s">
        <v>1203</v>
      </c>
      <c r="F737" s="269" t="s">
        <v>1752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2654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2643</v>
      </c>
      <c r="E739" s="292" t="s">
        <v>2299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1598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1586</v>
      </c>
      <c r="E742" s="292" t="s">
        <v>1743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2643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2632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2667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2663</v>
      </c>
      <c r="F746" s="269" t="s">
        <v>1733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1722</v>
      </c>
      <c r="E747" s="292" t="s">
        <v>2664</v>
      </c>
      <c r="F747" s="269" t="s">
        <v>1795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1399</v>
      </c>
      <c r="E748" s="292" t="s">
        <v>2180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1399</v>
      </c>
      <c r="E749" s="292" t="s">
        <v>2181</v>
      </c>
      <c r="F749" s="269" t="s">
        <v>1803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1399</v>
      </c>
      <c r="E751" s="292" t="s">
        <v>1703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2669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2671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2502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2476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1399</v>
      </c>
      <c r="E756" s="292" t="s">
        <v>2290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2202</v>
      </c>
      <c r="F757" s="269" t="s">
        <v>1956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2181</v>
      </c>
      <c r="F758" s="269" t="s">
        <v>1803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2680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1378</v>
      </c>
      <c r="E760" s="292" t="s">
        <v>1717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1378</v>
      </c>
      <c r="E761" s="292" t="s">
        <v>1855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2910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2180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2181</v>
      </c>
      <c r="F764" s="269" t="s">
        <v>1803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1577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1473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1722</v>
      </c>
      <c r="E768" s="292" t="s">
        <v>1561</v>
      </c>
      <c r="F768" s="269" t="s">
        <v>2697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1473</v>
      </c>
      <c r="E769" s="292" t="s">
        <v>2196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1586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2292</v>
      </c>
      <c r="E771" s="292" t="s">
        <v>1744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2623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2255</v>
      </c>
      <c r="F773" s="269" t="s">
        <v>2254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2713</v>
      </c>
      <c r="F774" s="269" t="s">
        <v>2712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2719</v>
      </c>
      <c r="E775" s="292" t="s">
        <v>2338</v>
      </c>
      <c r="F775" s="269" t="s">
        <v>2720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1444</v>
      </c>
      <c r="E776" s="292" t="s">
        <v>2180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1444</v>
      </c>
      <c r="E777" s="292" t="s">
        <v>2181</v>
      </c>
      <c r="F777" s="269" t="s">
        <v>1803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1722</v>
      </c>
      <c r="E778" s="292" t="s">
        <v>2188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1980</v>
      </c>
      <c r="E779" s="292" t="s">
        <v>2180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1980</v>
      </c>
      <c r="E780" s="292" t="s">
        <v>2181</v>
      </c>
      <c r="F780" s="269" t="s">
        <v>1803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1467</v>
      </c>
      <c r="E781" s="292" t="s">
        <v>2178</v>
      </c>
      <c r="F781" s="269" t="s">
        <v>1464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2704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1894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2292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1541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1577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1580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1670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1378</v>
      </c>
      <c r="E790" s="292" t="s">
        <v>2723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2725</v>
      </c>
      <c r="E792" s="292" t="s">
        <v>2724</v>
      </c>
      <c r="G792" s="265">
        <v>150000</v>
      </c>
      <c r="H792" s="269">
        <v>1</v>
      </c>
      <c r="K792" s="265">
        <v>150000</v>
      </c>
      <c r="M792" s="269"/>
      <c r="N792" t="s">
        <v>2863</v>
      </c>
    </row>
    <row r="793" spans="1:14" x14ac:dyDescent="0.3">
      <c r="A793" s="271">
        <v>792</v>
      </c>
      <c r="B793" s="264">
        <v>45839</v>
      </c>
      <c r="C793" s="292" t="s">
        <v>1479</v>
      </c>
      <c r="E793" s="292" t="s">
        <v>1744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2863</v>
      </c>
    </row>
    <row r="794" spans="1:14" x14ac:dyDescent="0.3">
      <c r="A794" s="271">
        <v>793</v>
      </c>
      <c r="B794" s="264">
        <v>45839</v>
      </c>
      <c r="C794" s="292" t="s">
        <v>1580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2863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1746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2730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1399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1399</v>
      </c>
      <c r="E798" s="292" t="s">
        <v>2731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2732</v>
      </c>
      <c r="E799" s="292" t="s">
        <v>2343</v>
      </c>
      <c r="G799" s="265">
        <v>150000</v>
      </c>
      <c r="H799" s="269">
        <v>1</v>
      </c>
      <c r="K799" s="265">
        <v>150000</v>
      </c>
      <c r="M799" s="269"/>
      <c r="N799" t="s">
        <v>2863</v>
      </c>
    </row>
    <row r="800" spans="1:14" x14ac:dyDescent="0.3">
      <c r="A800" s="271">
        <v>799</v>
      </c>
      <c r="B800" s="264">
        <v>45839</v>
      </c>
      <c r="C800" s="292" t="s">
        <v>1444</v>
      </c>
      <c r="E800" s="292" t="s">
        <v>1703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2863</v>
      </c>
    </row>
    <row r="801" spans="1:14" x14ac:dyDescent="0.3">
      <c r="A801" s="271">
        <v>800</v>
      </c>
      <c r="B801" s="264">
        <v>45839</v>
      </c>
      <c r="C801" s="292" t="s">
        <v>1444</v>
      </c>
      <c r="E801" s="292" t="s">
        <v>2667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2863</v>
      </c>
    </row>
    <row r="802" spans="1:14" x14ac:dyDescent="0.3">
      <c r="A802" s="271">
        <v>801</v>
      </c>
      <c r="B802" s="264">
        <v>45839</v>
      </c>
      <c r="C802" s="292" t="s">
        <v>2732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1980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2740</v>
      </c>
      <c r="E804" s="292" t="s">
        <v>2299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2863</v>
      </c>
    </row>
    <row r="805" spans="1:14" x14ac:dyDescent="0.3">
      <c r="A805" s="271">
        <v>804</v>
      </c>
      <c r="B805" s="264">
        <v>45840</v>
      </c>
      <c r="C805" s="292" t="s">
        <v>2742</v>
      </c>
      <c r="E805" s="292" t="s">
        <v>1203</v>
      </c>
      <c r="F805" s="269" t="s">
        <v>1752</v>
      </c>
      <c r="G805" s="265">
        <v>1200000</v>
      </c>
      <c r="H805" s="269">
        <v>1</v>
      </c>
      <c r="K805" s="265">
        <v>1200000</v>
      </c>
      <c r="M805" s="269"/>
      <c r="N805" t="s">
        <v>2863</v>
      </c>
    </row>
    <row r="806" spans="1:14" x14ac:dyDescent="0.3">
      <c r="A806" s="271">
        <v>805</v>
      </c>
      <c r="B806" s="264">
        <v>45840</v>
      </c>
      <c r="C806" s="292" t="s">
        <v>2742</v>
      </c>
      <c r="E806" s="292" t="s">
        <v>2747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1580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1580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2863</v>
      </c>
    </row>
    <row r="809" spans="1:14" x14ac:dyDescent="0.3">
      <c r="A809" s="271">
        <v>808</v>
      </c>
      <c r="B809" s="264">
        <v>45840</v>
      </c>
      <c r="C809" s="292" t="s">
        <v>1961</v>
      </c>
      <c r="E809" s="292" t="s">
        <v>2180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2863</v>
      </c>
    </row>
    <row r="810" spans="1:14" x14ac:dyDescent="0.3">
      <c r="A810" s="271">
        <v>809</v>
      </c>
      <c r="B810" s="264">
        <v>45840</v>
      </c>
      <c r="C810" s="292" t="s">
        <v>1961</v>
      </c>
      <c r="E810" s="292" t="s">
        <v>2181</v>
      </c>
      <c r="F810" s="269" t="s">
        <v>1803</v>
      </c>
      <c r="G810" s="265">
        <v>50000</v>
      </c>
      <c r="H810" s="269">
        <v>1</v>
      </c>
      <c r="K810" s="265">
        <v>50000</v>
      </c>
      <c r="M810" s="269"/>
      <c r="N810" t="s">
        <v>2863</v>
      </c>
    </row>
    <row r="811" spans="1:14" x14ac:dyDescent="0.3">
      <c r="A811" s="271">
        <v>810</v>
      </c>
      <c r="B811" s="264">
        <v>45840</v>
      </c>
      <c r="C811" s="292" t="s">
        <v>1961</v>
      </c>
      <c r="E811" s="292" t="s">
        <v>4043</v>
      </c>
      <c r="F811" s="269" t="s">
        <v>2217</v>
      </c>
      <c r="G811" s="265">
        <v>250000</v>
      </c>
      <c r="H811" s="269">
        <v>1</v>
      </c>
      <c r="K811" s="265">
        <v>250000</v>
      </c>
      <c r="M811" s="269"/>
      <c r="N811" t="s">
        <v>2863</v>
      </c>
    </row>
    <row r="812" spans="1:14" x14ac:dyDescent="0.3">
      <c r="A812" s="271">
        <v>811</v>
      </c>
      <c r="B812" s="264">
        <v>45840</v>
      </c>
      <c r="C812" s="292" t="s">
        <v>1961</v>
      </c>
      <c r="E812" s="292" t="s">
        <v>2183</v>
      </c>
      <c r="F812" s="269" t="s">
        <v>1720</v>
      </c>
      <c r="G812" s="265">
        <v>70000</v>
      </c>
      <c r="H812" s="269">
        <v>1</v>
      </c>
      <c r="K812" s="265">
        <v>70000</v>
      </c>
      <c r="M812" s="269"/>
      <c r="N812" t="s">
        <v>2863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2162</v>
      </c>
      <c r="G813" s="265">
        <v>1200000</v>
      </c>
      <c r="H813" s="269">
        <v>1</v>
      </c>
      <c r="K813" s="265">
        <v>1200000</v>
      </c>
      <c r="M813" s="269"/>
      <c r="N813" t="s">
        <v>2863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2180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2863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2181</v>
      </c>
      <c r="F815" s="269" t="s">
        <v>1803</v>
      </c>
      <c r="G815" s="265">
        <v>50000</v>
      </c>
      <c r="H815" s="269">
        <v>1</v>
      </c>
      <c r="K815" s="265">
        <v>50000</v>
      </c>
      <c r="M815" s="269"/>
      <c r="N815" t="s">
        <v>2863</v>
      </c>
    </row>
    <row r="816" spans="1:14" x14ac:dyDescent="0.3">
      <c r="A816" s="271">
        <v>815</v>
      </c>
      <c r="B816" s="264">
        <v>45841</v>
      </c>
      <c r="C816" s="292" t="s">
        <v>2725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2762</v>
      </c>
      <c r="E817" s="292" t="s">
        <v>1561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2863</v>
      </c>
    </row>
    <row r="818" spans="1:14" x14ac:dyDescent="0.3">
      <c r="A818" s="271">
        <v>817</v>
      </c>
      <c r="B818" s="264">
        <v>45841</v>
      </c>
      <c r="C818" s="292" t="s">
        <v>1809</v>
      </c>
      <c r="E818" s="292" t="s">
        <v>1496</v>
      </c>
      <c r="F818" s="269" t="s">
        <v>2679</v>
      </c>
      <c r="G818" s="265">
        <v>350000</v>
      </c>
      <c r="H818" s="269">
        <v>1</v>
      </c>
      <c r="K818" s="265">
        <v>350000</v>
      </c>
      <c r="M818" s="269"/>
      <c r="N818" t="s">
        <v>2863</v>
      </c>
    </row>
    <row r="819" spans="1:14" x14ac:dyDescent="0.3">
      <c r="A819" s="271">
        <v>818</v>
      </c>
      <c r="B819" s="264">
        <v>45841</v>
      </c>
      <c r="C819" s="292" t="s">
        <v>2261</v>
      </c>
      <c r="E819" s="292" t="s">
        <v>1203</v>
      </c>
      <c r="F819" s="269" t="s">
        <v>1752</v>
      </c>
      <c r="G819" s="265">
        <v>1200000</v>
      </c>
      <c r="H819" s="269">
        <v>1</v>
      </c>
      <c r="K819" s="265">
        <v>1200000</v>
      </c>
      <c r="M819" s="269"/>
      <c r="N819" t="s">
        <v>2863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2863</v>
      </c>
    </row>
    <row r="821" spans="1:14" x14ac:dyDescent="0.3">
      <c r="A821" s="271">
        <v>820</v>
      </c>
      <c r="B821" s="264">
        <v>45841</v>
      </c>
      <c r="C821" s="292" t="s">
        <v>2762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2261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1961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2769</v>
      </c>
      <c r="E824" s="292" t="s">
        <v>2255</v>
      </c>
      <c r="F824" s="269" t="s">
        <v>2254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2863</v>
      </c>
    </row>
    <row r="825" spans="1:14" x14ac:dyDescent="0.3">
      <c r="A825" s="271">
        <v>824</v>
      </c>
      <c r="B825" s="264">
        <v>45842</v>
      </c>
      <c r="C825" s="292" t="s">
        <v>2769</v>
      </c>
      <c r="E825" s="292" t="s">
        <v>2612</v>
      </c>
      <c r="F825" s="269" t="s">
        <v>1755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2863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2772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2731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1598</v>
      </c>
      <c r="E829" s="292" t="s">
        <v>1203</v>
      </c>
      <c r="F829" s="269" t="s">
        <v>1752</v>
      </c>
      <c r="G829" s="265">
        <v>1000000</v>
      </c>
      <c r="H829" s="269">
        <v>1</v>
      </c>
      <c r="K829" s="265">
        <v>1000000</v>
      </c>
      <c r="M829" s="269"/>
      <c r="N829" t="s">
        <v>2863</v>
      </c>
    </row>
    <row r="830" spans="1:14" x14ac:dyDescent="0.3">
      <c r="A830" s="271">
        <v>829</v>
      </c>
      <c r="B830" s="264">
        <v>45842</v>
      </c>
      <c r="C830" s="292" t="s">
        <v>1580</v>
      </c>
      <c r="E830" s="292" t="s">
        <v>1705</v>
      </c>
      <c r="F830" s="269" t="s">
        <v>1704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2863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2577</v>
      </c>
      <c r="F831" s="269" t="s">
        <v>2576</v>
      </c>
      <c r="G831" s="265">
        <v>1500000</v>
      </c>
      <c r="H831" s="269">
        <v>1</v>
      </c>
      <c r="J831" s="266" t="s">
        <v>2907</v>
      </c>
      <c r="K831" s="265">
        <v>1650000</v>
      </c>
      <c r="M831" s="269"/>
      <c r="N831" t="s">
        <v>2863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1752</v>
      </c>
      <c r="G832" s="265">
        <v>1200000</v>
      </c>
      <c r="H832" s="269">
        <v>1</v>
      </c>
      <c r="K832" s="265">
        <v>1200000</v>
      </c>
      <c r="M832" s="269"/>
      <c r="N832" t="s">
        <v>2863</v>
      </c>
    </row>
    <row r="833" spans="1:14" x14ac:dyDescent="0.3">
      <c r="A833" s="271">
        <v>832</v>
      </c>
      <c r="B833" s="264">
        <v>45842</v>
      </c>
      <c r="C833" s="292" t="s">
        <v>2740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1473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1809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1598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1722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1541</v>
      </c>
      <c r="E838" s="292" t="s">
        <v>1203</v>
      </c>
      <c r="F838" s="269" t="s">
        <v>1752</v>
      </c>
      <c r="G838" s="265">
        <v>1200000</v>
      </c>
      <c r="H838" s="269">
        <v>1</v>
      </c>
      <c r="K838" s="265">
        <v>1200000</v>
      </c>
      <c r="M838" s="269"/>
      <c r="N838" t="s">
        <v>2863</v>
      </c>
    </row>
    <row r="839" spans="1:14" x14ac:dyDescent="0.3">
      <c r="A839" s="271">
        <v>838</v>
      </c>
      <c r="B839" s="264">
        <v>45843</v>
      </c>
      <c r="C839" s="292" t="s">
        <v>1541</v>
      </c>
      <c r="E839" s="292" t="s">
        <v>1496</v>
      </c>
      <c r="F839" s="269" t="s">
        <v>2679</v>
      </c>
      <c r="G839" s="265">
        <v>350000</v>
      </c>
      <c r="H839" s="269">
        <v>1</v>
      </c>
      <c r="K839" s="265">
        <v>350000</v>
      </c>
      <c r="M839" s="269"/>
      <c r="N839" t="s">
        <v>2863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1444</v>
      </c>
      <c r="E841" s="292" t="s">
        <v>1505</v>
      </c>
      <c r="G841" s="265">
        <v>1200000</v>
      </c>
      <c r="H841" s="269">
        <v>1</v>
      </c>
      <c r="K841" s="265">
        <v>1200000</v>
      </c>
      <c r="M841" s="269"/>
      <c r="N841" t="s">
        <v>2863</v>
      </c>
    </row>
    <row r="842" spans="1:14" x14ac:dyDescent="0.3">
      <c r="A842" s="271">
        <v>841</v>
      </c>
      <c r="B842" s="264">
        <v>45845</v>
      </c>
      <c r="C842" s="292" t="s">
        <v>1444</v>
      </c>
      <c r="E842" s="292" t="s">
        <v>1506</v>
      </c>
      <c r="G842" s="265">
        <v>100000</v>
      </c>
      <c r="H842" s="269">
        <v>1</v>
      </c>
      <c r="K842" s="265">
        <v>100000</v>
      </c>
      <c r="M842" s="269"/>
      <c r="N842" t="s">
        <v>2863</v>
      </c>
    </row>
    <row r="843" spans="1:14" x14ac:dyDescent="0.3">
      <c r="A843" s="271">
        <v>842</v>
      </c>
      <c r="B843" s="264">
        <v>45845</v>
      </c>
      <c r="C843" s="292" t="s">
        <v>1479</v>
      </c>
      <c r="E843" s="292" t="s">
        <v>2418</v>
      </c>
      <c r="F843" s="269" t="s">
        <v>2748</v>
      </c>
      <c r="G843" s="265">
        <v>1100000</v>
      </c>
      <c r="H843" s="269">
        <v>1</v>
      </c>
      <c r="K843" s="265">
        <v>1100000</v>
      </c>
      <c r="M843" s="269"/>
      <c r="N843" t="s">
        <v>2863</v>
      </c>
    </row>
    <row r="844" spans="1:14" x14ac:dyDescent="0.3">
      <c r="A844" s="271">
        <v>843</v>
      </c>
      <c r="B844" s="264">
        <v>45845</v>
      </c>
      <c r="C844" s="292" t="s">
        <v>2789</v>
      </c>
      <c r="E844" s="292" t="s">
        <v>2180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2863</v>
      </c>
    </row>
    <row r="845" spans="1:14" x14ac:dyDescent="0.3">
      <c r="A845" s="271">
        <v>844</v>
      </c>
      <c r="B845" s="264">
        <v>45845</v>
      </c>
      <c r="C845" s="292" t="s">
        <v>2789</v>
      </c>
      <c r="E845" s="292" t="s">
        <v>2181</v>
      </c>
      <c r="F845" s="269" t="s">
        <v>1803</v>
      </c>
      <c r="G845" s="265">
        <v>50000</v>
      </c>
      <c r="H845" s="269">
        <v>1</v>
      </c>
      <c r="K845" s="265">
        <v>50000</v>
      </c>
      <c r="M845" s="269"/>
      <c r="N845" t="s">
        <v>2863</v>
      </c>
    </row>
    <row r="846" spans="1:14" x14ac:dyDescent="0.3">
      <c r="A846" s="271">
        <v>845</v>
      </c>
      <c r="B846" s="264">
        <v>45845</v>
      </c>
      <c r="C846" s="292" t="s">
        <v>2597</v>
      </c>
      <c r="E846" s="292" t="s">
        <v>2180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2863</v>
      </c>
    </row>
    <row r="847" spans="1:14" x14ac:dyDescent="0.3">
      <c r="A847" s="271">
        <v>846</v>
      </c>
      <c r="B847" s="264">
        <v>45845</v>
      </c>
      <c r="C847" s="292" t="s">
        <v>2597</v>
      </c>
      <c r="E847" s="292" t="s">
        <v>2181</v>
      </c>
      <c r="F847" s="269" t="s">
        <v>1803</v>
      </c>
      <c r="G847" s="265">
        <v>50000</v>
      </c>
      <c r="H847" s="269">
        <v>1</v>
      </c>
      <c r="K847" s="265">
        <v>50000</v>
      </c>
      <c r="M847" s="269"/>
      <c r="N847" t="s">
        <v>2863</v>
      </c>
    </row>
    <row r="848" spans="1:14" x14ac:dyDescent="0.3">
      <c r="A848" s="271">
        <v>847</v>
      </c>
      <c r="B848" s="264">
        <v>45845</v>
      </c>
      <c r="C848" s="292" t="s">
        <v>2783</v>
      </c>
      <c r="E848" s="292" t="s">
        <v>2180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2863</v>
      </c>
    </row>
    <row r="849" spans="1:14" x14ac:dyDescent="0.3">
      <c r="A849" s="271">
        <v>848</v>
      </c>
      <c r="B849" s="264">
        <v>45845</v>
      </c>
      <c r="C849" s="292" t="s">
        <v>2783</v>
      </c>
      <c r="E849" s="292" t="s">
        <v>2181</v>
      </c>
      <c r="F849" s="269" t="s">
        <v>1803</v>
      </c>
      <c r="G849" s="265">
        <v>50000</v>
      </c>
      <c r="H849" s="269">
        <v>1</v>
      </c>
      <c r="K849" s="265">
        <v>50000</v>
      </c>
      <c r="M849" s="269"/>
      <c r="N849" t="s">
        <v>2863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2400</v>
      </c>
      <c r="F850" s="269" t="s">
        <v>2399</v>
      </c>
      <c r="G850" s="265">
        <v>900000</v>
      </c>
      <c r="H850" s="269">
        <v>1</v>
      </c>
      <c r="K850" s="265">
        <v>900000</v>
      </c>
      <c r="M850" s="269"/>
      <c r="N850" t="s">
        <v>2863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2413</v>
      </c>
      <c r="G851" s="265">
        <v>50000</v>
      </c>
      <c r="H851" s="269">
        <v>1</v>
      </c>
      <c r="K851" s="265">
        <v>50000</v>
      </c>
      <c r="M851" s="269"/>
      <c r="N851" t="s">
        <v>2863</v>
      </c>
    </row>
    <row r="852" spans="1:14" x14ac:dyDescent="0.3">
      <c r="A852" s="271">
        <v>851</v>
      </c>
      <c r="B852" s="264">
        <v>45845</v>
      </c>
      <c r="C852" s="292" t="s">
        <v>1870</v>
      </c>
      <c r="E852" s="292" t="s">
        <v>2186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2863</v>
      </c>
    </row>
    <row r="853" spans="1:14" x14ac:dyDescent="0.3">
      <c r="A853" s="271">
        <v>852</v>
      </c>
      <c r="B853" s="264">
        <v>45845</v>
      </c>
      <c r="C853" s="292" t="s">
        <v>1444</v>
      </c>
      <c r="E853" s="292" t="s">
        <v>2187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2863</v>
      </c>
    </row>
    <row r="854" spans="1:14" x14ac:dyDescent="0.3">
      <c r="A854" s="271">
        <v>853</v>
      </c>
      <c r="B854" s="264">
        <v>45845</v>
      </c>
      <c r="C854" s="292" t="s">
        <v>1444</v>
      </c>
      <c r="E854" s="292" t="s">
        <v>2190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2863</v>
      </c>
    </row>
    <row r="855" spans="1:14" x14ac:dyDescent="0.3">
      <c r="A855" s="271">
        <v>854</v>
      </c>
      <c r="B855" s="264">
        <v>45845</v>
      </c>
      <c r="C855" s="292" t="s">
        <v>1722</v>
      </c>
      <c r="E855" s="292" t="s">
        <v>2799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2783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2789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1870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1722</v>
      </c>
      <c r="E859" s="292" t="s">
        <v>2801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1580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1399</v>
      </c>
      <c r="E861" s="292" t="s">
        <v>1743</v>
      </c>
      <c r="G861" s="265">
        <v>450000</v>
      </c>
      <c r="H861" s="269">
        <v>1</v>
      </c>
      <c r="K861" s="265">
        <v>450000</v>
      </c>
      <c r="M861" s="269"/>
      <c r="N861" t="s">
        <v>2863</v>
      </c>
    </row>
    <row r="862" spans="1:14" x14ac:dyDescent="0.3">
      <c r="A862" s="271">
        <v>861</v>
      </c>
      <c r="B862" s="264">
        <v>45846</v>
      </c>
      <c r="C862" s="292" t="s">
        <v>1399</v>
      </c>
      <c r="E862" s="292" t="s">
        <v>2187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2863</v>
      </c>
    </row>
    <row r="863" spans="1:14" x14ac:dyDescent="0.3">
      <c r="A863" s="271">
        <v>862</v>
      </c>
      <c r="B863" s="264">
        <v>45846</v>
      </c>
      <c r="C863" s="292" t="s">
        <v>1399</v>
      </c>
      <c r="E863" s="292" t="s">
        <v>2188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2863</v>
      </c>
    </row>
    <row r="864" spans="1:14" x14ac:dyDescent="0.3">
      <c r="A864" s="271">
        <v>863</v>
      </c>
      <c r="B864" s="264">
        <v>45846</v>
      </c>
      <c r="C864" s="292" t="s">
        <v>1399</v>
      </c>
      <c r="E864" s="292" t="s">
        <v>2192</v>
      </c>
      <c r="F864" s="269" t="s">
        <v>1822</v>
      </c>
      <c r="G864" s="265">
        <v>10000</v>
      </c>
      <c r="H864" s="269">
        <v>1</v>
      </c>
      <c r="K864" s="265">
        <v>10000</v>
      </c>
      <c r="M864" s="269"/>
      <c r="N864" t="s">
        <v>2863</v>
      </c>
    </row>
    <row r="865" spans="1:14" x14ac:dyDescent="0.3">
      <c r="A865" s="271">
        <v>864</v>
      </c>
      <c r="B865" s="264">
        <v>45846</v>
      </c>
      <c r="C865" s="292" t="s">
        <v>1399</v>
      </c>
      <c r="E865" s="292" t="s">
        <v>2191</v>
      </c>
      <c r="F865" s="269" t="s">
        <v>1795</v>
      </c>
      <c r="G865" s="265">
        <v>30000</v>
      </c>
      <c r="H865" s="269">
        <v>1</v>
      </c>
      <c r="K865" s="265">
        <v>30000</v>
      </c>
      <c r="M865" s="269"/>
      <c r="N865" t="s">
        <v>2863</v>
      </c>
    </row>
    <row r="866" spans="1:14" x14ac:dyDescent="0.3">
      <c r="A866" s="271">
        <v>865</v>
      </c>
      <c r="B866" s="264">
        <v>45846</v>
      </c>
      <c r="C866" s="292" t="s">
        <v>2789</v>
      </c>
      <c r="E866" s="292" t="s">
        <v>2805</v>
      </c>
      <c r="F866" s="269" t="s">
        <v>2804</v>
      </c>
      <c r="G866" s="265">
        <v>400000</v>
      </c>
      <c r="H866" s="269">
        <v>1</v>
      </c>
      <c r="K866" s="265">
        <v>400000</v>
      </c>
      <c r="M866" s="269"/>
      <c r="N866" t="s">
        <v>2863</v>
      </c>
    </row>
    <row r="867" spans="1:14" x14ac:dyDescent="0.3">
      <c r="A867" s="271">
        <v>866</v>
      </c>
      <c r="B867" s="264">
        <v>45846</v>
      </c>
      <c r="C867" s="292" t="s">
        <v>2789</v>
      </c>
      <c r="E867" s="292" t="s">
        <v>2183</v>
      </c>
      <c r="F867" s="269" t="s">
        <v>1720</v>
      </c>
      <c r="G867" s="265">
        <v>70000</v>
      </c>
      <c r="H867" s="269">
        <v>1</v>
      </c>
      <c r="K867" s="265">
        <v>70000</v>
      </c>
      <c r="M867" s="269"/>
      <c r="N867" t="s">
        <v>2863</v>
      </c>
    </row>
    <row r="868" spans="1:14" x14ac:dyDescent="0.3">
      <c r="A868" s="271">
        <v>867</v>
      </c>
      <c r="B868" s="264">
        <v>45846</v>
      </c>
      <c r="C868" s="292" t="s">
        <v>1541</v>
      </c>
      <c r="E868" s="292" t="s">
        <v>1203</v>
      </c>
      <c r="F868" s="269" t="s">
        <v>1752</v>
      </c>
      <c r="G868" s="265">
        <v>1200000</v>
      </c>
      <c r="H868" s="269">
        <v>1</v>
      </c>
      <c r="K868" s="265">
        <v>1200000</v>
      </c>
      <c r="M868" s="269"/>
      <c r="N868" t="s">
        <v>2863</v>
      </c>
    </row>
    <row r="869" spans="1:14" x14ac:dyDescent="0.3">
      <c r="A869" s="271">
        <v>868</v>
      </c>
      <c r="B869" s="264">
        <v>45846</v>
      </c>
      <c r="C869" s="292" t="s">
        <v>1541</v>
      </c>
      <c r="E869" s="292" t="s">
        <v>1496</v>
      </c>
      <c r="F869" s="269" t="s">
        <v>2679</v>
      </c>
      <c r="G869" s="265">
        <v>350000</v>
      </c>
      <c r="H869" s="269">
        <v>1</v>
      </c>
      <c r="K869" s="265">
        <v>350000</v>
      </c>
      <c r="M869" s="269"/>
      <c r="N869" t="s">
        <v>2863</v>
      </c>
    </row>
    <row r="870" spans="1:14" x14ac:dyDescent="0.3">
      <c r="A870" s="271">
        <v>869</v>
      </c>
      <c r="B870" s="264">
        <v>45846</v>
      </c>
      <c r="C870" s="292" t="s">
        <v>1809</v>
      </c>
      <c r="E870" s="292" t="s">
        <v>1764</v>
      </c>
      <c r="F870" s="269" t="s">
        <v>1766</v>
      </c>
      <c r="G870" s="265">
        <v>65000</v>
      </c>
      <c r="H870" s="269">
        <v>1</v>
      </c>
      <c r="K870" s="265">
        <v>65000</v>
      </c>
      <c r="M870" s="269"/>
      <c r="N870" t="s">
        <v>2863</v>
      </c>
    </row>
    <row r="871" spans="1:14" x14ac:dyDescent="0.3">
      <c r="A871" s="271">
        <v>870</v>
      </c>
      <c r="B871" s="264">
        <v>45846</v>
      </c>
      <c r="C871" s="292" t="s">
        <v>1809</v>
      </c>
      <c r="E871" s="292" t="s">
        <v>1764</v>
      </c>
      <c r="F871" s="269" t="s">
        <v>1763</v>
      </c>
      <c r="G871" s="265">
        <v>25000</v>
      </c>
      <c r="H871" s="269">
        <v>1</v>
      </c>
      <c r="K871" s="265">
        <v>25000</v>
      </c>
      <c r="M871" s="269"/>
      <c r="N871" t="s">
        <v>2863</v>
      </c>
    </row>
    <row r="872" spans="1:14" x14ac:dyDescent="0.3">
      <c r="A872" s="271">
        <v>871</v>
      </c>
      <c r="B872" s="264">
        <v>45846</v>
      </c>
      <c r="C872" s="292" t="s">
        <v>2809</v>
      </c>
      <c r="E872" s="292" t="s">
        <v>1736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2863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2814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2863</v>
      </c>
    </row>
    <row r="874" spans="1:14" x14ac:dyDescent="0.3">
      <c r="A874" s="271">
        <v>873</v>
      </c>
      <c r="B874" s="264">
        <v>45846</v>
      </c>
      <c r="C874" s="292" t="s">
        <v>1586</v>
      </c>
      <c r="E874" s="292" t="s">
        <v>1203</v>
      </c>
      <c r="F874" s="269" t="s">
        <v>1752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2863</v>
      </c>
    </row>
    <row r="875" spans="1:14" x14ac:dyDescent="0.3">
      <c r="A875" s="271">
        <v>874</v>
      </c>
      <c r="B875" s="264">
        <v>45846</v>
      </c>
      <c r="C875" s="292" t="s">
        <v>1577</v>
      </c>
      <c r="E875" s="292" t="s">
        <v>2186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2863</v>
      </c>
    </row>
    <row r="876" spans="1:14" x14ac:dyDescent="0.3">
      <c r="A876" s="271">
        <v>875</v>
      </c>
      <c r="B876" s="264">
        <v>45846</v>
      </c>
      <c r="C876" s="292" t="s">
        <v>1577</v>
      </c>
      <c r="E876" s="292" t="s">
        <v>2190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2863</v>
      </c>
    </row>
    <row r="877" spans="1:14" x14ac:dyDescent="0.3">
      <c r="A877" s="271">
        <v>876</v>
      </c>
      <c r="B877" s="264">
        <v>45846</v>
      </c>
      <c r="C877" s="292" t="s">
        <v>1577</v>
      </c>
      <c r="E877" s="292" t="s">
        <v>2191</v>
      </c>
      <c r="F877" s="269" t="s">
        <v>1795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2863</v>
      </c>
    </row>
    <row r="878" spans="1:14" x14ac:dyDescent="0.3">
      <c r="A878" s="271">
        <v>877</v>
      </c>
      <c r="B878" s="264">
        <v>45846</v>
      </c>
      <c r="C878" s="292" t="s">
        <v>1577</v>
      </c>
      <c r="E878" s="292" t="s">
        <v>1519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2863</v>
      </c>
    </row>
    <row r="879" spans="1:14" x14ac:dyDescent="0.3">
      <c r="A879" s="271">
        <v>878</v>
      </c>
      <c r="B879" s="264">
        <v>45846</v>
      </c>
      <c r="C879" s="292" t="s">
        <v>1577</v>
      </c>
      <c r="E879" s="292" t="s">
        <v>2187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2863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1752</v>
      </c>
      <c r="G880" s="265">
        <v>1200000</v>
      </c>
      <c r="H880" s="269">
        <v>1</v>
      </c>
      <c r="K880" s="265">
        <v>1200000</v>
      </c>
      <c r="M880" s="269"/>
      <c r="N880" t="s">
        <v>2863</v>
      </c>
    </row>
    <row r="881" spans="1:14" x14ac:dyDescent="0.3">
      <c r="A881" s="271">
        <v>880</v>
      </c>
      <c r="B881" s="264">
        <v>45846</v>
      </c>
      <c r="C881" s="292" t="s">
        <v>2597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2789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1399</v>
      </c>
      <c r="E883" s="292" t="s">
        <v>1743</v>
      </c>
      <c r="G883" s="265">
        <v>650000</v>
      </c>
      <c r="H883" s="269">
        <v>1</v>
      </c>
      <c r="K883" s="265">
        <v>650000</v>
      </c>
      <c r="M883" s="269"/>
      <c r="N883" t="s">
        <v>2863</v>
      </c>
    </row>
    <row r="884" spans="1:14" x14ac:dyDescent="0.3">
      <c r="A884" s="271">
        <v>883</v>
      </c>
      <c r="B884" s="264">
        <v>45847</v>
      </c>
      <c r="C884" s="292" t="s">
        <v>2410</v>
      </c>
      <c r="E884" s="292" t="s">
        <v>2027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2863</v>
      </c>
    </row>
    <row r="885" spans="1:14" x14ac:dyDescent="0.3">
      <c r="A885" s="271">
        <v>884</v>
      </c>
      <c r="B885" s="264">
        <v>45847</v>
      </c>
      <c r="C885" s="292" t="s">
        <v>2258</v>
      </c>
      <c r="E885" s="292" t="s">
        <v>2183</v>
      </c>
      <c r="F885" s="269" t="s">
        <v>1720</v>
      </c>
      <c r="G885" s="265">
        <v>70000</v>
      </c>
      <c r="H885" s="269">
        <v>1</v>
      </c>
      <c r="K885" s="265">
        <v>70000</v>
      </c>
      <c r="M885" s="269"/>
      <c r="N885" t="s">
        <v>2863</v>
      </c>
    </row>
    <row r="886" spans="1:14" x14ac:dyDescent="0.3">
      <c r="A886" s="271">
        <v>885</v>
      </c>
      <c r="B886" s="264">
        <v>45847</v>
      </c>
      <c r="C886" s="292" t="s">
        <v>1444</v>
      </c>
      <c r="E886" s="292" t="s">
        <v>2180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2863</v>
      </c>
    </row>
    <row r="887" spans="1:14" x14ac:dyDescent="0.3">
      <c r="A887" s="271">
        <v>886</v>
      </c>
      <c r="B887" s="264">
        <v>45847</v>
      </c>
      <c r="C887" s="292" t="s">
        <v>1444</v>
      </c>
      <c r="E887" s="292" t="s">
        <v>2181</v>
      </c>
      <c r="F887" s="269" t="s">
        <v>1803</v>
      </c>
      <c r="G887" s="265">
        <v>50000</v>
      </c>
      <c r="H887" s="269">
        <v>1</v>
      </c>
      <c r="K887" s="265">
        <v>50000</v>
      </c>
      <c r="M887" s="269"/>
      <c r="N887" t="s">
        <v>2863</v>
      </c>
    </row>
    <row r="888" spans="1:14" x14ac:dyDescent="0.3">
      <c r="A888" s="271">
        <v>887</v>
      </c>
      <c r="B888" s="264">
        <v>45847</v>
      </c>
      <c r="C888" s="292" t="s">
        <v>1722</v>
      </c>
      <c r="E888" s="292" t="s">
        <v>2330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2863</v>
      </c>
    </row>
    <row r="889" spans="1:14" x14ac:dyDescent="0.3">
      <c r="A889" s="271">
        <v>888</v>
      </c>
      <c r="B889" s="264">
        <v>45847</v>
      </c>
      <c r="C889" s="292" t="s">
        <v>1747</v>
      </c>
      <c r="E889" s="292" t="s">
        <v>2299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2863</v>
      </c>
    </row>
    <row r="890" spans="1:14" x14ac:dyDescent="0.3">
      <c r="A890" s="271">
        <v>889</v>
      </c>
      <c r="B890" s="264">
        <v>45847</v>
      </c>
      <c r="C890" s="292" t="s">
        <v>1747</v>
      </c>
      <c r="E890" s="292" t="s">
        <v>1519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2863</v>
      </c>
    </row>
    <row r="891" spans="1:14" x14ac:dyDescent="0.3">
      <c r="A891" s="271">
        <v>890</v>
      </c>
      <c r="B891" s="264">
        <v>45847</v>
      </c>
      <c r="C891" s="292" t="s">
        <v>2258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2809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1586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2410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2725</v>
      </c>
      <c r="E895" s="292" t="s">
        <v>2187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2863</v>
      </c>
    </row>
    <row r="896" spans="1:14" x14ac:dyDescent="0.3">
      <c r="A896" s="271">
        <v>895</v>
      </c>
      <c r="B896" s="264">
        <v>45848</v>
      </c>
      <c r="C896" s="292" t="s">
        <v>2725</v>
      </c>
      <c r="E896" s="292" t="s">
        <v>2190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2863</v>
      </c>
    </row>
    <row r="897" spans="1:14" x14ac:dyDescent="0.3">
      <c r="A897" s="271">
        <v>896</v>
      </c>
      <c r="B897" s="264">
        <v>45848</v>
      </c>
      <c r="C897" s="292" t="s">
        <v>2725</v>
      </c>
      <c r="E897" s="292" t="s">
        <v>1902</v>
      </c>
      <c r="F897" s="269" t="s">
        <v>1901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2863</v>
      </c>
    </row>
    <row r="898" spans="1:14" x14ac:dyDescent="0.3">
      <c r="A898" s="271">
        <v>897</v>
      </c>
      <c r="B898" s="264">
        <v>45848</v>
      </c>
      <c r="C898" s="292" t="s">
        <v>2319</v>
      </c>
      <c r="E898" s="292" t="s">
        <v>2836</v>
      </c>
      <c r="F898" s="269" t="s">
        <v>1992</v>
      </c>
      <c r="G898" s="265">
        <v>150000</v>
      </c>
      <c r="H898" s="269">
        <v>1</v>
      </c>
      <c r="K898" s="265">
        <v>150000</v>
      </c>
      <c r="M898" s="269"/>
      <c r="N898" t="s">
        <v>2863</v>
      </c>
    </row>
    <row r="899" spans="1:14" x14ac:dyDescent="0.3">
      <c r="A899" s="271">
        <v>898</v>
      </c>
      <c r="B899" s="264">
        <v>45848</v>
      </c>
      <c r="C899" s="292" t="s">
        <v>1399</v>
      </c>
      <c r="E899" s="292" t="s">
        <v>2104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2863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2863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2863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2840</v>
      </c>
      <c r="F902" s="269" t="s">
        <v>2750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2863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2863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1577</v>
      </c>
      <c r="E905" s="292" t="s">
        <v>2847</v>
      </c>
      <c r="F905" s="269" t="s">
        <v>2846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2863</v>
      </c>
    </row>
    <row r="906" spans="1:14" x14ac:dyDescent="0.3">
      <c r="A906" s="271">
        <v>905</v>
      </c>
      <c r="B906" s="264">
        <v>45849</v>
      </c>
      <c r="C906" s="292" t="s">
        <v>1577</v>
      </c>
      <c r="E906" s="292" t="s">
        <v>2849</v>
      </c>
      <c r="F906" s="269" t="s">
        <v>2845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2863</v>
      </c>
    </row>
    <row r="907" spans="1:14" x14ac:dyDescent="0.3">
      <c r="A907" s="271">
        <v>906</v>
      </c>
      <c r="B907" s="264">
        <v>45849</v>
      </c>
      <c r="C907" s="292" t="s">
        <v>1580</v>
      </c>
      <c r="E907" s="292" t="s">
        <v>2180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2863</v>
      </c>
    </row>
    <row r="908" spans="1:14" x14ac:dyDescent="0.3">
      <c r="A908" s="271">
        <v>907</v>
      </c>
      <c r="B908" s="264">
        <v>45849</v>
      </c>
      <c r="C908" s="292" t="s">
        <v>1580</v>
      </c>
      <c r="E908" s="292" t="s">
        <v>2181</v>
      </c>
      <c r="F908" s="269" t="s">
        <v>1803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2863</v>
      </c>
    </row>
    <row r="909" spans="1:14" x14ac:dyDescent="0.3">
      <c r="A909" s="271">
        <v>908</v>
      </c>
      <c r="B909" s="264">
        <v>45849</v>
      </c>
      <c r="C909" s="292" t="s">
        <v>1399</v>
      </c>
      <c r="E909" s="292" t="s">
        <v>1743</v>
      </c>
      <c r="G909" s="265">
        <v>1100000</v>
      </c>
      <c r="H909" s="269">
        <v>1</v>
      </c>
      <c r="K909" s="265">
        <v>1100000</v>
      </c>
      <c r="M909" s="269"/>
      <c r="N909" t="s">
        <v>2863</v>
      </c>
    </row>
    <row r="910" spans="1:14" x14ac:dyDescent="0.3">
      <c r="A910" s="271">
        <v>909</v>
      </c>
      <c r="B910" s="264">
        <v>45849</v>
      </c>
      <c r="C910" s="292" t="s">
        <v>1458</v>
      </c>
      <c r="E910" s="292" t="s">
        <v>2749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2863</v>
      </c>
    </row>
    <row r="911" spans="1:14" x14ac:dyDescent="0.3">
      <c r="A911" s="271">
        <v>910</v>
      </c>
      <c r="B911" s="264">
        <v>45849</v>
      </c>
      <c r="C911" s="292" t="s">
        <v>1449</v>
      </c>
      <c r="E911" s="292" t="s">
        <v>1535</v>
      </c>
      <c r="G911" s="265">
        <v>450000</v>
      </c>
      <c r="H911" s="269">
        <v>1</v>
      </c>
      <c r="K911" s="265">
        <v>450000</v>
      </c>
      <c r="M911" s="269"/>
      <c r="N911" t="s">
        <v>2863</v>
      </c>
    </row>
    <row r="912" spans="1:14" x14ac:dyDescent="0.3">
      <c r="A912" s="271">
        <v>911</v>
      </c>
      <c r="B912" s="264">
        <v>45849</v>
      </c>
      <c r="C912" s="292" t="s">
        <v>1586</v>
      </c>
      <c r="E912" s="292" t="s">
        <v>1203</v>
      </c>
      <c r="F912" s="269" t="s">
        <v>1752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2863</v>
      </c>
    </row>
    <row r="913" spans="1:14" x14ac:dyDescent="0.3">
      <c r="A913" s="271">
        <v>912</v>
      </c>
      <c r="B913" s="264">
        <v>45849</v>
      </c>
      <c r="C913" s="292" t="s">
        <v>1586</v>
      </c>
      <c r="E913" s="292" t="s">
        <v>1496</v>
      </c>
      <c r="F913" s="269" t="s">
        <v>2679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2863</v>
      </c>
    </row>
    <row r="914" spans="1:14" x14ac:dyDescent="0.3">
      <c r="A914" s="271">
        <v>913</v>
      </c>
      <c r="B914" s="264">
        <v>45849</v>
      </c>
      <c r="C914" s="292" t="s">
        <v>1586</v>
      </c>
      <c r="E914" s="292" t="s">
        <v>1737</v>
      </c>
      <c r="F914" s="269" t="s">
        <v>2834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2863</v>
      </c>
    </row>
    <row r="915" spans="1:14" x14ac:dyDescent="0.3">
      <c r="A915" s="271">
        <v>914</v>
      </c>
      <c r="B915" s="264">
        <v>45849</v>
      </c>
      <c r="C915" s="292" t="s">
        <v>1586</v>
      </c>
      <c r="E915" s="292" t="s">
        <v>2833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2863</v>
      </c>
    </row>
    <row r="916" spans="1:14" x14ac:dyDescent="0.3">
      <c r="A916" s="271">
        <v>915</v>
      </c>
      <c r="B916" s="264">
        <v>45849</v>
      </c>
      <c r="C916" s="292" t="s">
        <v>2860</v>
      </c>
      <c r="E916" s="292" t="s">
        <v>2255</v>
      </c>
      <c r="F916" s="269" t="s">
        <v>2254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2863</v>
      </c>
    </row>
    <row r="917" spans="1:14" x14ac:dyDescent="0.3">
      <c r="A917" s="271">
        <v>916</v>
      </c>
      <c r="B917" s="264">
        <v>45849</v>
      </c>
      <c r="C917" s="292" t="s">
        <v>2860</v>
      </c>
      <c r="E917" s="292" t="s">
        <v>2612</v>
      </c>
      <c r="F917" s="269" t="s">
        <v>1755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2863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1670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2858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1449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1598</v>
      </c>
      <c r="E921" s="292" t="s">
        <v>2861</v>
      </c>
      <c r="G921" s="265">
        <v>170000</v>
      </c>
      <c r="H921" s="269">
        <v>1</v>
      </c>
      <c r="K921" s="265">
        <v>170000</v>
      </c>
      <c r="M921" s="269"/>
      <c r="N921" t="s">
        <v>2863</v>
      </c>
    </row>
    <row r="922" spans="1:14" x14ac:dyDescent="0.3">
      <c r="A922" s="271">
        <v>921</v>
      </c>
      <c r="B922" s="264">
        <v>45850</v>
      </c>
      <c r="C922" s="292" t="s">
        <v>2319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1598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2725</v>
      </c>
      <c r="E924" s="292" t="s">
        <v>2186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2863</v>
      </c>
    </row>
    <row r="925" spans="1:14" x14ac:dyDescent="0.3">
      <c r="A925" s="271">
        <v>924</v>
      </c>
      <c r="B925" s="264">
        <v>45850</v>
      </c>
      <c r="C925" s="292" t="s">
        <v>2865</v>
      </c>
      <c r="E925" s="292" t="s">
        <v>1670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1586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2908</v>
      </c>
      <c r="E927" s="292" t="s">
        <v>2654</v>
      </c>
      <c r="G927" s="265">
        <v>1750000</v>
      </c>
      <c r="H927" s="269">
        <v>1</v>
      </c>
      <c r="J927" s="266" t="s">
        <v>2909</v>
      </c>
      <c r="K927" s="265">
        <v>1925000</v>
      </c>
      <c r="M927" s="269"/>
      <c r="N927" t="s">
        <v>2863</v>
      </c>
    </row>
    <row r="928" spans="1:14" x14ac:dyDescent="0.3">
      <c r="A928" s="271">
        <v>927</v>
      </c>
      <c r="B928" s="264">
        <v>45852</v>
      </c>
      <c r="C928" s="292" t="s">
        <v>2873</v>
      </c>
      <c r="E928" s="292" t="s">
        <v>2384</v>
      </c>
      <c r="F928" s="269" t="s">
        <v>2876</v>
      </c>
      <c r="G928" s="265">
        <v>1100000</v>
      </c>
      <c r="H928" s="269">
        <v>1</v>
      </c>
      <c r="K928" s="265">
        <v>1100000</v>
      </c>
      <c r="M928" s="269"/>
      <c r="N928" t="s">
        <v>2863</v>
      </c>
    </row>
    <row r="929" spans="1:14" x14ac:dyDescent="0.3">
      <c r="A929" s="271">
        <v>928</v>
      </c>
      <c r="B929" s="264">
        <v>45852</v>
      </c>
      <c r="C929" s="292" t="s">
        <v>1399</v>
      </c>
      <c r="E929" s="292" t="s">
        <v>1743</v>
      </c>
      <c r="G929" s="265">
        <v>650000</v>
      </c>
      <c r="H929" s="269">
        <v>1</v>
      </c>
      <c r="K929" s="265">
        <v>650000</v>
      </c>
      <c r="M929" s="269"/>
      <c r="N929" t="s">
        <v>2863</v>
      </c>
    </row>
    <row r="930" spans="1:14" x14ac:dyDescent="0.3">
      <c r="A930" s="271">
        <v>929</v>
      </c>
      <c r="B930" s="264">
        <v>45852</v>
      </c>
      <c r="C930" s="292" t="s">
        <v>2410</v>
      </c>
      <c r="E930" s="292" t="s">
        <v>2027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2911</v>
      </c>
      <c r="N930" t="s">
        <v>2863</v>
      </c>
    </row>
    <row r="931" spans="1:14" x14ac:dyDescent="0.3">
      <c r="A931" s="271">
        <v>930</v>
      </c>
      <c r="B931" s="264">
        <v>45852</v>
      </c>
      <c r="C931" s="292" t="s">
        <v>2319</v>
      </c>
      <c r="E931" s="292" t="s">
        <v>2836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2863</v>
      </c>
    </row>
    <row r="932" spans="1:14" x14ac:dyDescent="0.3">
      <c r="A932" s="271">
        <v>931</v>
      </c>
      <c r="B932" s="264">
        <v>45852</v>
      </c>
      <c r="C932" s="292" t="s">
        <v>1598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2863</v>
      </c>
    </row>
    <row r="933" spans="1:14" x14ac:dyDescent="0.3">
      <c r="A933" s="271">
        <v>932</v>
      </c>
      <c r="B933" s="264">
        <v>45852</v>
      </c>
      <c r="C933" s="292" t="s">
        <v>1444</v>
      </c>
      <c r="E933" s="292" t="s">
        <v>2180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2863</v>
      </c>
    </row>
    <row r="934" spans="1:14" x14ac:dyDescent="0.3">
      <c r="A934" s="271">
        <v>933</v>
      </c>
      <c r="B934" s="264">
        <v>45852</v>
      </c>
      <c r="C934" s="292" t="s">
        <v>1444</v>
      </c>
      <c r="E934" s="292" t="s">
        <v>2181</v>
      </c>
      <c r="F934" s="269" t="s">
        <v>1803</v>
      </c>
      <c r="G934" s="265">
        <v>50000</v>
      </c>
      <c r="H934" s="269">
        <v>1</v>
      </c>
      <c r="K934" s="265">
        <v>50000</v>
      </c>
      <c r="M934" s="269"/>
      <c r="N934" t="s">
        <v>2863</v>
      </c>
    </row>
    <row r="935" spans="1:14" x14ac:dyDescent="0.3">
      <c r="A935" s="271">
        <v>934</v>
      </c>
      <c r="B935" s="264">
        <v>45852</v>
      </c>
      <c r="C935" s="292" t="s">
        <v>1598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2319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2908</v>
      </c>
      <c r="E937" s="292" t="s">
        <v>1670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2410</v>
      </c>
      <c r="E938" s="292" t="s">
        <v>2180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2863</v>
      </c>
    </row>
    <row r="939" spans="1:14" x14ac:dyDescent="0.3">
      <c r="A939" s="271">
        <v>938</v>
      </c>
      <c r="B939" s="264">
        <v>45853</v>
      </c>
      <c r="C939" s="292" t="s">
        <v>2410</v>
      </c>
      <c r="E939" s="292" t="s">
        <v>2181</v>
      </c>
      <c r="F939" s="269" t="s">
        <v>1803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2863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2863</v>
      </c>
    </row>
    <row r="941" spans="1:14" x14ac:dyDescent="0.3">
      <c r="A941" s="271">
        <v>940</v>
      </c>
      <c r="B941" s="264">
        <v>45853</v>
      </c>
      <c r="C941" s="292" t="s">
        <v>2896</v>
      </c>
      <c r="E941" s="292" t="s">
        <v>2180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2863</v>
      </c>
    </row>
    <row r="942" spans="1:14" x14ac:dyDescent="0.3">
      <c r="A942" s="271">
        <v>941</v>
      </c>
      <c r="B942" s="264">
        <v>45853</v>
      </c>
      <c r="C942" s="292" t="s">
        <v>2896</v>
      </c>
      <c r="E942" s="292" t="s">
        <v>2181</v>
      </c>
      <c r="F942" s="269" t="s">
        <v>1803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2863</v>
      </c>
    </row>
    <row r="943" spans="1:14" x14ac:dyDescent="0.3">
      <c r="A943" s="271">
        <v>942</v>
      </c>
      <c r="B943" s="264">
        <v>45853</v>
      </c>
      <c r="C943" s="292" t="s">
        <v>2896</v>
      </c>
      <c r="E943" s="292" t="s">
        <v>4043</v>
      </c>
      <c r="F943" s="269" t="s">
        <v>2217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2863</v>
      </c>
    </row>
    <row r="944" spans="1:14" x14ac:dyDescent="0.3">
      <c r="A944" s="271">
        <v>943</v>
      </c>
      <c r="B944" s="264">
        <v>45853</v>
      </c>
      <c r="C944" s="292" t="s">
        <v>2319</v>
      </c>
      <c r="E944" s="292" t="s">
        <v>2178</v>
      </c>
      <c r="F944" s="269" t="s">
        <v>1464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2863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2577</v>
      </c>
      <c r="F945" s="269" t="s">
        <v>2576</v>
      </c>
      <c r="G945" s="265">
        <v>1500000</v>
      </c>
      <c r="H945" s="269">
        <v>1</v>
      </c>
      <c r="J945" s="266" t="s">
        <v>2907</v>
      </c>
      <c r="K945" s="265">
        <v>1650000</v>
      </c>
      <c r="M945" s="269"/>
      <c r="N945" t="s">
        <v>2863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2863</v>
      </c>
    </row>
    <row r="947" spans="1:14" x14ac:dyDescent="0.3">
      <c r="A947" s="271">
        <v>946</v>
      </c>
      <c r="B947" s="264">
        <v>45853</v>
      </c>
      <c r="C947" s="292" t="s">
        <v>1456</v>
      </c>
      <c r="E947" s="292" t="s">
        <v>1717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2863</v>
      </c>
    </row>
    <row r="948" spans="1:14" x14ac:dyDescent="0.3">
      <c r="A948" s="271">
        <v>947</v>
      </c>
      <c r="B948" s="264">
        <v>45853</v>
      </c>
      <c r="C948" s="292" t="s">
        <v>2890</v>
      </c>
      <c r="E948" s="292" t="s">
        <v>2196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2863</v>
      </c>
    </row>
    <row r="949" spans="1:14" x14ac:dyDescent="0.3">
      <c r="A949" s="271">
        <v>948</v>
      </c>
      <c r="B949" s="264">
        <v>45853</v>
      </c>
      <c r="C949" s="292" t="s">
        <v>2890</v>
      </c>
      <c r="E949" s="292" t="s">
        <v>2904</v>
      </c>
      <c r="G949" s="265">
        <v>50000</v>
      </c>
      <c r="H949" s="269">
        <v>1</v>
      </c>
      <c r="K949" s="265">
        <v>50000</v>
      </c>
      <c r="M949" s="269"/>
      <c r="N949" t="s">
        <v>2863</v>
      </c>
    </row>
    <row r="950" spans="1:14" x14ac:dyDescent="0.3">
      <c r="A950" s="271">
        <v>949</v>
      </c>
      <c r="B950" s="264">
        <v>45853</v>
      </c>
      <c r="C950" s="292" t="s">
        <v>1722</v>
      </c>
      <c r="E950" s="292" t="s">
        <v>2713</v>
      </c>
      <c r="F950" s="269" t="s">
        <v>2712</v>
      </c>
      <c r="G950" s="265">
        <v>1550000</v>
      </c>
      <c r="H950" s="269">
        <v>1</v>
      </c>
      <c r="K950" s="265">
        <v>1550000</v>
      </c>
      <c r="M950" s="269"/>
      <c r="N950" t="s">
        <v>2863</v>
      </c>
    </row>
    <row r="951" spans="1:14" x14ac:dyDescent="0.3">
      <c r="A951" s="271">
        <v>950</v>
      </c>
      <c r="B951" s="264">
        <v>45853</v>
      </c>
      <c r="C951" s="292" t="s">
        <v>2896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2319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2410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2292</v>
      </c>
      <c r="E954" s="292" t="s">
        <v>2187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2863</v>
      </c>
    </row>
    <row r="955" spans="1:14" x14ac:dyDescent="0.3">
      <c r="A955" s="271">
        <v>954</v>
      </c>
      <c r="B955" s="264">
        <v>45854</v>
      </c>
      <c r="C955" s="292" t="s">
        <v>2292</v>
      </c>
      <c r="E955" s="292" t="s">
        <v>2190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2863</v>
      </c>
    </row>
    <row r="956" spans="1:14" x14ac:dyDescent="0.3">
      <c r="A956" s="271">
        <v>955</v>
      </c>
      <c r="B956" s="264">
        <v>45854</v>
      </c>
      <c r="C956" s="292" t="s">
        <v>1805</v>
      </c>
      <c r="E956" s="292" t="s">
        <v>2913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2863</v>
      </c>
    </row>
    <row r="957" spans="1:14" x14ac:dyDescent="0.3">
      <c r="A957" s="271">
        <v>956</v>
      </c>
      <c r="B957" s="264">
        <v>45854</v>
      </c>
      <c r="C957" s="292" t="s">
        <v>1671</v>
      </c>
      <c r="E957" s="292" t="s">
        <v>2180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2863</v>
      </c>
    </row>
    <row r="958" spans="1:14" x14ac:dyDescent="0.3">
      <c r="A958" s="271">
        <v>957</v>
      </c>
      <c r="B958" s="264">
        <v>45854</v>
      </c>
      <c r="C958" s="292" t="s">
        <v>1671</v>
      </c>
      <c r="E958" s="292" t="s">
        <v>2181</v>
      </c>
      <c r="F958" s="269" t="s">
        <v>1803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2863</v>
      </c>
    </row>
    <row r="959" spans="1:14" x14ac:dyDescent="0.3">
      <c r="A959" s="271">
        <v>958</v>
      </c>
      <c r="B959" s="264">
        <v>45854</v>
      </c>
      <c r="C959" s="292" t="s">
        <v>2916</v>
      </c>
      <c r="E959" s="292" t="s">
        <v>2180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2863</v>
      </c>
    </row>
    <row r="960" spans="1:14" x14ac:dyDescent="0.3">
      <c r="A960" s="271">
        <v>959</v>
      </c>
      <c r="B960" s="264">
        <v>45854</v>
      </c>
      <c r="C960" s="292" t="s">
        <v>2292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2916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1467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2890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2873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2101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2919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2863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2920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2863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2924</v>
      </c>
      <c r="G969" s="265">
        <v>35000</v>
      </c>
      <c r="H969" s="269">
        <v>1</v>
      </c>
      <c r="K969" s="265">
        <v>35000</v>
      </c>
      <c r="M969" s="269"/>
      <c r="N969" t="s">
        <v>2863</v>
      </c>
    </row>
    <row r="970" spans="1:14" x14ac:dyDescent="0.3">
      <c r="A970" s="271">
        <v>969</v>
      </c>
      <c r="B970" s="264">
        <v>45855</v>
      </c>
      <c r="C970" s="292" t="s">
        <v>1467</v>
      </c>
      <c r="E970" s="292" t="s">
        <v>2926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2863</v>
      </c>
    </row>
    <row r="971" spans="1:14" x14ac:dyDescent="0.3">
      <c r="A971" s="271">
        <v>970</v>
      </c>
      <c r="B971" s="264">
        <v>45855</v>
      </c>
      <c r="C971" s="292" t="s">
        <v>2623</v>
      </c>
      <c r="E971" s="292" t="s">
        <v>2290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2863</v>
      </c>
    </row>
    <row r="972" spans="1:14" x14ac:dyDescent="0.3">
      <c r="A972" s="271">
        <v>971</v>
      </c>
      <c r="B972" s="264">
        <v>45855</v>
      </c>
      <c r="C972" s="292" t="s">
        <v>1399</v>
      </c>
      <c r="E972" s="292" t="s">
        <v>2180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2863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2216</v>
      </c>
      <c r="F973" s="269" t="s">
        <v>1760</v>
      </c>
      <c r="G973" s="265">
        <v>510000</v>
      </c>
      <c r="H973" s="269">
        <v>1</v>
      </c>
      <c r="J973" s="266" t="s">
        <v>2985</v>
      </c>
      <c r="K973" s="265">
        <v>561000</v>
      </c>
      <c r="M973" s="269"/>
      <c r="N973" t="s">
        <v>2863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2986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2863</v>
      </c>
    </row>
    <row r="975" spans="1:14" x14ac:dyDescent="0.3">
      <c r="A975" s="271">
        <v>974</v>
      </c>
      <c r="B975" s="264">
        <v>45856</v>
      </c>
      <c r="C975" s="292" t="s">
        <v>2935</v>
      </c>
      <c r="E975" s="292" t="s">
        <v>2180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2863</v>
      </c>
    </row>
    <row r="976" spans="1:14" x14ac:dyDescent="0.3">
      <c r="A976" s="271">
        <v>975</v>
      </c>
      <c r="B976" s="264">
        <v>45856</v>
      </c>
      <c r="C976" s="292" t="s">
        <v>2935</v>
      </c>
      <c r="E976" s="292" t="s">
        <v>2938</v>
      </c>
      <c r="G976" s="265">
        <v>100000</v>
      </c>
      <c r="H976" s="269">
        <v>1</v>
      </c>
      <c r="K976" s="265">
        <v>100000</v>
      </c>
      <c r="M976" s="269"/>
      <c r="N976" t="s">
        <v>2863</v>
      </c>
    </row>
    <row r="977" spans="1:14" x14ac:dyDescent="0.3">
      <c r="A977" s="271">
        <v>976</v>
      </c>
      <c r="B977" s="264">
        <v>45856</v>
      </c>
      <c r="C977" s="292" t="s">
        <v>1479</v>
      </c>
      <c r="E977" s="292" t="s">
        <v>2940</v>
      </c>
      <c r="G977" s="265">
        <v>1000000</v>
      </c>
      <c r="H977" s="269">
        <v>1</v>
      </c>
      <c r="K977" s="265">
        <v>1000000</v>
      </c>
      <c r="M977" s="269"/>
      <c r="N977" t="s">
        <v>2863</v>
      </c>
    </row>
    <row r="978" spans="1:14" x14ac:dyDescent="0.3">
      <c r="A978" s="271">
        <v>977</v>
      </c>
      <c r="B978" s="264">
        <v>45856</v>
      </c>
      <c r="C978" s="292" t="s">
        <v>2942</v>
      </c>
      <c r="E978" s="292" t="s">
        <v>1561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2863</v>
      </c>
    </row>
    <row r="979" spans="1:14" x14ac:dyDescent="0.3">
      <c r="A979" s="271">
        <v>978</v>
      </c>
      <c r="B979" s="264">
        <v>45856</v>
      </c>
      <c r="C979" s="292" t="s">
        <v>2942</v>
      </c>
      <c r="E979" s="292" t="s">
        <v>2943</v>
      </c>
      <c r="G979" s="265">
        <v>200000</v>
      </c>
      <c r="H979" s="269">
        <v>1</v>
      </c>
      <c r="K979" s="265">
        <v>200000</v>
      </c>
      <c r="M979" s="269"/>
      <c r="N979" t="s">
        <v>2863</v>
      </c>
    </row>
    <row r="980" spans="1:14" x14ac:dyDescent="0.3">
      <c r="A980" s="271">
        <v>979</v>
      </c>
      <c r="B980" s="264">
        <v>45856</v>
      </c>
      <c r="C980" s="292" t="s">
        <v>1847</v>
      </c>
      <c r="E980" s="292" t="s">
        <v>2187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2863</v>
      </c>
    </row>
    <row r="981" spans="1:14" x14ac:dyDescent="0.3">
      <c r="A981" s="271">
        <v>980</v>
      </c>
      <c r="B981" s="264">
        <v>45856</v>
      </c>
      <c r="C981" s="292" t="s">
        <v>1980</v>
      </c>
      <c r="E981" s="292" t="s">
        <v>1203</v>
      </c>
      <c r="F981" s="269" t="s">
        <v>1752</v>
      </c>
      <c r="G981" s="265">
        <v>1200000</v>
      </c>
      <c r="H981" s="269">
        <v>1</v>
      </c>
      <c r="K981" s="265">
        <v>1200000</v>
      </c>
      <c r="M981" s="269"/>
      <c r="N981" t="s">
        <v>2863</v>
      </c>
    </row>
    <row r="982" spans="1:14" x14ac:dyDescent="0.3">
      <c r="A982" s="271">
        <v>981</v>
      </c>
      <c r="B982" s="264">
        <v>45856</v>
      </c>
      <c r="C982" s="292" t="s">
        <v>1980</v>
      </c>
      <c r="E982" s="292" t="s">
        <v>1203</v>
      </c>
      <c r="F982" s="269" t="s">
        <v>1752</v>
      </c>
      <c r="L982" s="265">
        <v>-1200000</v>
      </c>
      <c r="M982" s="269"/>
      <c r="N982" t="s">
        <v>2863</v>
      </c>
    </row>
    <row r="983" spans="1:14" x14ac:dyDescent="0.3">
      <c r="A983" s="271">
        <v>982</v>
      </c>
      <c r="B983" s="264">
        <v>45856</v>
      </c>
      <c r="C983" s="292" t="s">
        <v>2942</v>
      </c>
      <c r="E983" s="292" t="s">
        <v>1670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2935</v>
      </c>
      <c r="E984" s="292" t="s">
        <v>1670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2319</v>
      </c>
      <c r="E985" s="292" t="s">
        <v>2180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2863</v>
      </c>
    </row>
    <row r="986" spans="1:14" x14ac:dyDescent="0.3">
      <c r="A986" s="271">
        <v>985</v>
      </c>
      <c r="B986" s="264">
        <v>45859</v>
      </c>
      <c r="C986" s="292" t="s">
        <v>1809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2623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2610</v>
      </c>
      <c r="E988" s="292" t="s">
        <v>2952</v>
      </c>
      <c r="F988" s="269" t="s">
        <v>1752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2863</v>
      </c>
    </row>
    <row r="989" spans="1:14" x14ac:dyDescent="0.3">
      <c r="A989" s="271">
        <v>988</v>
      </c>
      <c r="B989" s="264">
        <v>45859</v>
      </c>
      <c r="C989" s="292" t="s">
        <v>2258</v>
      </c>
      <c r="E989" s="292" t="s">
        <v>2955</v>
      </c>
      <c r="F989" s="269" t="s">
        <v>2954</v>
      </c>
      <c r="G989" s="265">
        <v>500000</v>
      </c>
      <c r="H989" s="269">
        <v>1</v>
      </c>
      <c r="K989" s="265">
        <v>500000</v>
      </c>
      <c r="M989" s="269"/>
      <c r="N989" t="s">
        <v>2863</v>
      </c>
    </row>
    <row r="990" spans="1:14" x14ac:dyDescent="0.3">
      <c r="A990" s="271">
        <v>989</v>
      </c>
      <c r="B990" s="264">
        <v>45859</v>
      </c>
      <c r="C990" s="292" t="s">
        <v>1554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2863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2958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2863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1506</v>
      </c>
      <c r="G992" s="265">
        <v>50000</v>
      </c>
      <c r="H992" s="269">
        <v>1</v>
      </c>
      <c r="K992" s="265">
        <v>50000</v>
      </c>
      <c r="M992" s="269"/>
      <c r="N992" t="s">
        <v>2863</v>
      </c>
    </row>
    <row r="993" spans="1:14" x14ac:dyDescent="0.3">
      <c r="A993" s="271">
        <v>992</v>
      </c>
      <c r="B993" s="264">
        <v>45859</v>
      </c>
      <c r="C993" s="292" t="s">
        <v>2610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2258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1469</v>
      </c>
      <c r="E995" s="292" t="s">
        <v>2404</v>
      </c>
      <c r="G995" s="265">
        <v>150000</v>
      </c>
      <c r="H995" s="269">
        <v>1</v>
      </c>
      <c r="K995" s="265">
        <v>150000</v>
      </c>
      <c r="M995" s="269"/>
      <c r="N995" t="s">
        <v>2863</v>
      </c>
    </row>
    <row r="996" spans="1:14" x14ac:dyDescent="0.3">
      <c r="A996" s="271">
        <v>995</v>
      </c>
      <c r="B996" s="264">
        <v>45860</v>
      </c>
      <c r="C996" s="292" t="s">
        <v>1456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1541</v>
      </c>
      <c r="E997" s="292" t="s">
        <v>2187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2863</v>
      </c>
    </row>
    <row r="998" spans="1:14" x14ac:dyDescent="0.3">
      <c r="A998" s="271">
        <v>997</v>
      </c>
      <c r="B998" s="264">
        <v>45860</v>
      </c>
      <c r="C998" s="292" t="s">
        <v>1541</v>
      </c>
      <c r="E998" s="292" t="s">
        <v>2188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2863</v>
      </c>
    </row>
    <row r="999" spans="1:14" x14ac:dyDescent="0.3">
      <c r="A999" s="271">
        <v>998</v>
      </c>
      <c r="B999" s="264">
        <v>45860</v>
      </c>
      <c r="C999" s="292" t="s">
        <v>1541</v>
      </c>
      <c r="E999" s="292" t="s">
        <v>2191</v>
      </c>
      <c r="F999" s="269" t="s">
        <v>1795</v>
      </c>
      <c r="G999" s="265">
        <v>35000</v>
      </c>
      <c r="H999" s="269">
        <v>1</v>
      </c>
      <c r="K999" s="265">
        <v>35000</v>
      </c>
      <c r="M999" s="269"/>
      <c r="N999" t="s">
        <v>2863</v>
      </c>
    </row>
    <row r="1000" spans="1:14" x14ac:dyDescent="0.3">
      <c r="A1000" s="271">
        <v>999</v>
      </c>
      <c r="B1000" s="264">
        <v>45860</v>
      </c>
      <c r="C1000" s="292" t="s">
        <v>1541</v>
      </c>
      <c r="E1000" s="292" t="s">
        <v>2192</v>
      </c>
      <c r="F1000" s="269" t="s">
        <v>1822</v>
      </c>
      <c r="G1000" s="265">
        <v>10000</v>
      </c>
      <c r="H1000" s="269">
        <v>1</v>
      </c>
      <c r="K1000" s="265">
        <v>10000</v>
      </c>
      <c r="M1000" s="269"/>
      <c r="N1000" t="s">
        <v>2863</v>
      </c>
    </row>
    <row r="1001" spans="1:14" x14ac:dyDescent="0.3">
      <c r="A1001" s="271">
        <v>1000</v>
      </c>
      <c r="B1001" s="264">
        <v>45860</v>
      </c>
      <c r="C1001" s="292" t="s">
        <v>1812</v>
      </c>
      <c r="E1001" s="292" t="s">
        <v>1743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2863</v>
      </c>
    </row>
    <row r="1002" spans="1:14" x14ac:dyDescent="0.3">
      <c r="A1002" s="271">
        <v>1001</v>
      </c>
      <c r="B1002" s="264">
        <v>45860</v>
      </c>
      <c r="C1002" s="292" t="s">
        <v>1812</v>
      </c>
      <c r="E1002" s="292" t="s">
        <v>1519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2863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2863</v>
      </c>
    </row>
    <row r="1004" spans="1:14" x14ac:dyDescent="0.3">
      <c r="A1004" s="271">
        <v>1003</v>
      </c>
      <c r="B1004" s="264">
        <v>45860</v>
      </c>
      <c r="C1004" s="292" t="s">
        <v>2964</v>
      </c>
      <c r="E1004" s="292" t="s">
        <v>2187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2863</v>
      </c>
    </row>
    <row r="1005" spans="1:14" x14ac:dyDescent="0.3">
      <c r="A1005" s="271">
        <v>1004</v>
      </c>
      <c r="B1005" s="264">
        <v>45860</v>
      </c>
      <c r="C1005" s="292" t="s">
        <v>1722</v>
      </c>
      <c r="E1005" s="292" t="s">
        <v>1717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2863</v>
      </c>
    </row>
    <row r="1006" spans="1:14" x14ac:dyDescent="0.3">
      <c r="A1006" s="271">
        <v>1005</v>
      </c>
      <c r="B1006" s="264">
        <v>45860</v>
      </c>
      <c r="C1006" s="292" t="s">
        <v>2971</v>
      </c>
      <c r="E1006" s="292" t="s">
        <v>1219</v>
      </c>
      <c r="F1006" s="269" t="s">
        <v>2162</v>
      </c>
      <c r="G1006" s="265">
        <v>1200000</v>
      </c>
      <c r="H1006" s="269">
        <v>1</v>
      </c>
      <c r="J1006" s="266" t="s">
        <v>2972</v>
      </c>
      <c r="K1006" s="265">
        <v>1320000</v>
      </c>
      <c r="M1006" s="269"/>
      <c r="N1006" t="s">
        <v>2863</v>
      </c>
    </row>
    <row r="1007" spans="1:14" x14ac:dyDescent="0.3">
      <c r="A1007" s="271">
        <v>1006</v>
      </c>
      <c r="B1007" s="264">
        <v>45860</v>
      </c>
      <c r="C1007" s="292" t="s">
        <v>2890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2964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1399</v>
      </c>
      <c r="E1009" s="292" t="s">
        <v>2091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2863</v>
      </c>
    </row>
    <row r="1010" spans="1:14" x14ac:dyDescent="0.3">
      <c r="A1010" s="271">
        <v>1009</v>
      </c>
      <c r="B1010" s="264">
        <v>45861</v>
      </c>
      <c r="C1010" s="292" t="s">
        <v>1399</v>
      </c>
      <c r="E1010" s="292" t="s">
        <v>2975</v>
      </c>
      <c r="G1010" s="265">
        <v>20000</v>
      </c>
      <c r="H1010" s="269">
        <v>1</v>
      </c>
      <c r="K1010" s="265">
        <v>20000</v>
      </c>
      <c r="M1010" s="269"/>
      <c r="N1010" t="s">
        <v>2863</v>
      </c>
    </row>
    <row r="1011" spans="1:14" x14ac:dyDescent="0.3">
      <c r="A1011" s="271">
        <v>1010</v>
      </c>
      <c r="B1011" s="264">
        <v>45861</v>
      </c>
      <c r="C1011" s="292" t="s">
        <v>1747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2863</v>
      </c>
    </row>
    <row r="1012" spans="1:14" x14ac:dyDescent="0.3">
      <c r="A1012" s="271">
        <v>1011</v>
      </c>
      <c r="B1012" s="264">
        <v>45861</v>
      </c>
      <c r="C1012" s="292" t="s">
        <v>1809</v>
      </c>
      <c r="E1012" s="292" t="s">
        <v>1496</v>
      </c>
      <c r="F1012" s="269" t="s">
        <v>2679</v>
      </c>
      <c r="G1012" s="265">
        <v>350000</v>
      </c>
      <c r="H1012" s="269">
        <v>1</v>
      </c>
      <c r="K1012" s="265">
        <v>350000</v>
      </c>
      <c r="M1012" s="269"/>
      <c r="N1012" t="s">
        <v>2863</v>
      </c>
    </row>
    <row r="1013" spans="1:14" x14ac:dyDescent="0.3">
      <c r="A1013" s="271">
        <v>1012</v>
      </c>
      <c r="B1013" s="264">
        <v>45861</v>
      </c>
      <c r="C1013" s="292" t="s">
        <v>1847</v>
      </c>
      <c r="E1013" s="292" t="s">
        <v>2189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2863</v>
      </c>
    </row>
    <row r="1014" spans="1:14" x14ac:dyDescent="0.3">
      <c r="A1014" s="271">
        <v>1013</v>
      </c>
      <c r="B1014" s="264">
        <v>45861</v>
      </c>
      <c r="C1014" s="292" t="s">
        <v>1467</v>
      </c>
      <c r="E1014" s="292" t="s">
        <v>2180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2863</v>
      </c>
    </row>
    <row r="1015" spans="1:14" x14ac:dyDescent="0.3">
      <c r="A1015" s="271">
        <v>1014</v>
      </c>
      <c r="B1015" s="264">
        <v>45861</v>
      </c>
      <c r="C1015" s="292" t="s">
        <v>1467</v>
      </c>
      <c r="E1015" s="292" t="s">
        <v>2181</v>
      </c>
      <c r="F1015" s="269" t="s">
        <v>1803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2863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2180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2863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2181</v>
      </c>
      <c r="F1017" s="269" t="s">
        <v>1803</v>
      </c>
      <c r="G1017" s="265">
        <v>50000</v>
      </c>
      <c r="H1017" s="269">
        <v>1</v>
      </c>
      <c r="K1017" s="265">
        <v>50000</v>
      </c>
      <c r="M1017" s="269"/>
      <c r="N1017" t="s">
        <v>2863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2183</v>
      </c>
      <c r="F1018" s="269" t="s">
        <v>1720</v>
      </c>
      <c r="G1018" s="265">
        <v>70000</v>
      </c>
      <c r="H1018" s="269">
        <v>1</v>
      </c>
      <c r="K1018" s="265">
        <v>70000</v>
      </c>
      <c r="M1018" s="269"/>
      <c r="N1018" t="s">
        <v>2863</v>
      </c>
    </row>
    <row r="1019" spans="1:14" x14ac:dyDescent="0.3">
      <c r="A1019" s="271">
        <v>1018</v>
      </c>
      <c r="B1019" s="264">
        <v>45861</v>
      </c>
      <c r="C1019" s="292" t="s">
        <v>2319</v>
      </c>
      <c r="E1019" s="292" t="s">
        <v>2180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2863</v>
      </c>
    </row>
    <row r="1020" spans="1:14" x14ac:dyDescent="0.3">
      <c r="A1020" s="271">
        <v>1019</v>
      </c>
      <c r="B1020" s="264">
        <v>45861</v>
      </c>
      <c r="C1020" s="292" t="s">
        <v>2319</v>
      </c>
      <c r="E1020" s="292" t="s">
        <v>2983</v>
      </c>
      <c r="L1020" s="265">
        <v>-3150000</v>
      </c>
      <c r="M1020" s="269"/>
      <c r="N1020" t="s">
        <v>2863</v>
      </c>
    </row>
    <row r="1021" spans="1:14" x14ac:dyDescent="0.3">
      <c r="A1021" s="271">
        <v>1020</v>
      </c>
      <c r="B1021" s="264">
        <v>45861</v>
      </c>
      <c r="C1021" s="292" t="s">
        <v>1847</v>
      </c>
      <c r="E1021" s="292" t="s">
        <v>2984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1809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1449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1399</v>
      </c>
      <c r="E1025" s="292" t="s">
        <v>2180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2863</v>
      </c>
    </row>
    <row r="1026" spans="1:14" x14ac:dyDescent="0.3">
      <c r="A1026" s="271">
        <v>1025</v>
      </c>
      <c r="B1026" s="264">
        <v>45862</v>
      </c>
      <c r="C1026" s="292" t="s">
        <v>1399</v>
      </c>
      <c r="E1026" s="292" t="s">
        <v>2181</v>
      </c>
      <c r="F1026" s="269" t="s">
        <v>1803</v>
      </c>
      <c r="G1026" s="265">
        <v>50000</v>
      </c>
      <c r="H1026" s="269">
        <v>1</v>
      </c>
      <c r="K1026" s="265">
        <v>50000</v>
      </c>
      <c r="M1026" s="269"/>
      <c r="N1026" t="s">
        <v>2863</v>
      </c>
    </row>
    <row r="1027" spans="1:14" x14ac:dyDescent="0.3">
      <c r="A1027" s="271">
        <v>1026</v>
      </c>
      <c r="B1027" s="264">
        <v>45862</v>
      </c>
      <c r="C1027" s="292" t="s">
        <v>1399</v>
      </c>
      <c r="E1027" s="292" t="s">
        <v>1549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2863</v>
      </c>
    </row>
    <row r="1028" spans="1:14" x14ac:dyDescent="0.3">
      <c r="A1028" s="271">
        <v>1027</v>
      </c>
      <c r="B1028" s="264">
        <v>45862</v>
      </c>
      <c r="C1028" s="292" t="s">
        <v>1159</v>
      </c>
      <c r="E1028" s="292" t="s">
        <v>2673</v>
      </c>
      <c r="G1028" s="265">
        <v>1600000</v>
      </c>
      <c r="H1028" s="269">
        <v>1</v>
      </c>
      <c r="J1028" s="266" t="s">
        <v>3000</v>
      </c>
      <c r="K1028" s="265">
        <v>1760000</v>
      </c>
      <c r="M1028" s="269"/>
      <c r="N1028" t="s">
        <v>2863</v>
      </c>
    </row>
    <row r="1029" spans="1:14" x14ac:dyDescent="0.3">
      <c r="A1029" s="271">
        <v>1028</v>
      </c>
      <c r="B1029" s="264">
        <v>45862</v>
      </c>
      <c r="C1029" s="292" t="s">
        <v>1458</v>
      </c>
      <c r="E1029" s="292" t="s">
        <v>2180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2863</v>
      </c>
    </row>
    <row r="1030" spans="1:14" x14ac:dyDescent="0.3">
      <c r="A1030" s="271">
        <v>1029</v>
      </c>
      <c r="B1030" s="264">
        <v>45862</v>
      </c>
      <c r="C1030" s="292" t="s">
        <v>1458</v>
      </c>
      <c r="E1030" s="292" t="s">
        <v>2181</v>
      </c>
      <c r="F1030" s="269" t="s">
        <v>1803</v>
      </c>
      <c r="G1030" s="265">
        <v>50000</v>
      </c>
      <c r="H1030" s="269">
        <v>1</v>
      </c>
      <c r="K1030" s="265">
        <v>50000</v>
      </c>
      <c r="M1030" s="269"/>
      <c r="N1030" t="s">
        <v>2863</v>
      </c>
    </row>
    <row r="1031" spans="1:14" x14ac:dyDescent="0.3">
      <c r="A1031" s="271">
        <v>1030</v>
      </c>
      <c r="B1031" s="264">
        <v>45862</v>
      </c>
      <c r="C1031" s="292" t="s">
        <v>1449</v>
      </c>
      <c r="E1031" s="292" t="s">
        <v>2187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2863</v>
      </c>
    </row>
    <row r="1032" spans="1:14" x14ac:dyDescent="0.3">
      <c r="A1032" s="271">
        <v>1031</v>
      </c>
      <c r="B1032" s="264">
        <v>45862</v>
      </c>
      <c r="C1032" s="292" t="s">
        <v>1449</v>
      </c>
      <c r="E1032" s="292" t="s">
        <v>2190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2863</v>
      </c>
    </row>
    <row r="1033" spans="1:14" x14ac:dyDescent="0.3">
      <c r="A1033" s="271">
        <v>1032</v>
      </c>
      <c r="B1033" s="264">
        <v>45862</v>
      </c>
      <c r="C1033" s="292" t="s">
        <v>1580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2863</v>
      </c>
    </row>
    <row r="1034" spans="1:14" x14ac:dyDescent="0.3">
      <c r="A1034" s="271">
        <v>1033</v>
      </c>
      <c r="B1034" s="264">
        <v>45862</v>
      </c>
      <c r="C1034" s="292" t="s">
        <v>1444</v>
      </c>
      <c r="E1034" s="292" t="s">
        <v>2994</v>
      </c>
      <c r="F1034" s="269" t="s">
        <v>2995</v>
      </c>
      <c r="G1034" s="265">
        <v>-230000</v>
      </c>
      <c r="H1034" s="269">
        <v>1</v>
      </c>
      <c r="K1034" s="265">
        <v>-230000</v>
      </c>
      <c r="M1034" s="269"/>
      <c r="N1034" t="s">
        <v>2863</v>
      </c>
    </row>
    <row r="1035" spans="1:14" x14ac:dyDescent="0.3">
      <c r="A1035" s="271">
        <v>1034</v>
      </c>
      <c r="B1035" s="264">
        <v>45862</v>
      </c>
      <c r="C1035" s="292" t="s">
        <v>2472</v>
      </c>
      <c r="E1035" s="292" t="s">
        <v>2673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1288</v>
      </c>
      <c r="E1036" s="292" t="s">
        <v>3069</v>
      </c>
      <c r="G1036" s="265">
        <v>50000</v>
      </c>
      <c r="H1036" s="269">
        <v>1</v>
      </c>
      <c r="K1036" s="265">
        <v>50000</v>
      </c>
      <c r="M1036" s="269"/>
      <c r="N1036" t="s">
        <v>2863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2255</v>
      </c>
      <c r="F1037" s="269" t="s">
        <v>2254</v>
      </c>
      <c r="G1037" s="265">
        <v>1500000</v>
      </c>
      <c r="H1037" s="269">
        <v>1</v>
      </c>
      <c r="K1037" s="265">
        <v>1500000</v>
      </c>
      <c r="M1037" s="269"/>
      <c r="N1037" t="s">
        <v>2863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2612</v>
      </c>
      <c r="F1038" s="269" t="s">
        <v>1755</v>
      </c>
      <c r="G1038" s="265">
        <v>50000</v>
      </c>
      <c r="H1038" s="269">
        <v>1</v>
      </c>
      <c r="K1038" s="265">
        <v>50000</v>
      </c>
      <c r="M1038" s="269"/>
      <c r="N1038" t="s">
        <v>2863</v>
      </c>
    </row>
    <row r="1039" spans="1:14" x14ac:dyDescent="0.3">
      <c r="A1039" s="271">
        <v>1038</v>
      </c>
      <c r="B1039" s="264">
        <v>45862</v>
      </c>
      <c r="C1039" s="292" t="s">
        <v>1458</v>
      </c>
      <c r="E1039" s="292" t="s">
        <v>3001</v>
      </c>
      <c r="G1039" s="265">
        <v>40000</v>
      </c>
      <c r="H1039" s="269">
        <v>1</v>
      </c>
      <c r="K1039" s="265">
        <v>40000</v>
      </c>
      <c r="M1039" s="269"/>
      <c r="N1039" t="s">
        <v>2863</v>
      </c>
    </row>
    <row r="1040" spans="1:14" x14ac:dyDescent="0.3">
      <c r="A1040" s="271">
        <v>1039</v>
      </c>
      <c r="B1040" s="264">
        <v>45862</v>
      </c>
      <c r="C1040" s="292" t="s">
        <v>1812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2386</v>
      </c>
      <c r="E1041" s="292" t="s">
        <v>3003</v>
      </c>
      <c r="F1041" s="269" t="s">
        <v>3004</v>
      </c>
      <c r="G1041" s="265">
        <v>2000000</v>
      </c>
      <c r="H1041" s="269">
        <v>1</v>
      </c>
      <c r="K1041" s="265">
        <v>2000000</v>
      </c>
      <c r="M1041" s="269"/>
      <c r="N1041" t="s">
        <v>2863</v>
      </c>
    </row>
    <row r="1042" spans="1:14" x14ac:dyDescent="0.3">
      <c r="A1042" s="271">
        <v>1041</v>
      </c>
      <c r="B1042" s="264">
        <v>45863</v>
      </c>
      <c r="C1042" s="292" t="s">
        <v>1980</v>
      </c>
      <c r="E1042" s="292" t="s">
        <v>1716</v>
      </c>
      <c r="F1042" s="269" t="s">
        <v>1715</v>
      </c>
      <c r="G1042" s="265">
        <v>23000</v>
      </c>
      <c r="H1042" s="269">
        <v>10</v>
      </c>
      <c r="K1042" s="265">
        <v>230000</v>
      </c>
      <c r="M1042" s="269"/>
      <c r="N1042" t="s">
        <v>2863</v>
      </c>
    </row>
    <row r="1043" spans="1:14" x14ac:dyDescent="0.3">
      <c r="A1043" s="271">
        <v>1042</v>
      </c>
      <c r="B1043" s="264">
        <v>45863</v>
      </c>
      <c r="C1043" s="292" t="s">
        <v>1598</v>
      </c>
      <c r="E1043" s="292" t="s">
        <v>1203</v>
      </c>
      <c r="F1043" s="269" t="s">
        <v>1752</v>
      </c>
      <c r="G1043" s="265">
        <v>1000000</v>
      </c>
      <c r="H1043" s="269">
        <v>1</v>
      </c>
      <c r="K1043" s="265">
        <v>1000000</v>
      </c>
      <c r="M1043" s="269"/>
      <c r="N1043" t="s">
        <v>2863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3009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2863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2180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2863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2181</v>
      </c>
      <c r="F1046" s="269" t="s">
        <v>1803</v>
      </c>
      <c r="G1046" s="265">
        <v>50000</v>
      </c>
      <c r="H1046" s="269">
        <v>1</v>
      </c>
      <c r="K1046" s="265">
        <v>50000</v>
      </c>
      <c r="M1046" s="269"/>
      <c r="N1046" t="s">
        <v>2863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1870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2386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1469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2863</v>
      </c>
    </row>
    <row r="1051" spans="1:14" x14ac:dyDescent="0.3">
      <c r="A1051" s="271">
        <v>1050</v>
      </c>
      <c r="B1051" s="264">
        <v>45864</v>
      </c>
      <c r="C1051" s="292" t="s">
        <v>1449</v>
      </c>
      <c r="E1051" s="292" t="s">
        <v>1746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1444</v>
      </c>
      <c r="E1052" s="292" t="s">
        <v>2178</v>
      </c>
      <c r="F1052" s="269" t="s">
        <v>1464</v>
      </c>
      <c r="G1052" s="265">
        <v>1500000</v>
      </c>
      <c r="H1052" s="269">
        <v>1</v>
      </c>
      <c r="K1052" s="265">
        <v>1500000</v>
      </c>
      <c r="M1052" s="269"/>
      <c r="N1052" t="s">
        <v>2863</v>
      </c>
    </row>
    <row r="1053" spans="1:14" x14ac:dyDescent="0.3">
      <c r="A1053" s="271">
        <v>1052</v>
      </c>
      <c r="B1053" s="264">
        <v>45864</v>
      </c>
      <c r="C1053" s="292" t="s">
        <v>1598</v>
      </c>
      <c r="E1053" s="292" t="s">
        <v>1746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2998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1747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2863</v>
      </c>
    </row>
    <row r="1058" spans="1:14" x14ac:dyDescent="0.3">
      <c r="A1058" s="271">
        <v>1057</v>
      </c>
      <c r="B1058" s="264">
        <v>45866</v>
      </c>
      <c r="C1058" s="292" t="s">
        <v>1399</v>
      </c>
      <c r="E1058" s="292" t="s">
        <v>1737</v>
      </c>
      <c r="F1058" s="269" t="s">
        <v>2834</v>
      </c>
      <c r="G1058" s="265">
        <v>500000</v>
      </c>
      <c r="H1058" s="269">
        <v>1</v>
      </c>
      <c r="K1058" s="265">
        <v>500000</v>
      </c>
      <c r="M1058" s="269"/>
      <c r="N1058" t="s">
        <v>2863</v>
      </c>
    </row>
    <row r="1059" spans="1:14" x14ac:dyDescent="0.3">
      <c r="A1059" s="271">
        <v>1058</v>
      </c>
      <c r="B1059" s="264">
        <v>45866</v>
      </c>
      <c r="C1059" s="292" t="s">
        <v>1399</v>
      </c>
      <c r="E1059" s="292" t="s">
        <v>2919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2863</v>
      </c>
    </row>
    <row r="1060" spans="1:14" x14ac:dyDescent="0.3">
      <c r="A1060" s="271">
        <v>1059</v>
      </c>
      <c r="B1060" s="264">
        <v>45866</v>
      </c>
      <c r="C1060" s="292" t="s">
        <v>1747</v>
      </c>
      <c r="E1060" s="292" t="s">
        <v>1736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2863</v>
      </c>
    </row>
    <row r="1061" spans="1:14" x14ac:dyDescent="0.3">
      <c r="A1061" s="271">
        <v>1060</v>
      </c>
      <c r="B1061" s="264">
        <v>45866</v>
      </c>
      <c r="C1061" s="292" t="s">
        <v>1847</v>
      </c>
      <c r="E1061" s="292" t="s">
        <v>2189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2863</v>
      </c>
    </row>
    <row r="1062" spans="1:14" x14ac:dyDescent="0.3">
      <c r="A1062" s="271">
        <v>1061</v>
      </c>
      <c r="B1062" s="264">
        <v>45866</v>
      </c>
      <c r="C1062" s="292" t="s">
        <v>1671</v>
      </c>
      <c r="E1062" s="292" t="s">
        <v>1829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2863</v>
      </c>
    </row>
    <row r="1063" spans="1:14" x14ac:dyDescent="0.3">
      <c r="A1063" s="271">
        <v>1062</v>
      </c>
      <c r="B1063" s="264">
        <v>45866</v>
      </c>
      <c r="C1063" s="292" t="s">
        <v>1473</v>
      </c>
      <c r="E1063" s="292" t="s">
        <v>2187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2863</v>
      </c>
    </row>
    <row r="1064" spans="1:14" x14ac:dyDescent="0.3">
      <c r="A1064" s="271">
        <v>1063</v>
      </c>
      <c r="B1064" s="264">
        <v>45866</v>
      </c>
      <c r="C1064" s="292" t="s">
        <v>3021</v>
      </c>
      <c r="E1064" s="292" t="s">
        <v>1859</v>
      </c>
      <c r="F1064" s="269" t="s">
        <v>3666</v>
      </c>
      <c r="G1064" s="265">
        <v>1100000</v>
      </c>
      <c r="H1064" s="269">
        <v>1</v>
      </c>
      <c r="K1064" s="265">
        <v>1100000</v>
      </c>
      <c r="M1064" s="269"/>
      <c r="N1064" t="s">
        <v>2863</v>
      </c>
    </row>
    <row r="1065" spans="1:14" x14ac:dyDescent="0.3">
      <c r="A1065" s="271">
        <v>1064</v>
      </c>
      <c r="B1065" s="264">
        <v>45866</v>
      </c>
      <c r="C1065" s="292" t="s">
        <v>1544</v>
      </c>
      <c r="E1065" s="292" t="s">
        <v>2186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2863</v>
      </c>
    </row>
    <row r="1066" spans="1:14" x14ac:dyDescent="0.3">
      <c r="A1066" s="271">
        <v>1065</v>
      </c>
      <c r="B1066" s="264">
        <v>45866</v>
      </c>
      <c r="C1066" s="292" t="s">
        <v>1861</v>
      </c>
      <c r="E1066" s="292" t="s">
        <v>2180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2863</v>
      </c>
    </row>
    <row r="1067" spans="1:14" x14ac:dyDescent="0.3">
      <c r="A1067" s="271">
        <v>1066</v>
      </c>
      <c r="B1067" s="264">
        <v>45866</v>
      </c>
      <c r="C1067" s="292" t="s">
        <v>1861</v>
      </c>
      <c r="E1067" s="292" t="s">
        <v>2181</v>
      </c>
      <c r="F1067" s="269" t="s">
        <v>1803</v>
      </c>
      <c r="G1067" s="265">
        <v>50000</v>
      </c>
      <c r="H1067" s="269">
        <v>1</v>
      </c>
      <c r="K1067" s="265">
        <v>50000</v>
      </c>
      <c r="M1067" s="269"/>
      <c r="N1067" t="s">
        <v>2863</v>
      </c>
    </row>
    <row r="1068" spans="1:14" x14ac:dyDescent="0.3">
      <c r="A1068" s="271">
        <v>1067</v>
      </c>
      <c r="B1068" s="264">
        <v>45866</v>
      </c>
      <c r="C1068" s="292" t="s">
        <v>1747</v>
      </c>
      <c r="E1068" s="292" t="s">
        <v>2418</v>
      </c>
      <c r="F1068" s="269" t="s">
        <v>2748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2863</v>
      </c>
    </row>
    <row r="1069" spans="1:14" x14ac:dyDescent="0.3">
      <c r="A1069" s="271">
        <v>1068</v>
      </c>
      <c r="B1069" s="264">
        <v>45866</v>
      </c>
      <c r="C1069" s="292" t="s">
        <v>1747</v>
      </c>
      <c r="E1069" s="292" t="s">
        <v>1519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2863</v>
      </c>
    </row>
    <row r="1070" spans="1:14" x14ac:dyDescent="0.3">
      <c r="A1070" s="271">
        <v>1069</v>
      </c>
      <c r="B1070" s="264">
        <v>45866</v>
      </c>
      <c r="C1070" s="292" t="s">
        <v>1449</v>
      </c>
      <c r="E1070" s="292" t="s">
        <v>1203</v>
      </c>
      <c r="F1070" s="269" t="s">
        <v>1752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2863</v>
      </c>
    </row>
    <row r="1071" spans="1:14" x14ac:dyDescent="0.3">
      <c r="A1071" s="271">
        <v>1070</v>
      </c>
      <c r="B1071" s="264">
        <v>45866</v>
      </c>
      <c r="C1071" s="292" t="s">
        <v>3021</v>
      </c>
      <c r="E1071" s="292" t="s">
        <v>1746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3029</v>
      </c>
      <c r="E1072" s="292" t="s">
        <v>2180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2863</v>
      </c>
    </row>
    <row r="1073" spans="1:14" x14ac:dyDescent="0.3">
      <c r="A1073" s="271">
        <v>1072</v>
      </c>
      <c r="B1073" s="264">
        <v>45866</v>
      </c>
      <c r="C1073" s="292" t="s">
        <v>3029</v>
      </c>
      <c r="E1073" s="292" t="s">
        <v>2181</v>
      </c>
      <c r="F1073" s="269" t="s">
        <v>1803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2863</v>
      </c>
    </row>
    <row r="1074" spans="1:14" x14ac:dyDescent="0.3">
      <c r="A1074" s="271">
        <v>1073</v>
      </c>
      <c r="B1074" s="264">
        <v>45866</v>
      </c>
      <c r="C1074" s="292" t="s">
        <v>3029</v>
      </c>
      <c r="E1074" s="292" t="s">
        <v>1746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1449</v>
      </c>
      <c r="E1075" s="292" t="s">
        <v>1746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1671</v>
      </c>
      <c r="E1076" s="292" t="s">
        <v>1746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1544</v>
      </c>
      <c r="E1077" s="292" t="s">
        <v>1746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1458</v>
      </c>
      <c r="E1078" s="292" t="s">
        <v>1746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1847</v>
      </c>
      <c r="E1079" s="292" t="s">
        <v>1746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1980</v>
      </c>
      <c r="E1080" s="292" t="s">
        <v>1746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1746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1746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1580</v>
      </c>
      <c r="E1083" s="292" t="s">
        <v>2984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1444</v>
      </c>
      <c r="E1084" s="292" t="s">
        <v>3060</v>
      </c>
      <c r="F1084" s="269" t="s">
        <v>3059</v>
      </c>
      <c r="G1084" s="265">
        <v>250000</v>
      </c>
      <c r="H1084" s="269">
        <v>1</v>
      </c>
      <c r="K1084" s="265">
        <v>250000</v>
      </c>
      <c r="M1084" s="269"/>
      <c r="N1084" t="s">
        <v>2863</v>
      </c>
    </row>
    <row r="1085" spans="1:14" x14ac:dyDescent="0.3">
      <c r="A1085" s="271">
        <v>1084</v>
      </c>
      <c r="B1085" s="264">
        <v>45867</v>
      </c>
      <c r="C1085" s="292" t="s">
        <v>1790</v>
      </c>
      <c r="E1085" s="292" t="s">
        <v>2180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2863</v>
      </c>
    </row>
    <row r="1086" spans="1:14" x14ac:dyDescent="0.3">
      <c r="A1086" s="271">
        <v>1085</v>
      </c>
      <c r="B1086" s="264">
        <v>45867</v>
      </c>
      <c r="C1086" s="292" t="s">
        <v>1790</v>
      </c>
      <c r="E1086" s="292" t="s">
        <v>2181</v>
      </c>
      <c r="F1086" s="269" t="s">
        <v>1803</v>
      </c>
      <c r="G1086" s="265">
        <v>50000</v>
      </c>
      <c r="H1086" s="269">
        <v>1</v>
      </c>
      <c r="K1086" s="265">
        <v>50000</v>
      </c>
      <c r="M1086" s="269"/>
      <c r="N1086" t="s">
        <v>2863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2186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2863</v>
      </c>
    </row>
    <row r="1088" spans="1:14" x14ac:dyDescent="0.3">
      <c r="A1088" s="271">
        <v>1087</v>
      </c>
      <c r="B1088" s="264">
        <v>45867</v>
      </c>
      <c r="C1088" s="292" t="s">
        <v>1306</v>
      </c>
      <c r="E1088" s="292" t="s">
        <v>2187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2863</v>
      </c>
    </row>
    <row r="1089" spans="1:14" x14ac:dyDescent="0.3">
      <c r="A1089" s="271">
        <v>1088</v>
      </c>
      <c r="B1089" s="264">
        <v>45867</v>
      </c>
      <c r="C1089" s="292" t="s">
        <v>1306</v>
      </c>
      <c r="E1089" s="292" t="s">
        <v>2190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2863</v>
      </c>
    </row>
    <row r="1090" spans="1:14" x14ac:dyDescent="0.3">
      <c r="A1090" s="271">
        <v>1089</v>
      </c>
      <c r="B1090" s="264">
        <v>45867</v>
      </c>
      <c r="C1090" s="292" t="s">
        <v>1306</v>
      </c>
      <c r="E1090" s="292" t="s">
        <v>2191</v>
      </c>
      <c r="F1090" s="269" t="s">
        <v>1795</v>
      </c>
      <c r="G1090" s="265">
        <v>35000</v>
      </c>
      <c r="H1090" s="269">
        <v>1</v>
      </c>
      <c r="K1090" s="265">
        <v>35000</v>
      </c>
      <c r="M1090" s="269"/>
      <c r="N1090" t="s">
        <v>2863</v>
      </c>
    </row>
    <row r="1091" spans="1:14" x14ac:dyDescent="0.3">
      <c r="A1091" s="271">
        <v>1090</v>
      </c>
      <c r="B1091" s="264">
        <v>45867</v>
      </c>
      <c r="C1091" s="292" t="s">
        <v>1306</v>
      </c>
      <c r="E1091" s="292" t="s">
        <v>2522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2863</v>
      </c>
    </row>
    <row r="1092" spans="1:14" x14ac:dyDescent="0.3">
      <c r="A1092" s="271">
        <v>1091</v>
      </c>
      <c r="B1092" s="264">
        <v>45867</v>
      </c>
      <c r="C1092" s="292" t="s">
        <v>1805</v>
      </c>
      <c r="E1092" s="292" t="s">
        <v>2616</v>
      </c>
      <c r="F1092" s="269" t="s">
        <v>2615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2863</v>
      </c>
    </row>
    <row r="1093" spans="1:14" x14ac:dyDescent="0.3">
      <c r="A1093" s="271">
        <v>1092</v>
      </c>
      <c r="B1093" s="264">
        <v>45867</v>
      </c>
      <c r="C1093" s="292" t="s">
        <v>2916</v>
      </c>
      <c r="E1093" s="292" t="s">
        <v>1203</v>
      </c>
      <c r="F1093" s="269" t="s">
        <v>1752</v>
      </c>
      <c r="G1093" s="265">
        <v>1000000</v>
      </c>
      <c r="H1093" s="269">
        <v>1</v>
      </c>
      <c r="K1093" s="265">
        <v>1000000</v>
      </c>
      <c r="M1093" s="269"/>
      <c r="N1093" t="s">
        <v>2863</v>
      </c>
    </row>
    <row r="1094" spans="1:14" x14ac:dyDescent="0.3">
      <c r="A1094" s="271">
        <v>1093</v>
      </c>
      <c r="B1094" s="264">
        <v>45867</v>
      </c>
      <c r="C1094" s="292" t="s">
        <v>1722</v>
      </c>
      <c r="E1094" s="292" t="s">
        <v>3070</v>
      </c>
      <c r="F1094" s="269" t="s">
        <v>2327</v>
      </c>
      <c r="G1094" s="265">
        <v>900000</v>
      </c>
      <c r="H1094" s="269">
        <v>1</v>
      </c>
      <c r="K1094" s="265">
        <v>900000</v>
      </c>
      <c r="M1094" s="269"/>
      <c r="N1094" t="s">
        <v>2863</v>
      </c>
    </row>
    <row r="1095" spans="1:14" x14ac:dyDescent="0.3">
      <c r="A1095" s="271">
        <v>1094</v>
      </c>
      <c r="B1095" s="264">
        <v>45867</v>
      </c>
      <c r="C1095" s="292" t="s">
        <v>1444</v>
      </c>
      <c r="E1095" s="292" t="s">
        <v>2180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2863</v>
      </c>
    </row>
    <row r="1096" spans="1:14" x14ac:dyDescent="0.3">
      <c r="A1096" s="271">
        <v>1095</v>
      </c>
      <c r="B1096" s="264">
        <v>45867</v>
      </c>
      <c r="C1096" s="292" t="s">
        <v>1444</v>
      </c>
      <c r="E1096" s="292" t="s">
        <v>2181</v>
      </c>
      <c r="F1096" s="269" t="s">
        <v>1803</v>
      </c>
      <c r="G1096" s="265">
        <v>50000</v>
      </c>
      <c r="H1096" s="269">
        <v>1</v>
      </c>
      <c r="K1096" s="265">
        <v>50000</v>
      </c>
      <c r="M1096" s="269"/>
      <c r="N1096" t="s">
        <v>2863</v>
      </c>
    </row>
    <row r="1097" spans="1:14" x14ac:dyDescent="0.3">
      <c r="A1097" s="271">
        <v>1096</v>
      </c>
      <c r="B1097" s="264">
        <v>45867</v>
      </c>
      <c r="C1097" s="292" t="s">
        <v>1444</v>
      </c>
      <c r="E1097" s="292" t="s">
        <v>1549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2863</v>
      </c>
    </row>
    <row r="1098" spans="1:14" x14ac:dyDescent="0.3">
      <c r="A1098" s="271">
        <v>1097</v>
      </c>
      <c r="B1098" s="264">
        <v>45867</v>
      </c>
      <c r="C1098" s="292" t="s">
        <v>1805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2916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1306</v>
      </c>
      <c r="E1100" s="292" t="s">
        <v>1746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1977</v>
      </c>
      <c r="E1101" s="292" t="s">
        <v>2180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2863</v>
      </c>
    </row>
    <row r="1102" spans="1:14" x14ac:dyDescent="0.3">
      <c r="A1102" s="271">
        <v>1101</v>
      </c>
      <c r="B1102" s="264">
        <v>45868</v>
      </c>
      <c r="C1102" s="292" t="s">
        <v>1977</v>
      </c>
      <c r="E1102" s="292" t="s">
        <v>2181</v>
      </c>
      <c r="F1102" s="269" t="s">
        <v>1803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2863</v>
      </c>
    </row>
    <row r="1103" spans="1:14" x14ac:dyDescent="0.3">
      <c r="A1103" s="271">
        <v>1102</v>
      </c>
      <c r="B1103" s="264">
        <v>45868</v>
      </c>
      <c r="C1103" s="292" t="s">
        <v>1809</v>
      </c>
      <c r="E1103" s="292" t="s">
        <v>2180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2863</v>
      </c>
    </row>
    <row r="1104" spans="1:14" x14ac:dyDescent="0.3">
      <c r="A1104" s="271">
        <v>1103</v>
      </c>
      <c r="B1104" s="264">
        <v>45868</v>
      </c>
      <c r="C1104" s="292" t="s">
        <v>1809</v>
      </c>
      <c r="E1104" s="292" t="s">
        <v>2181</v>
      </c>
      <c r="F1104" s="269" t="s">
        <v>1803</v>
      </c>
      <c r="G1104" s="265">
        <v>50000</v>
      </c>
      <c r="H1104" s="269">
        <v>1</v>
      </c>
      <c r="K1104" s="265">
        <v>50000</v>
      </c>
      <c r="M1104" s="269"/>
      <c r="N1104" t="s">
        <v>2863</v>
      </c>
    </row>
    <row r="1105" spans="1:14" x14ac:dyDescent="0.3">
      <c r="A1105" s="271">
        <v>1104</v>
      </c>
      <c r="B1105" s="264">
        <v>45868</v>
      </c>
      <c r="C1105" s="292" t="s">
        <v>2789</v>
      </c>
      <c r="E1105" s="292" t="s">
        <v>4043</v>
      </c>
      <c r="F1105" s="269" t="s">
        <v>2217</v>
      </c>
      <c r="G1105" s="265">
        <v>250000</v>
      </c>
      <c r="H1105" s="269">
        <v>1</v>
      </c>
      <c r="K1105" s="265">
        <v>250000</v>
      </c>
      <c r="M1105" s="269"/>
      <c r="N1105" t="s">
        <v>2863</v>
      </c>
    </row>
    <row r="1106" spans="1:14" x14ac:dyDescent="0.3">
      <c r="A1106" s="271">
        <v>1105</v>
      </c>
      <c r="B1106" s="264">
        <v>45868</v>
      </c>
      <c r="C1106" s="292" t="s">
        <v>1805</v>
      </c>
      <c r="E1106" s="292" t="s">
        <v>3074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2863</v>
      </c>
    </row>
    <row r="1107" spans="1:14" x14ac:dyDescent="0.3">
      <c r="A1107" s="271">
        <v>1106</v>
      </c>
      <c r="B1107" s="264">
        <v>45868</v>
      </c>
      <c r="C1107" s="292" t="s">
        <v>1577</v>
      </c>
      <c r="E1107" s="292" t="s">
        <v>2919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2863</v>
      </c>
    </row>
    <row r="1108" spans="1:14" x14ac:dyDescent="0.3">
      <c r="A1108" s="271">
        <v>1107</v>
      </c>
      <c r="B1108" s="264">
        <v>45868</v>
      </c>
      <c r="C1108" s="292" t="s">
        <v>3077</v>
      </c>
      <c r="E1108" s="292" t="s">
        <v>1203</v>
      </c>
      <c r="F1108" s="269" t="s">
        <v>1752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2863</v>
      </c>
    </row>
    <row r="1109" spans="1:14" x14ac:dyDescent="0.3">
      <c r="A1109" s="271">
        <v>1108</v>
      </c>
      <c r="B1109" s="264">
        <v>45868</v>
      </c>
      <c r="C1109" s="292" t="s">
        <v>2319</v>
      </c>
      <c r="E1109" s="292" t="s">
        <v>2919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2863</v>
      </c>
    </row>
    <row r="1110" spans="1:14" x14ac:dyDescent="0.3">
      <c r="A1110" s="271">
        <v>1109</v>
      </c>
      <c r="B1110" s="264">
        <v>45868</v>
      </c>
      <c r="C1110" s="292" t="s">
        <v>1671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2725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2319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1977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2789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3077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1452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2319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1473</v>
      </c>
      <c r="E1119" s="292" t="s">
        <v>2180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2863</v>
      </c>
    </row>
    <row r="1120" spans="1:14" x14ac:dyDescent="0.3">
      <c r="A1120" s="271">
        <v>1119</v>
      </c>
      <c r="B1120" s="264">
        <v>45869</v>
      </c>
      <c r="C1120" s="292" t="s">
        <v>1790</v>
      </c>
      <c r="E1120" s="292" t="s">
        <v>2180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2863</v>
      </c>
    </row>
    <row r="1121" spans="1:14" x14ac:dyDescent="0.3">
      <c r="A1121" s="271">
        <v>1120</v>
      </c>
      <c r="B1121" s="264">
        <v>45869</v>
      </c>
      <c r="C1121" s="292" t="s">
        <v>1790</v>
      </c>
      <c r="E1121" s="292" t="s">
        <v>2181</v>
      </c>
      <c r="F1121" s="269" t="s">
        <v>1803</v>
      </c>
      <c r="G1121" s="265">
        <v>50000</v>
      </c>
      <c r="H1121" s="269">
        <v>1</v>
      </c>
      <c r="K1121" s="265">
        <v>50000</v>
      </c>
      <c r="M1121" s="269"/>
      <c r="N1121" t="s">
        <v>2863</v>
      </c>
    </row>
    <row r="1122" spans="1:14" x14ac:dyDescent="0.3">
      <c r="A1122" s="271">
        <v>1121</v>
      </c>
      <c r="B1122" s="264">
        <v>45869</v>
      </c>
      <c r="C1122" s="292" t="s">
        <v>1498</v>
      </c>
      <c r="E1122" s="292" t="s">
        <v>1203</v>
      </c>
      <c r="F1122" s="269" t="s">
        <v>1752</v>
      </c>
      <c r="G1122" s="265">
        <v>1200000</v>
      </c>
      <c r="H1122" s="269">
        <v>1</v>
      </c>
      <c r="K1122" s="265">
        <v>1200000</v>
      </c>
      <c r="M1122" s="269"/>
      <c r="N1122" t="s">
        <v>2863</v>
      </c>
    </row>
    <row r="1123" spans="1:14" x14ac:dyDescent="0.3">
      <c r="A1123" s="271">
        <v>1122</v>
      </c>
      <c r="B1123" s="264">
        <v>45869</v>
      </c>
      <c r="C1123" s="292" t="s">
        <v>1498</v>
      </c>
      <c r="E1123" s="292" t="s">
        <v>1519</v>
      </c>
      <c r="G1123" s="265">
        <v>20000</v>
      </c>
      <c r="H1123" s="269">
        <v>1</v>
      </c>
      <c r="K1123" s="265">
        <v>20000</v>
      </c>
      <c r="M1123" s="269"/>
      <c r="N1123" t="s">
        <v>2863</v>
      </c>
    </row>
    <row r="1124" spans="1:14" x14ac:dyDescent="0.3">
      <c r="A1124" s="271">
        <v>1123</v>
      </c>
      <c r="B1124" s="264">
        <v>45869</v>
      </c>
      <c r="C1124" s="292" t="s">
        <v>1671</v>
      </c>
      <c r="E1124" s="292" t="s">
        <v>2566</v>
      </c>
      <c r="F1124" s="269" t="s">
        <v>2565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2863</v>
      </c>
    </row>
    <row r="1125" spans="1:14" x14ac:dyDescent="0.3">
      <c r="A1125" s="271">
        <v>1124</v>
      </c>
      <c r="B1125" s="264">
        <v>45869</v>
      </c>
      <c r="C1125" s="292" t="s">
        <v>1580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2863</v>
      </c>
    </row>
    <row r="1126" spans="1:14" x14ac:dyDescent="0.3">
      <c r="A1126" s="271">
        <v>1125</v>
      </c>
      <c r="B1126" s="264">
        <v>45869</v>
      </c>
      <c r="C1126" s="292" t="s">
        <v>1399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1861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1554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1498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1577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1473</v>
      </c>
      <c r="E1132" s="292" t="s">
        <v>2187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3093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1942</v>
      </c>
      <c r="E1134" s="292" t="s">
        <v>2180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1942</v>
      </c>
      <c r="E1135" s="292" t="s">
        <v>2181</v>
      </c>
      <c r="F1135" s="269" t="s">
        <v>1803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1399</v>
      </c>
      <c r="E1136" s="292" t="s">
        <v>2180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1399</v>
      </c>
      <c r="E1137" s="292" t="s">
        <v>2181</v>
      </c>
      <c r="F1137" s="269" t="s">
        <v>1803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1541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1942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1473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3093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1722</v>
      </c>
      <c r="E1142" s="292" t="s">
        <v>1716</v>
      </c>
      <c r="F1142" s="269" t="s">
        <v>1715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1330</v>
      </c>
      <c r="E1143" s="292" t="s">
        <v>3110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1473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1809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1805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1473</v>
      </c>
      <c r="E1147" s="292" t="s">
        <v>2180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1473</v>
      </c>
      <c r="E1148" s="292" t="s">
        <v>2180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2148</v>
      </c>
      <c r="E1149" s="292" t="s">
        <v>1717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1859</v>
      </c>
      <c r="F1150" s="269" t="s">
        <v>3666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1747</v>
      </c>
      <c r="E1151" s="292" t="s">
        <v>1746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1747</v>
      </c>
      <c r="E1152" s="292" t="s">
        <v>2190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1747</v>
      </c>
      <c r="E1153" s="292" t="s">
        <v>2191</v>
      </c>
      <c r="F1153" s="269" t="s">
        <v>1795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2145</v>
      </c>
      <c r="E1154" s="292" t="s">
        <v>2840</v>
      </c>
      <c r="F1154" s="269" t="s">
        <v>2750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1467</v>
      </c>
      <c r="E1155" s="292" t="s">
        <v>2194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1596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2410</v>
      </c>
      <c r="E1157" s="292" t="s">
        <v>2418</v>
      </c>
      <c r="F1157" s="269" t="s">
        <v>2748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3115</v>
      </c>
      <c r="E1158" s="292" t="s">
        <v>2196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1399</v>
      </c>
      <c r="E1159" s="292" t="s">
        <v>1203</v>
      </c>
      <c r="F1159" s="269" t="s">
        <v>1752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1399</v>
      </c>
      <c r="E1160" s="292" t="s">
        <v>2187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1399</v>
      </c>
      <c r="E1161" s="292" t="s">
        <v>2191</v>
      </c>
      <c r="F1161" s="269" t="s">
        <v>1795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1977</v>
      </c>
      <c r="E1162" s="292" t="s">
        <v>1203</v>
      </c>
      <c r="F1162" s="269" t="s">
        <v>1752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1977</v>
      </c>
      <c r="E1163" s="292" t="s">
        <v>3116</v>
      </c>
      <c r="F1163" s="269" t="s">
        <v>1752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1554</v>
      </c>
      <c r="E1164" s="292" t="s">
        <v>3117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1554</v>
      </c>
      <c r="E1165" s="292" t="s">
        <v>3118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1554</v>
      </c>
      <c r="E1166" s="292" t="s">
        <v>3119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1444</v>
      </c>
      <c r="E1167" s="292" t="s">
        <v>2180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1444</v>
      </c>
      <c r="E1168" s="292" t="s">
        <v>2181</v>
      </c>
      <c r="F1168" s="269" t="s">
        <v>1803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1977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3115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2148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1473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2410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1494</v>
      </c>
      <c r="E1174" s="292" t="s">
        <v>1203</v>
      </c>
      <c r="F1174" s="269" t="s">
        <v>1752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2112</v>
      </c>
      <c r="F1175" s="269" t="s">
        <v>2582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3120</v>
      </c>
      <c r="E1176" s="292" t="s">
        <v>2180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3120</v>
      </c>
      <c r="E1177" s="292" t="s">
        <v>2181</v>
      </c>
      <c r="F1177" s="269" t="s">
        <v>1803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1809</v>
      </c>
      <c r="E1179" s="292" t="s">
        <v>1496</v>
      </c>
      <c r="F1179" s="269" t="s">
        <v>2679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1316</v>
      </c>
      <c r="E1180" s="292" t="s">
        <v>1426</v>
      </c>
      <c r="F1180" s="269" t="s">
        <v>3142</v>
      </c>
      <c r="G1180" s="265">
        <v>1300000</v>
      </c>
      <c r="H1180" s="269">
        <v>1</v>
      </c>
      <c r="J1180" s="266" t="s">
        <v>3143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2145</v>
      </c>
      <c r="E1181" s="292" t="s">
        <v>2196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2145</v>
      </c>
      <c r="E1182" s="292" t="s">
        <v>2904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1577</v>
      </c>
      <c r="E1183" s="292" t="s">
        <v>3139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1747</v>
      </c>
      <c r="E1184" s="292" t="s">
        <v>2196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1747</v>
      </c>
      <c r="E1185" s="292" t="s">
        <v>1519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3120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2145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3136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1444</v>
      </c>
      <c r="E1189" s="292" t="s">
        <v>2805</v>
      </c>
      <c r="F1189" s="269" t="s">
        <v>2804</v>
      </c>
      <c r="G1189" s="265">
        <v>250000</v>
      </c>
      <c r="H1189" s="269">
        <v>1</v>
      </c>
      <c r="K1189" s="265">
        <v>250000</v>
      </c>
      <c r="M1189" s="269" t="s">
        <v>3144</v>
      </c>
    </row>
    <row r="1190" spans="1:13" x14ac:dyDescent="0.3">
      <c r="A1190" s="271">
        <v>1189</v>
      </c>
      <c r="B1190" s="264">
        <v>45876</v>
      </c>
      <c r="C1190" s="292" t="s">
        <v>1444</v>
      </c>
      <c r="E1190" s="292" t="s">
        <v>2183</v>
      </c>
      <c r="F1190" s="269" t="s">
        <v>1720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2783</v>
      </c>
      <c r="E1191" s="292" t="s">
        <v>2180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2783</v>
      </c>
      <c r="E1192" s="292" t="s">
        <v>2181</v>
      </c>
      <c r="F1192" s="269" t="s">
        <v>1803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2410</v>
      </c>
      <c r="E1193" s="292" t="s">
        <v>2418</v>
      </c>
      <c r="F1193" s="269" t="s">
        <v>2748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2410</v>
      </c>
      <c r="E1194" s="292" t="s">
        <v>3148</v>
      </c>
      <c r="F1194" s="269" t="s">
        <v>2748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1494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1479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1722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2783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2410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3149</v>
      </c>
      <c r="E1200" s="292" t="s">
        <v>1496</v>
      </c>
      <c r="F1200" s="269" t="s">
        <v>2679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3149</v>
      </c>
      <c r="E1201" s="292" t="s">
        <v>1519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3149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3151</v>
      </c>
      <c r="E1203" s="292" t="s">
        <v>2299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3151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2833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3161</v>
      </c>
      <c r="E1208" s="292" t="s">
        <v>2180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3161</v>
      </c>
      <c r="E1209" s="292" t="s">
        <v>2181</v>
      </c>
      <c r="F1209" s="269" t="s">
        <v>1803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1467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2319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1747</v>
      </c>
      <c r="E1212" s="292" t="s">
        <v>2188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1747</v>
      </c>
      <c r="E1213" s="292" t="s">
        <v>2192</v>
      </c>
      <c r="F1213" s="269" t="s">
        <v>1822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1580</v>
      </c>
      <c r="E1214" s="292" t="s">
        <v>1205</v>
      </c>
      <c r="F1214" s="269" t="s">
        <v>1563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1494</v>
      </c>
      <c r="E1215" s="292" t="s">
        <v>2384</v>
      </c>
      <c r="F1215" s="269" t="s">
        <v>3166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1399</v>
      </c>
      <c r="E1216" s="292" t="s">
        <v>1203</v>
      </c>
      <c r="F1216" s="269" t="s">
        <v>1752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1399</v>
      </c>
      <c r="E1217" s="292" t="s">
        <v>1496</v>
      </c>
      <c r="F1217" s="269" t="s">
        <v>2679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1399</v>
      </c>
      <c r="E1218" s="292" t="s">
        <v>2840</v>
      </c>
      <c r="F1218" s="269" t="s">
        <v>2750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1894</v>
      </c>
      <c r="E1219" s="292" t="s">
        <v>1203</v>
      </c>
      <c r="F1219" s="269" t="s">
        <v>1752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2916</v>
      </c>
      <c r="E1220" s="292" t="s">
        <v>2180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2916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1467</v>
      </c>
      <c r="E1222" s="292" t="s">
        <v>2027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1473</v>
      </c>
      <c r="E1223" s="292" t="s">
        <v>2187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2319</v>
      </c>
      <c r="E1224" s="292" t="s">
        <v>2775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3175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2466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3177</v>
      </c>
    </row>
    <row r="1226" spans="1:13" x14ac:dyDescent="0.3">
      <c r="A1226" s="271">
        <v>1225</v>
      </c>
      <c r="B1226" s="264">
        <v>45881</v>
      </c>
      <c r="C1226" s="292" t="s">
        <v>1671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2319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1809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3161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1805</v>
      </c>
      <c r="E1230" s="292" t="s">
        <v>2187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1805</v>
      </c>
      <c r="E1231" s="292" t="s">
        <v>2188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1580</v>
      </c>
      <c r="E1232" s="292" t="s">
        <v>2187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1399</v>
      </c>
      <c r="E1233" s="292" t="s">
        <v>2418</v>
      </c>
      <c r="F1233" s="269" t="s">
        <v>2748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1399</v>
      </c>
      <c r="E1234" s="292" t="s">
        <v>2187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1399</v>
      </c>
      <c r="E1235" s="292" t="s">
        <v>2192</v>
      </c>
      <c r="F1235" s="269" t="s">
        <v>1822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1399</v>
      </c>
      <c r="E1236" s="292" t="s">
        <v>2191</v>
      </c>
      <c r="F1236" s="269" t="s">
        <v>1795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1577</v>
      </c>
      <c r="E1237" s="292" t="s">
        <v>2187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1577</v>
      </c>
      <c r="E1238" s="292" t="s">
        <v>2190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1577</v>
      </c>
      <c r="E1239" s="292" t="s">
        <v>2191</v>
      </c>
      <c r="F1239" s="269" t="s">
        <v>1795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1577</v>
      </c>
      <c r="E1240" s="292" t="s">
        <v>2192</v>
      </c>
      <c r="F1240" s="269" t="s">
        <v>1822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1577</v>
      </c>
      <c r="E1241" s="292" t="s">
        <v>2194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2188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2190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2192</v>
      </c>
      <c r="F1244" s="269" t="s">
        <v>1822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2191</v>
      </c>
      <c r="F1245" s="269" t="s">
        <v>1795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3186</v>
      </c>
      <c r="E1246" s="292" t="s">
        <v>1203</v>
      </c>
      <c r="F1246" s="269" t="s">
        <v>1752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3186</v>
      </c>
      <c r="E1247" s="292" t="s">
        <v>1496</v>
      </c>
      <c r="F1247" s="269" t="s">
        <v>2679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3183</v>
      </c>
      <c r="E1248" s="292" t="s">
        <v>3191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3186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3183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1290</v>
      </c>
      <c r="E1251" s="292" t="s">
        <v>1646</v>
      </c>
      <c r="F1251" s="269" t="s">
        <v>2348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3206</v>
      </c>
    </row>
    <row r="1252" spans="1:13" x14ac:dyDescent="0.3">
      <c r="A1252" s="271">
        <v>1251</v>
      </c>
      <c r="B1252" s="264">
        <v>45883</v>
      </c>
      <c r="C1252" s="292" t="s">
        <v>1494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1479</v>
      </c>
      <c r="E1253" s="292" t="s">
        <v>2187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1479</v>
      </c>
      <c r="E1254" s="292" t="s">
        <v>2188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1479</v>
      </c>
      <c r="E1255" s="292" t="s">
        <v>2192</v>
      </c>
      <c r="F1255" s="269" t="s">
        <v>1822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1580</v>
      </c>
      <c r="E1256" s="292" t="s">
        <v>3196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2180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2187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1228</v>
      </c>
      <c r="E1259" s="292" t="s">
        <v>2186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3199</v>
      </c>
    </row>
    <row r="1260" spans="1:13" x14ac:dyDescent="0.3">
      <c r="A1260" s="271">
        <v>1259</v>
      </c>
      <c r="B1260" s="264">
        <v>45883</v>
      </c>
      <c r="C1260" s="292" t="s">
        <v>3201</v>
      </c>
      <c r="E1260" s="292" t="s">
        <v>1743</v>
      </c>
      <c r="G1260" s="265">
        <v>600000</v>
      </c>
      <c r="H1260" s="269">
        <v>1</v>
      </c>
      <c r="K1260" s="265">
        <v>600000</v>
      </c>
      <c r="M1260" s="269" t="s">
        <v>3202</v>
      </c>
    </row>
    <row r="1261" spans="1:13" x14ac:dyDescent="0.3">
      <c r="A1261" s="271">
        <v>1260</v>
      </c>
      <c r="B1261" s="264">
        <v>45883</v>
      </c>
      <c r="C1261" s="292" t="s">
        <v>1321</v>
      </c>
      <c r="E1261" s="292" t="s">
        <v>3329</v>
      </c>
      <c r="F1261" s="269" t="s">
        <v>3330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2410</v>
      </c>
      <c r="E1265" s="292" t="s">
        <v>2680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1894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1334</v>
      </c>
      <c r="E1267" s="292" t="s">
        <v>3217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1399</v>
      </c>
      <c r="E1268" s="292" t="s">
        <v>2651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3209</v>
      </c>
      <c r="E1269" s="292" t="s">
        <v>2299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3209</v>
      </c>
      <c r="E1270" s="292" t="s">
        <v>2840</v>
      </c>
      <c r="F1270" s="269" t="s">
        <v>2750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1722</v>
      </c>
      <c r="E1271" s="292" t="s">
        <v>2187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1722</v>
      </c>
      <c r="E1272" s="292" t="s">
        <v>2188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3201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2410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1449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1399</v>
      </c>
      <c r="E1276" s="292" t="s">
        <v>1743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1479</v>
      </c>
      <c r="E1277" s="292" t="s">
        <v>2187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1479</v>
      </c>
      <c r="E1278" s="292" t="s">
        <v>2188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1479</v>
      </c>
      <c r="E1279" s="292" t="s">
        <v>2192</v>
      </c>
      <c r="F1279" s="269" t="s">
        <v>1822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1479</v>
      </c>
      <c r="E1280" s="292" t="s">
        <v>2191</v>
      </c>
      <c r="F1280" s="269" t="s">
        <v>1795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1479</v>
      </c>
      <c r="E1281" s="292" t="s">
        <v>1203</v>
      </c>
      <c r="F1281" s="269" t="s">
        <v>1752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1479</v>
      </c>
      <c r="E1282" s="292" t="s">
        <v>1496</v>
      </c>
      <c r="F1282" s="269" t="s">
        <v>2679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1444</v>
      </c>
      <c r="E1283" s="292" t="s">
        <v>2196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1444</v>
      </c>
      <c r="E1284" s="292" t="s">
        <v>2056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1467</v>
      </c>
      <c r="E1285" s="292" t="s">
        <v>3221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1467</v>
      </c>
      <c r="E1286" s="292" t="s">
        <v>3221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3222</v>
      </c>
    </row>
    <row r="1287" spans="1:13" x14ac:dyDescent="0.3">
      <c r="A1287" s="271">
        <v>1286</v>
      </c>
      <c r="B1287" s="264">
        <v>45887</v>
      </c>
      <c r="C1287" s="292" t="s">
        <v>1334</v>
      </c>
      <c r="E1287" s="292" t="s">
        <v>1219</v>
      </c>
      <c r="F1287" s="269" t="s">
        <v>2162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1977</v>
      </c>
      <c r="E1288" s="292" t="s">
        <v>2180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3226</v>
      </c>
    </row>
    <row r="1289" spans="1:13" x14ac:dyDescent="0.3">
      <c r="A1289" s="271">
        <v>1288</v>
      </c>
      <c r="B1289" s="264">
        <v>45887</v>
      </c>
      <c r="C1289" s="292" t="s">
        <v>1319</v>
      </c>
      <c r="E1289" s="292" t="s">
        <v>1723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1598</v>
      </c>
      <c r="E1290" s="292" t="s">
        <v>2180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3228</v>
      </c>
    </row>
    <row r="1291" spans="1:13" x14ac:dyDescent="0.3">
      <c r="A1291" s="271">
        <v>1290</v>
      </c>
      <c r="B1291" s="264">
        <v>45887</v>
      </c>
      <c r="C1291" s="292" t="s">
        <v>1977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1454</v>
      </c>
      <c r="E1292" s="292" t="s">
        <v>2180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3230</v>
      </c>
    </row>
    <row r="1293" spans="1:13" x14ac:dyDescent="0.3">
      <c r="A1293" s="271">
        <v>1292</v>
      </c>
      <c r="B1293" s="264">
        <v>45887</v>
      </c>
      <c r="C1293" s="292" t="s">
        <v>3209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1449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1577</v>
      </c>
      <c r="E1295" s="292" t="s">
        <v>2846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1577</v>
      </c>
      <c r="E1296" s="292" t="s">
        <v>2775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3232</v>
      </c>
    </row>
    <row r="1297" spans="1:14" x14ac:dyDescent="0.3">
      <c r="A1297" s="271">
        <v>1296</v>
      </c>
      <c r="B1297" s="264">
        <v>45888</v>
      </c>
      <c r="C1297" s="292" t="s">
        <v>1577</v>
      </c>
      <c r="E1297" s="292" t="s">
        <v>1519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1399</v>
      </c>
      <c r="E1298" s="292" t="s">
        <v>2027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1473</v>
      </c>
      <c r="E1299" s="292" t="s">
        <v>2290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1598</v>
      </c>
      <c r="E1300" s="292" t="s">
        <v>1203</v>
      </c>
      <c r="F1300" s="269" t="s">
        <v>1752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1399</v>
      </c>
      <c r="E1301" s="292" t="s">
        <v>1743</v>
      </c>
      <c r="G1301" s="265">
        <v>650000</v>
      </c>
      <c r="H1301" s="269">
        <v>1</v>
      </c>
      <c r="K1301" s="265">
        <v>650000</v>
      </c>
      <c r="M1301" s="269" t="s">
        <v>3237</v>
      </c>
    </row>
    <row r="1302" spans="1:14" x14ac:dyDescent="0.3">
      <c r="A1302" s="271">
        <v>1301</v>
      </c>
      <c r="B1302" s="264">
        <v>45888</v>
      </c>
      <c r="C1302" s="292" t="s">
        <v>1598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2610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2186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3239</v>
      </c>
    </row>
    <row r="1305" spans="1:14" x14ac:dyDescent="0.3">
      <c r="A1305" s="271">
        <v>1304</v>
      </c>
      <c r="B1305" s="264">
        <v>45889</v>
      </c>
      <c r="C1305" s="292" t="s">
        <v>1541</v>
      </c>
      <c r="E1305" s="292" t="s">
        <v>1743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2180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2181</v>
      </c>
      <c r="F1307" s="269" t="s">
        <v>1803</v>
      </c>
      <c r="G1307" s="265">
        <v>50000</v>
      </c>
      <c r="H1307" s="269">
        <v>1</v>
      </c>
      <c r="K1307" s="265">
        <v>50000</v>
      </c>
      <c r="M1307" s="269" t="s">
        <v>3243</v>
      </c>
    </row>
    <row r="1308" spans="1:14" x14ac:dyDescent="0.3">
      <c r="A1308" s="271">
        <v>1307</v>
      </c>
      <c r="B1308" s="264">
        <v>45889</v>
      </c>
      <c r="C1308" s="292" t="s">
        <v>2558</v>
      </c>
      <c r="E1308" s="292" t="s">
        <v>1743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2261</v>
      </c>
      <c r="E1309" s="292" t="s">
        <v>1203</v>
      </c>
      <c r="F1309" s="269" t="s">
        <v>1752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2367</v>
      </c>
      <c r="E1310" s="292" t="s">
        <v>3246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1378</v>
      </c>
      <c r="E1311" s="292" t="s">
        <v>1717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3482</v>
      </c>
    </row>
    <row r="1312" spans="1:14" x14ac:dyDescent="0.3">
      <c r="A1312" s="271">
        <v>1311</v>
      </c>
      <c r="B1312" s="264">
        <v>45890</v>
      </c>
      <c r="C1312" s="292" t="s">
        <v>2916</v>
      </c>
      <c r="E1312" s="292" t="s">
        <v>2290</v>
      </c>
      <c r="G1312" s="265">
        <v>1500000</v>
      </c>
      <c r="H1312" s="269">
        <v>1</v>
      </c>
      <c r="K1312" s="265">
        <v>1500000</v>
      </c>
      <c r="M1312" s="269"/>
      <c r="N1312" t="s">
        <v>3482</v>
      </c>
    </row>
    <row r="1313" spans="1:14" x14ac:dyDescent="0.3">
      <c r="A1313" s="271">
        <v>1312</v>
      </c>
      <c r="B1313" s="264">
        <v>45890</v>
      </c>
      <c r="C1313" s="292" t="s">
        <v>1580</v>
      </c>
      <c r="E1313" s="292" t="s">
        <v>1744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1580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2558</v>
      </c>
      <c r="E1315" s="292" t="s">
        <v>2178</v>
      </c>
      <c r="F1315" s="269" t="s">
        <v>1464</v>
      </c>
      <c r="G1315" s="265">
        <v>1500000</v>
      </c>
      <c r="H1315" s="269">
        <v>1</v>
      </c>
      <c r="K1315" s="265">
        <v>1500000</v>
      </c>
      <c r="M1315" s="269"/>
      <c r="N1315" t="s">
        <v>3482</v>
      </c>
    </row>
    <row r="1316" spans="1:14" x14ac:dyDescent="0.3">
      <c r="A1316" s="271">
        <v>1315</v>
      </c>
      <c r="B1316" s="264">
        <v>45890</v>
      </c>
      <c r="C1316" s="292" t="s">
        <v>1722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3252</v>
      </c>
    </row>
    <row r="1317" spans="1:14" x14ac:dyDescent="0.3">
      <c r="A1317" s="271">
        <v>1316</v>
      </c>
      <c r="B1317" s="264">
        <v>45890</v>
      </c>
      <c r="C1317" s="292" t="s">
        <v>1399</v>
      </c>
      <c r="E1317" s="292" t="s">
        <v>2180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1399</v>
      </c>
      <c r="E1318" s="292" t="s">
        <v>3254</v>
      </c>
      <c r="H1318" s="269">
        <v>1</v>
      </c>
      <c r="L1318" s="265">
        <v>-600000</v>
      </c>
      <c r="M1318" s="269" t="s">
        <v>3255</v>
      </c>
    </row>
    <row r="1319" spans="1:14" x14ac:dyDescent="0.3">
      <c r="A1319" s="271">
        <v>1318</v>
      </c>
      <c r="B1319" s="264">
        <v>45890</v>
      </c>
      <c r="C1319" s="292" t="s">
        <v>1399</v>
      </c>
      <c r="E1319" s="292" t="s">
        <v>2181</v>
      </c>
      <c r="F1319" s="269" t="s">
        <v>1803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3120</v>
      </c>
      <c r="E1320" s="292" t="s">
        <v>2418</v>
      </c>
      <c r="F1320" s="269" t="s">
        <v>2748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3482</v>
      </c>
    </row>
    <row r="1321" spans="1:14" x14ac:dyDescent="0.3">
      <c r="A1321" s="271">
        <v>1320</v>
      </c>
      <c r="B1321" s="264">
        <v>45890</v>
      </c>
      <c r="C1321" s="292" t="s">
        <v>2916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3120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2261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2558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1454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2858</v>
      </c>
      <c r="E1326" s="292" t="s">
        <v>2814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3482</v>
      </c>
    </row>
    <row r="1327" spans="1:14" x14ac:dyDescent="0.3">
      <c r="A1327" s="271">
        <v>1326</v>
      </c>
      <c r="B1327" s="264">
        <v>45891</v>
      </c>
      <c r="C1327" s="292" t="s">
        <v>1812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3482</v>
      </c>
    </row>
    <row r="1328" spans="1:14" x14ac:dyDescent="0.3">
      <c r="A1328" s="271">
        <v>1327</v>
      </c>
      <c r="B1328" s="264">
        <v>45891</v>
      </c>
      <c r="C1328" s="292" t="s">
        <v>1812</v>
      </c>
      <c r="E1328" s="292" t="s">
        <v>2187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3260</v>
      </c>
      <c r="N1328" t="s">
        <v>3482</v>
      </c>
    </row>
    <row r="1329" spans="1:14" x14ac:dyDescent="0.3">
      <c r="A1329" s="271">
        <v>1328</v>
      </c>
      <c r="B1329" s="264">
        <v>45891</v>
      </c>
      <c r="C1329" s="292" t="s">
        <v>3262</v>
      </c>
      <c r="E1329" s="292" t="s">
        <v>3265</v>
      </c>
      <c r="G1329" s="265">
        <v>200000</v>
      </c>
      <c r="H1329" s="269">
        <v>1</v>
      </c>
      <c r="K1329" s="265">
        <v>200000</v>
      </c>
      <c r="M1329" s="269"/>
      <c r="N1329" t="s">
        <v>3482</v>
      </c>
    </row>
    <row r="1330" spans="1:14" x14ac:dyDescent="0.3">
      <c r="A1330" s="271">
        <v>1329</v>
      </c>
      <c r="B1330" s="264">
        <v>45891</v>
      </c>
      <c r="C1330" s="292" t="s">
        <v>1319</v>
      </c>
      <c r="E1330" s="292" t="s">
        <v>1723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3482</v>
      </c>
    </row>
    <row r="1331" spans="1:14" x14ac:dyDescent="0.3">
      <c r="A1331" s="271">
        <v>1330</v>
      </c>
      <c r="B1331" s="264">
        <v>45891</v>
      </c>
      <c r="C1331" s="292" t="s">
        <v>3268</v>
      </c>
      <c r="E1331" s="292" t="s">
        <v>3269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3270</v>
      </c>
      <c r="N1331" t="s">
        <v>3482</v>
      </c>
    </row>
    <row r="1332" spans="1:14" x14ac:dyDescent="0.3">
      <c r="A1332" s="271">
        <v>1331</v>
      </c>
      <c r="B1332" s="264">
        <v>45891</v>
      </c>
      <c r="C1332" s="292" t="s">
        <v>3262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3268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2858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2558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3482</v>
      </c>
    </row>
    <row r="1337" spans="1:14" x14ac:dyDescent="0.3">
      <c r="A1337" s="271">
        <v>1336</v>
      </c>
      <c r="B1337" s="264">
        <v>45892</v>
      </c>
      <c r="C1337" s="292" t="s">
        <v>2610</v>
      </c>
      <c r="E1337" s="292" t="s">
        <v>1746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1378</v>
      </c>
      <c r="E1338" s="292" t="s">
        <v>1746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1399</v>
      </c>
      <c r="E1341" s="292" t="s">
        <v>1744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3482</v>
      </c>
    </row>
    <row r="1342" spans="1:14" x14ac:dyDescent="0.3">
      <c r="A1342" s="271">
        <v>1341</v>
      </c>
      <c r="B1342" s="264">
        <v>45894</v>
      </c>
      <c r="C1342" s="292" t="s">
        <v>1399</v>
      </c>
      <c r="E1342" s="292" t="s">
        <v>1203</v>
      </c>
      <c r="F1342" s="269" t="s">
        <v>1752</v>
      </c>
      <c r="G1342" s="265">
        <v>1200000</v>
      </c>
      <c r="H1342" s="269">
        <v>1</v>
      </c>
      <c r="K1342" s="265">
        <v>1200000</v>
      </c>
      <c r="M1342" s="269"/>
      <c r="N1342" t="s">
        <v>3482</v>
      </c>
    </row>
    <row r="1343" spans="1:14" x14ac:dyDescent="0.3">
      <c r="A1343" s="271">
        <v>1342</v>
      </c>
      <c r="B1343" s="264">
        <v>45894</v>
      </c>
      <c r="C1343" s="292" t="s">
        <v>1399</v>
      </c>
      <c r="E1343" s="292" t="s">
        <v>2840</v>
      </c>
      <c r="F1343" s="269" t="s">
        <v>2750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1399</v>
      </c>
      <c r="E1344" s="292" t="s">
        <v>2187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3482</v>
      </c>
    </row>
    <row r="1345" spans="1:14" x14ac:dyDescent="0.3">
      <c r="A1345" s="271">
        <v>1344</v>
      </c>
      <c r="B1345" s="264">
        <v>45894</v>
      </c>
      <c r="C1345" s="292" t="s">
        <v>1399</v>
      </c>
      <c r="E1345" s="292" t="s">
        <v>2188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3482</v>
      </c>
    </row>
    <row r="1346" spans="1:14" x14ac:dyDescent="0.3">
      <c r="A1346" s="271">
        <v>1345</v>
      </c>
      <c r="B1346" s="264">
        <v>45894</v>
      </c>
      <c r="C1346" s="292" t="s">
        <v>1399</v>
      </c>
      <c r="E1346" s="292" t="s">
        <v>2191</v>
      </c>
      <c r="F1346" s="269" t="s">
        <v>1795</v>
      </c>
      <c r="G1346" s="265">
        <v>30000</v>
      </c>
      <c r="H1346" s="269">
        <v>1</v>
      </c>
      <c r="K1346" s="265">
        <v>30000</v>
      </c>
      <c r="M1346" s="269"/>
      <c r="N1346" t="s">
        <v>3482</v>
      </c>
    </row>
    <row r="1347" spans="1:14" x14ac:dyDescent="0.3">
      <c r="A1347" s="271">
        <v>1346</v>
      </c>
      <c r="B1347" s="264">
        <v>45894</v>
      </c>
      <c r="C1347" s="292" t="s">
        <v>1399</v>
      </c>
      <c r="E1347" s="292" t="s">
        <v>2192</v>
      </c>
      <c r="F1347" s="269" t="s">
        <v>1822</v>
      </c>
      <c r="G1347" s="265">
        <v>10000</v>
      </c>
      <c r="H1347" s="269">
        <v>1</v>
      </c>
      <c r="K1347" s="265">
        <v>10000</v>
      </c>
      <c r="M1347" s="269"/>
      <c r="N1347" t="s">
        <v>3482</v>
      </c>
    </row>
    <row r="1348" spans="1:14" x14ac:dyDescent="0.3">
      <c r="A1348" s="271">
        <v>1347</v>
      </c>
      <c r="B1348" s="264">
        <v>45894</v>
      </c>
      <c r="C1348" s="292" t="s">
        <v>1805</v>
      </c>
      <c r="E1348" s="292" t="s">
        <v>2187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1805</v>
      </c>
      <c r="E1349" s="292" t="s">
        <v>2188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1805</v>
      </c>
      <c r="E1350" s="292" t="s">
        <v>2191</v>
      </c>
      <c r="F1350" s="269" t="s">
        <v>1795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1805</v>
      </c>
      <c r="E1351" s="292" t="s">
        <v>2192</v>
      </c>
      <c r="F1351" s="269" t="s">
        <v>1822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3120</v>
      </c>
      <c r="E1352" s="292" t="s">
        <v>3281</v>
      </c>
      <c r="F1352" s="269" t="s">
        <v>3282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3482</v>
      </c>
    </row>
    <row r="1353" spans="1:14" x14ac:dyDescent="0.3">
      <c r="A1353" s="271">
        <v>1352</v>
      </c>
      <c r="B1353" s="264">
        <v>45894</v>
      </c>
      <c r="C1353" s="292" t="s">
        <v>2916</v>
      </c>
      <c r="E1353" s="292" t="s">
        <v>2137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3482</v>
      </c>
    </row>
    <row r="1354" spans="1:14" x14ac:dyDescent="0.3">
      <c r="A1354" s="271">
        <v>1353</v>
      </c>
      <c r="B1354" s="264">
        <v>45894</v>
      </c>
      <c r="C1354" s="292" t="s">
        <v>1577</v>
      </c>
      <c r="E1354" s="292" t="s">
        <v>2919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3482</v>
      </c>
    </row>
    <row r="1355" spans="1:14" x14ac:dyDescent="0.3">
      <c r="A1355" s="271">
        <v>1354</v>
      </c>
      <c r="B1355" s="264">
        <v>45894</v>
      </c>
      <c r="C1355" s="292" t="s">
        <v>2292</v>
      </c>
      <c r="E1355" s="292" t="s">
        <v>3070</v>
      </c>
      <c r="F1355" s="269" t="s">
        <v>2327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3482</v>
      </c>
    </row>
    <row r="1356" spans="1:14" x14ac:dyDescent="0.3">
      <c r="A1356" s="271">
        <v>1355</v>
      </c>
      <c r="B1356" s="264">
        <v>45894</v>
      </c>
      <c r="C1356" s="292" t="s">
        <v>2558</v>
      </c>
      <c r="E1356" s="292" t="s">
        <v>2027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3482</v>
      </c>
    </row>
    <row r="1357" spans="1:14" x14ac:dyDescent="0.3">
      <c r="A1357" s="271">
        <v>1356</v>
      </c>
      <c r="B1357" s="264">
        <v>45894</v>
      </c>
      <c r="C1357" s="292" t="s">
        <v>2558</v>
      </c>
      <c r="E1357" s="292" t="s">
        <v>1740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3482</v>
      </c>
    </row>
    <row r="1358" spans="1:14" x14ac:dyDescent="0.3">
      <c r="A1358" s="271">
        <v>1357</v>
      </c>
      <c r="B1358" s="264">
        <v>45894</v>
      </c>
      <c r="C1358" s="292" t="s">
        <v>3289</v>
      </c>
      <c r="E1358" s="292" t="s">
        <v>2180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3482</v>
      </c>
    </row>
    <row r="1359" spans="1:14" x14ac:dyDescent="0.3">
      <c r="A1359" s="271">
        <v>1358</v>
      </c>
      <c r="B1359" s="264">
        <v>45894</v>
      </c>
      <c r="C1359" s="292" t="s">
        <v>3289</v>
      </c>
      <c r="E1359" s="292" t="s">
        <v>2180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3482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3482</v>
      </c>
    </row>
    <row r="1361" spans="1:14" x14ac:dyDescent="0.3">
      <c r="A1361" s="271">
        <v>1360</v>
      </c>
      <c r="B1361" s="264">
        <v>45894</v>
      </c>
      <c r="C1361" s="292" t="s">
        <v>2410</v>
      </c>
      <c r="E1361" s="292" t="s">
        <v>3296</v>
      </c>
      <c r="G1361" s="265">
        <v>300000</v>
      </c>
      <c r="H1361" s="269">
        <v>1</v>
      </c>
      <c r="K1361" s="265">
        <v>300000</v>
      </c>
      <c r="M1361" s="269"/>
      <c r="N1361" t="s">
        <v>3482</v>
      </c>
    </row>
    <row r="1362" spans="1:14" x14ac:dyDescent="0.3">
      <c r="A1362" s="271">
        <v>1361</v>
      </c>
      <c r="B1362" s="264">
        <v>45894</v>
      </c>
      <c r="C1362" s="292" t="s">
        <v>2306</v>
      </c>
      <c r="E1362" s="292" t="s">
        <v>2299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3482</v>
      </c>
    </row>
    <row r="1363" spans="1:14" x14ac:dyDescent="0.3">
      <c r="A1363" s="271">
        <v>1362</v>
      </c>
      <c r="B1363" s="264">
        <v>45894</v>
      </c>
      <c r="C1363" s="292" t="s">
        <v>1577</v>
      </c>
      <c r="E1363" s="292" t="s">
        <v>2187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3482</v>
      </c>
    </row>
    <row r="1364" spans="1:14" x14ac:dyDescent="0.3">
      <c r="A1364" s="271">
        <v>1363</v>
      </c>
      <c r="B1364" s="264">
        <v>45894</v>
      </c>
      <c r="C1364" s="292" t="s">
        <v>1274</v>
      </c>
      <c r="E1364" s="292" t="s">
        <v>2986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3482</v>
      </c>
    </row>
    <row r="1365" spans="1:14" x14ac:dyDescent="0.3">
      <c r="A1365" s="271">
        <v>1364</v>
      </c>
      <c r="B1365" s="264">
        <v>45894</v>
      </c>
      <c r="C1365" s="292" t="s">
        <v>1577</v>
      </c>
      <c r="E1365" s="292" t="s">
        <v>2191</v>
      </c>
      <c r="F1365" s="269" t="s">
        <v>1795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3482</v>
      </c>
    </row>
    <row r="1366" spans="1:14" x14ac:dyDescent="0.3">
      <c r="A1366" s="271">
        <v>1365</v>
      </c>
      <c r="B1366" s="264">
        <v>45894</v>
      </c>
      <c r="C1366" s="292" t="s">
        <v>1577</v>
      </c>
      <c r="E1366" s="292" t="s">
        <v>2192</v>
      </c>
      <c r="F1366" s="269" t="s">
        <v>1822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3482</v>
      </c>
    </row>
    <row r="1367" spans="1:14" x14ac:dyDescent="0.3">
      <c r="A1367" s="271">
        <v>1366</v>
      </c>
      <c r="B1367" s="264">
        <v>45894</v>
      </c>
      <c r="C1367" s="292" t="s">
        <v>1577</v>
      </c>
      <c r="E1367" s="292" t="s">
        <v>2194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3482</v>
      </c>
    </row>
    <row r="1368" spans="1:14" x14ac:dyDescent="0.3">
      <c r="A1368" s="271">
        <v>1367</v>
      </c>
      <c r="B1368" s="264">
        <v>45894</v>
      </c>
      <c r="C1368" s="292" t="s">
        <v>1577</v>
      </c>
      <c r="E1368" s="292" t="s">
        <v>2187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3482</v>
      </c>
    </row>
    <row r="1369" spans="1:14" x14ac:dyDescent="0.3">
      <c r="A1369" s="271">
        <v>1368</v>
      </c>
      <c r="B1369" s="264">
        <v>45894</v>
      </c>
      <c r="C1369" s="292" t="s">
        <v>1577</v>
      </c>
      <c r="E1369" s="292" t="s">
        <v>2190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3482</v>
      </c>
    </row>
    <row r="1370" spans="1:14" x14ac:dyDescent="0.3">
      <c r="A1370" s="271">
        <v>1369</v>
      </c>
      <c r="B1370" s="264">
        <v>45894</v>
      </c>
      <c r="C1370" s="292" t="s">
        <v>1577</v>
      </c>
      <c r="E1370" s="292" t="s">
        <v>2191</v>
      </c>
      <c r="F1370" s="269" t="s">
        <v>1795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3482</v>
      </c>
    </row>
    <row r="1371" spans="1:14" x14ac:dyDescent="0.3">
      <c r="A1371" s="271">
        <v>1370</v>
      </c>
      <c r="B1371" s="264">
        <v>45894</v>
      </c>
      <c r="C1371" s="292" t="s">
        <v>1577</v>
      </c>
      <c r="E1371" s="292" t="s">
        <v>2192</v>
      </c>
      <c r="F1371" s="269" t="s">
        <v>1822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3482</v>
      </c>
    </row>
    <row r="1372" spans="1:14" x14ac:dyDescent="0.3">
      <c r="A1372" s="271">
        <v>1371</v>
      </c>
      <c r="B1372" s="264">
        <v>45894</v>
      </c>
      <c r="C1372" s="292" t="s">
        <v>1577</v>
      </c>
      <c r="E1372" s="292" t="s">
        <v>2194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3482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2187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2215</v>
      </c>
      <c r="E1374" s="292" t="s">
        <v>2986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1444</v>
      </c>
      <c r="E1375" s="292" t="s">
        <v>3302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1444</v>
      </c>
      <c r="E1376" s="292" t="s">
        <v>3303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1580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2410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2292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2916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3289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1541</v>
      </c>
      <c r="E1383" s="292" t="s">
        <v>1919</v>
      </c>
      <c r="G1383" s="265">
        <v>2500000</v>
      </c>
      <c r="H1383" s="269">
        <v>1</v>
      </c>
      <c r="K1383" s="265">
        <v>2500000</v>
      </c>
      <c r="M1383" s="269"/>
      <c r="N1383" t="s">
        <v>3482</v>
      </c>
    </row>
    <row r="1384" spans="1:14" x14ac:dyDescent="0.3">
      <c r="A1384" s="271">
        <v>1383</v>
      </c>
      <c r="B1384" s="264">
        <v>45895</v>
      </c>
      <c r="C1384" s="292" t="s">
        <v>1469</v>
      </c>
      <c r="E1384" s="292" t="s">
        <v>1916</v>
      </c>
      <c r="F1384" s="269" t="s">
        <v>2054</v>
      </c>
      <c r="G1384" s="265">
        <v>1500000</v>
      </c>
      <c r="H1384" s="269">
        <v>1</v>
      </c>
      <c r="K1384" s="265">
        <v>1500000</v>
      </c>
      <c r="M1384" s="269"/>
      <c r="N1384" t="s">
        <v>3482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2186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1580</v>
      </c>
      <c r="E1386" s="292" t="s">
        <v>3308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1444</v>
      </c>
      <c r="E1387" s="292" t="s">
        <v>2187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3482</v>
      </c>
    </row>
    <row r="1388" spans="1:14" x14ac:dyDescent="0.3">
      <c r="A1388" s="271">
        <v>1387</v>
      </c>
      <c r="B1388" s="264">
        <v>45895</v>
      </c>
      <c r="C1388" s="292" t="s">
        <v>1444</v>
      </c>
      <c r="E1388" s="292" t="s">
        <v>2190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3482</v>
      </c>
    </row>
    <row r="1389" spans="1:14" x14ac:dyDescent="0.3">
      <c r="A1389" s="271">
        <v>1388</v>
      </c>
      <c r="B1389" s="264">
        <v>45895</v>
      </c>
      <c r="C1389" s="292" t="s">
        <v>1444</v>
      </c>
      <c r="E1389" s="292" t="s">
        <v>2191</v>
      </c>
      <c r="F1389" s="269" t="s">
        <v>1795</v>
      </c>
      <c r="G1389" s="265">
        <v>35000</v>
      </c>
      <c r="H1389" s="269">
        <v>1</v>
      </c>
      <c r="K1389" s="265">
        <v>35000</v>
      </c>
      <c r="M1389" s="269"/>
      <c r="N1389" t="s">
        <v>3482</v>
      </c>
    </row>
    <row r="1390" spans="1:14" x14ac:dyDescent="0.3">
      <c r="A1390" s="271">
        <v>1389</v>
      </c>
      <c r="B1390" s="264">
        <v>45895</v>
      </c>
      <c r="C1390" s="292" t="s">
        <v>1444</v>
      </c>
      <c r="E1390" s="292" t="s">
        <v>1717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3482</v>
      </c>
    </row>
    <row r="1391" spans="1:14" x14ac:dyDescent="0.3">
      <c r="A1391" s="271">
        <v>1390</v>
      </c>
      <c r="B1391" s="264">
        <v>45895</v>
      </c>
      <c r="C1391" s="292" t="s">
        <v>2858</v>
      </c>
      <c r="E1391" s="292" t="s">
        <v>3312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3482</v>
      </c>
    </row>
    <row r="1392" spans="1:14" x14ac:dyDescent="0.3">
      <c r="A1392" s="271">
        <v>1391</v>
      </c>
      <c r="B1392" s="264">
        <v>45895</v>
      </c>
      <c r="C1392" s="292" t="s">
        <v>2858</v>
      </c>
      <c r="E1392" s="292" t="s">
        <v>1519</v>
      </c>
      <c r="G1392" s="265">
        <v>25000</v>
      </c>
      <c r="H1392" s="269">
        <v>1</v>
      </c>
      <c r="K1392" s="265">
        <v>25000</v>
      </c>
      <c r="M1392" s="269"/>
      <c r="N1392" t="s">
        <v>3482</v>
      </c>
    </row>
    <row r="1393" spans="1:14" x14ac:dyDescent="0.3">
      <c r="A1393" s="271">
        <v>1392</v>
      </c>
      <c r="B1393" s="264">
        <v>45895</v>
      </c>
      <c r="C1393" s="292" t="s">
        <v>2858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1790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2306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1341</v>
      </c>
      <c r="E1396" s="292" t="s">
        <v>1219</v>
      </c>
      <c r="F1396" s="269" t="s">
        <v>2162</v>
      </c>
      <c r="G1396" s="265">
        <v>1100000</v>
      </c>
      <c r="H1396" s="269">
        <v>1</v>
      </c>
      <c r="K1396" s="265">
        <v>1100000</v>
      </c>
      <c r="M1396" s="269"/>
      <c r="N1396" t="s">
        <v>3482</v>
      </c>
    </row>
    <row r="1397" spans="1:14" x14ac:dyDescent="0.3">
      <c r="A1397" s="271">
        <v>1396</v>
      </c>
      <c r="B1397" s="264">
        <v>45896</v>
      </c>
      <c r="C1397" s="292" t="s">
        <v>1473</v>
      </c>
      <c r="E1397" s="292" t="s">
        <v>3316</v>
      </c>
      <c r="F1397" s="269" t="s">
        <v>3317</v>
      </c>
      <c r="M1397" s="269"/>
      <c r="N1397" t="s">
        <v>3482</v>
      </c>
    </row>
    <row r="1398" spans="1:14" x14ac:dyDescent="0.3">
      <c r="A1398" s="271">
        <v>1397</v>
      </c>
      <c r="B1398" s="264">
        <v>45896</v>
      </c>
      <c r="C1398" s="292" t="s">
        <v>3115</v>
      </c>
      <c r="E1398" s="292" t="s">
        <v>2178</v>
      </c>
      <c r="F1398" s="269" t="s">
        <v>1464</v>
      </c>
      <c r="G1398" s="265">
        <v>2500000</v>
      </c>
      <c r="H1398" s="269">
        <v>1</v>
      </c>
      <c r="K1398" s="265">
        <v>2500000</v>
      </c>
      <c r="M1398" s="269" t="s">
        <v>3319</v>
      </c>
      <c r="N1398" t="s">
        <v>3482</v>
      </c>
    </row>
    <row r="1399" spans="1:14" x14ac:dyDescent="0.3">
      <c r="A1399" s="271">
        <v>1398</v>
      </c>
      <c r="B1399" s="264">
        <v>45896</v>
      </c>
      <c r="C1399" s="292" t="s">
        <v>1747</v>
      </c>
      <c r="E1399" s="292" t="s">
        <v>2196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2418</v>
      </c>
      <c r="F1400" s="269" t="s">
        <v>2748</v>
      </c>
      <c r="G1400" s="265">
        <v>1100000</v>
      </c>
      <c r="H1400" s="269">
        <v>1</v>
      </c>
      <c r="K1400" s="265">
        <v>1100000</v>
      </c>
      <c r="M1400" s="269"/>
      <c r="N1400" t="s">
        <v>3482</v>
      </c>
    </row>
    <row r="1401" spans="1:14" x14ac:dyDescent="0.3">
      <c r="A1401" s="271">
        <v>1400</v>
      </c>
      <c r="B1401" s="264">
        <v>45896</v>
      </c>
      <c r="C1401" s="292" t="s">
        <v>2468</v>
      </c>
      <c r="E1401" s="292" t="s">
        <v>1723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3482</v>
      </c>
    </row>
    <row r="1402" spans="1:14" x14ac:dyDescent="0.3">
      <c r="A1402" s="271">
        <v>1401</v>
      </c>
      <c r="B1402" s="264">
        <v>45896</v>
      </c>
      <c r="C1402" s="292" t="s">
        <v>2558</v>
      </c>
      <c r="E1402" s="292" t="s">
        <v>3324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3115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1341</v>
      </c>
      <c r="E1404" s="292" t="s">
        <v>1670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2467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3120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2597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1287</v>
      </c>
      <c r="E1408" s="292" t="s">
        <v>3338</v>
      </c>
      <c r="G1408" s="265">
        <v>2500000</v>
      </c>
      <c r="H1408" s="269">
        <v>1</v>
      </c>
      <c r="J1408" s="266" t="s">
        <v>3339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1790</v>
      </c>
      <c r="E1409" s="292" t="s">
        <v>1743</v>
      </c>
      <c r="G1409" s="265">
        <v>650000</v>
      </c>
      <c r="H1409" s="269">
        <v>1</v>
      </c>
      <c r="K1409" s="265">
        <v>650000</v>
      </c>
      <c r="M1409" s="269"/>
      <c r="N1409" t="s">
        <v>3482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3482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2197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3482</v>
      </c>
    </row>
    <row r="1412" spans="1:14" x14ac:dyDescent="0.3">
      <c r="A1412" s="271">
        <v>1411</v>
      </c>
      <c r="B1412" s="264">
        <v>45897</v>
      </c>
      <c r="C1412" s="292" t="s">
        <v>1173</v>
      </c>
      <c r="E1412" s="292" t="s">
        <v>1561</v>
      </c>
      <c r="F1412" s="269" t="s">
        <v>1768</v>
      </c>
      <c r="G1412" s="265">
        <v>1300000</v>
      </c>
      <c r="H1412" s="269">
        <v>1</v>
      </c>
      <c r="K1412" s="265">
        <v>1300000</v>
      </c>
      <c r="M1412" s="269"/>
      <c r="N1412" t="s">
        <v>3482</v>
      </c>
    </row>
    <row r="1413" spans="1:14" x14ac:dyDescent="0.3">
      <c r="A1413" s="271">
        <v>1412</v>
      </c>
      <c r="B1413" s="264">
        <v>45897</v>
      </c>
      <c r="C1413" s="292" t="s">
        <v>1173</v>
      </c>
      <c r="E1413" s="292" t="s">
        <v>1519</v>
      </c>
      <c r="G1413" s="265">
        <v>20000</v>
      </c>
      <c r="H1413" s="269">
        <v>1</v>
      </c>
      <c r="K1413" s="265">
        <v>20000</v>
      </c>
      <c r="M1413" s="269"/>
      <c r="N1413" t="s">
        <v>3482</v>
      </c>
    </row>
    <row r="1414" spans="1:14" x14ac:dyDescent="0.3">
      <c r="A1414" s="271">
        <v>1413</v>
      </c>
      <c r="B1414" s="264">
        <v>45897</v>
      </c>
      <c r="C1414" s="292" t="s">
        <v>1577</v>
      </c>
      <c r="E1414" s="292" t="s">
        <v>2919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3482</v>
      </c>
    </row>
    <row r="1415" spans="1:14" x14ac:dyDescent="0.3">
      <c r="A1415" s="271">
        <v>1414</v>
      </c>
      <c r="B1415" s="264">
        <v>45897</v>
      </c>
      <c r="C1415" s="292" t="s">
        <v>1722</v>
      </c>
      <c r="E1415" s="292" t="s">
        <v>2180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3482</v>
      </c>
    </row>
    <row r="1416" spans="1:14" x14ac:dyDescent="0.3">
      <c r="A1416" s="271">
        <v>1415</v>
      </c>
      <c r="B1416" s="264">
        <v>45897</v>
      </c>
      <c r="C1416" s="292" t="s">
        <v>1722</v>
      </c>
      <c r="E1416" s="292" t="s">
        <v>2181</v>
      </c>
      <c r="F1416" s="269" t="s">
        <v>1803</v>
      </c>
      <c r="G1416" s="265">
        <v>50000</v>
      </c>
      <c r="H1416" s="269">
        <v>1</v>
      </c>
      <c r="K1416" s="265">
        <v>50000</v>
      </c>
      <c r="M1416" s="269"/>
      <c r="N1416" t="s">
        <v>3482</v>
      </c>
    </row>
    <row r="1417" spans="1:14" x14ac:dyDescent="0.3">
      <c r="A1417" s="271">
        <v>1416</v>
      </c>
      <c r="B1417" s="264">
        <v>45897</v>
      </c>
      <c r="C1417" s="292" t="s">
        <v>1473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1541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1469</v>
      </c>
      <c r="E1419" s="292" t="s">
        <v>2404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1469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1479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1812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2216</v>
      </c>
      <c r="F1424" s="269" t="s">
        <v>1760</v>
      </c>
      <c r="G1424" s="265">
        <v>546000</v>
      </c>
      <c r="H1424" s="269">
        <v>1</v>
      </c>
      <c r="K1424" s="265">
        <v>546000</v>
      </c>
      <c r="M1424" s="269"/>
      <c r="N1424" t="s">
        <v>3482</v>
      </c>
    </row>
    <row r="1425" spans="1:14" x14ac:dyDescent="0.3">
      <c r="A1425" s="271">
        <v>1424</v>
      </c>
      <c r="B1425" s="264">
        <v>45898</v>
      </c>
      <c r="C1425" s="292" t="s">
        <v>2998</v>
      </c>
      <c r="E1425" s="292" t="s">
        <v>3340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2986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3482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3362</v>
      </c>
      <c r="F1427" s="269" t="s">
        <v>1732</v>
      </c>
      <c r="G1427" s="265">
        <v>35000</v>
      </c>
      <c r="H1427" s="269">
        <v>1</v>
      </c>
      <c r="K1427" s="265">
        <v>35000</v>
      </c>
      <c r="M1427" s="269"/>
      <c r="N1427" t="s">
        <v>3482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2663</v>
      </c>
      <c r="F1428" s="269" t="s">
        <v>1733</v>
      </c>
      <c r="G1428" s="265">
        <v>10000</v>
      </c>
      <c r="H1428" s="269">
        <v>2</v>
      </c>
      <c r="K1428" s="265">
        <v>20000</v>
      </c>
      <c r="M1428" s="269"/>
      <c r="N1428" t="s">
        <v>3482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2435</v>
      </c>
      <c r="G1429" s="265">
        <v>600000</v>
      </c>
      <c r="H1429" s="269">
        <v>1</v>
      </c>
      <c r="K1429" s="265">
        <v>600000</v>
      </c>
      <c r="M1429" s="269"/>
      <c r="N1429" t="s">
        <v>3482</v>
      </c>
    </row>
    <row r="1430" spans="1:14" x14ac:dyDescent="0.3">
      <c r="A1430" s="271">
        <v>1429</v>
      </c>
      <c r="B1430" s="264">
        <v>45898</v>
      </c>
      <c r="C1430" s="292" t="s">
        <v>3483</v>
      </c>
      <c r="E1430" s="292" t="s">
        <v>3484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3483</v>
      </c>
      <c r="E1431" s="292" t="s">
        <v>3485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3483</v>
      </c>
      <c r="E1432" s="292" t="s">
        <v>3486</v>
      </c>
      <c r="F1432" s="269" t="s">
        <v>3487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3483</v>
      </c>
      <c r="E1433" s="292" t="s">
        <v>3488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3483</v>
      </c>
      <c r="E1434" s="292" t="s">
        <v>3489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1722</v>
      </c>
      <c r="E1435" s="292" t="s">
        <v>2178</v>
      </c>
      <c r="F1435" s="269" t="s">
        <v>1464</v>
      </c>
      <c r="G1435" s="265">
        <v>1500000</v>
      </c>
      <c r="H1435" s="269">
        <v>1</v>
      </c>
      <c r="K1435" s="265">
        <v>1500000</v>
      </c>
      <c r="M1435" s="269"/>
      <c r="N1435" t="s">
        <v>3482</v>
      </c>
    </row>
    <row r="1436" spans="1:14" x14ac:dyDescent="0.3">
      <c r="A1436" s="271">
        <v>1435</v>
      </c>
      <c r="B1436" s="264">
        <v>45898</v>
      </c>
      <c r="C1436" s="292" t="s">
        <v>3201</v>
      </c>
      <c r="E1436" s="292" t="s">
        <v>1743</v>
      </c>
      <c r="G1436" s="265">
        <v>1100000</v>
      </c>
      <c r="H1436" s="269">
        <v>1</v>
      </c>
      <c r="K1436" s="265">
        <v>1100000</v>
      </c>
      <c r="M1436" s="269"/>
      <c r="N1436" t="s">
        <v>3482</v>
      </c>
    </row>
    <row r="1437" spans="1:14" x14ac:dyDescent="0.3">
      <c r="A1437" s="271">
        <v>1436</v>
      </c>
      <c r="B1437" s="264">
        <v>45898</v>
      </c>
      <c r="C1437" s="292" t="s">
        <v>3201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2908</v>
      </c>
      <c r="E1438" s="292" t="s">
        <v>2657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3363</v>
      </c>
      <c r="N1438" t="s">
        <v>3482</v>
      </c>
    </row>
    <row r="1439" spans="1:14" x14ac:dyDescent="0.3">
      <c r="A1439" s="271">
        <v>1438</v>
      </c>
      <c r="B1439" s="264">
        <v>45899</v>
      </c>
      <c r="C1439" s="292" t="s">
        <v>1747</v>
      </c>
      <c r="E1439" s="292" t="s">
        <v>2299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3482</v>
      </c>
    </row>
    <row r="1440" spans="1:14" x14ac:dyDescent="0.3">
      <c r="A1440" s="271">
        <v>1439</v>
      </c>
      <c r="B1440" s="264">
        <v>45899</v>
      </c>
      <c r="C1440" s="292" t="s">
        <v>1554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1577</v>
      </c>
      <c r="E1441" s="292" t="s">
        <v>1746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1173</v>
      </c>
      <c r="E1442" s="292" t="s">
        <v>1746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1399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1722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1805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1399</v>
      </c>
      <c r="E1447" s="292" t="s">
        <v>1203</v>
      </c>
      <c r="F1447" s="269" t="s">
        <v>1752</v>
      </c>
      <c r="G1447" s="265">
        <v>1200000</v>
      </c>
      <c r="H1447" s="269">
        <v>1</v>
      </c>
      <c r="K1447" s="265">
        <v>1200000</v>
      </c>
      <c r="M1447" s="269"/>
      <c r="N1447" t="s">
        <v>3910</v>
      </c>
    </row>
    <row r="1448" spans="1:14" x14ac:dyDescent="0.3">
      <c r="A1448" s="271">
        <v>1447</v>
      </c>
      <c r="B1448" s="264">
        <v>45901</v>
      </c>
      <c r="C1448" s="292" t="s">
        <v>1399</v>
      </c>
      <c r="E1448" s="292" t="s">
        <v>1496</v>
      </c>
      <c r="F1448" s="269" t="s">
        <v>2679</v>
      </c>
      <c r="G1448" s="265">
        <v>350000</v>
      </c>
      <c r="H1448" s="269">
        <v>1</v>
      </c>
      <c r="K1448" s="265">
        <v>350000</v>
      </c>
      <c r="M1448" s="269"/>
      <c r="N1448" t="s">
        <v>3910</v>
      </c>
    </row>
    <row r="1449" spans="1:14" x14ac:dyDescent="0.3">
      <c r="A1449" s="271">
        <v>1448</v>
      </c>
      <c r="B1449" s="264">
        <v>45901</v>
      </c>
      <c r="C1449" s="292" t="s">
        <v>1399</v>
      </c>
      <c r="E1449" s="292" t="s">
        <v>2840</v>
      </c>
      <c r="F1449" s="269" t="s">
        <v>2750</v>
      </c>
      <c r="G1449" s="265">
        <v>129000</v>
      </c>
      <c r="H1449" s="269">
        <v>1</v>
      </c>
      <c r="K1449" s="265">
        <v>129000</v>
      </c>
      <c r="M1449" s="269"/>
      <c r="N1449" t="s">
        <v>3910</v>
      </c>
    </row>
    <row r="1450" spans="1:14" x14ac:dyDescent="0.3">
      <c r="A1450" s="271">
        <v>1449</v>
      </c>
      <c r="B1450" s="264">
        <v>45901</v>
      </c>
      <c r="C1450" s="292" t="s">
        <v>1399</v>
      </c>
      <c r="E1450" s="292" t="s">
        <v>2299</v>
      </c>
      <c r="G1450" s="265">
        <v>650000</v>
      </c>
      <c r="H1450" s="269">
        <v>1</v>
      </c>
      <c r="K1450" s="265">
        <v>650000</v>
      </c>
      <c r="M1450" s="269"/>
      <c r="N1450" t="s">
        <v>3910</v>
      </c>
    </row>
    <row r="1451" spans="1:14" x14ac:dyDescent="0.3">
      <c r="A1451" s="271">
        <v>1450</v>
      </c>
      <c r="B1451" s="264">
        <v>45901</v>
      </c>
      <c r="C1451" s="292" t="s">
        <v>1399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  <c r="N1451" t="s">
        <v>3910</v>
      </c>
    </row>
    <row r="1452" spans="1:14" x14ac:dyDescent="0.3">
      <c r="A1452" s="271">
        <v>1451</v>
      </c>
      <c r="B1452" s="264">
        <v>45901</v>
      </c>
      <c r="C1452" s="292" t="s">
        <v>1399</v>
      </c>
      <c r="E1452" s="292" t="s">
        <v>1705</v>
      </c>
      <c r="F1452" s="269" t="s">
        <v>1704</v>
      </c>
      <c r="G1452" s="265">
        <v>50000</v>
      </c>
      <c r="H1452" s="269">
        <v>1</v>
      </c>
      <c r="K1452" s="265">
        <v>50000</v>
      </c>
      <c r="M1452" s="269"/>
      <c r="N1452" t="s">
        <v>3910</v>
      </c>
    </row>
    <row r="1453" spans="1:14" x14ac:dyDescent="0.3">
      <c r="A1453" s="271">
        <v>1452</v>
      </c>
      <c r="B1453" s="264">
        <v>45901</v>
      </c>
      <c r="C1453" s="292" t="s">
        <v>3483</v>
      </c>
      <c r="E1453" s="292" t="s">
        <v>3490</v>
      </c>
      <c r="F1453" s="269" t="s">
        <v>3491</v>
      </c>
      <c r="G1453" s="265">
        <v>800000</v>
      </c>
      <c r="H1453" s="269">
        <v>1</v>
      </c>
      <c r="K1453" s="265">
        <v>800000</v>
      </c>
      <c r="M1453" s="269" t="s">
        <v>3492</v>
      </c>
      <c r="N1453" t="s">
        <v>3910</v>
      </c>
    </row>
    <row r="1454" spans="1:14" x14ac:dyDescent="0.3">
      <c r="A1454" s="271">
        <v>1453</v>
      </c>
      <c r="B1454" s="264">
        <v>45901</v>
      </c>
      <c r="C1454" s="292" t="s">
        <v>1473</v>
      </c>
      <c r="E1454" s="292" t="s">
        <v>2180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  <c r="N1454" t="s">
        <v>3910</v>
      </c>
    </row>
    <row r="1455" spans="1:14" x14ac:dyDescent="0.3">
      <c r="A1455" s="271">
        <v>1454</v>
      </c>
      <c r="B1455" s="264">
        <v>45901</v>
      </c>
      <c r="C1455" s="292" t="s">
        <v>1812</v>
      </c>
      <c r="E1455" s="292" t="s">
        <v>1205</v>
      </c>
      <c r="F1455" s="269" t="s">
        <v>1563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3910</v>
      </c>
    </row>
    <row r="1456" spans="1:14" x14ac:dyDescent="0.3">
      <c r="A1456" s="271">
        <v>1455</v>
      </c>
      <c r="B1456" s="264">
        <v>45901</v>
      </c>
      <c r="C1456" s="292" t="s">
        <v>1812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3910</v>
      </c>
    </row>
    <row r="1457" spans="1:14" x14ac:dyDescent="0.3">
      <c r="A1457" s="271">
        <v>1456</v>
      </c>
      <c r="B1457" s="264">
        <v>45901</v>
      </c>
      <c r="C1457" s="292" t="s">
        <v>1444</v>
      </c>
      <c r="E1457" s="292" t="s">
        <v>2196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3910</v>
      </c>
    </row>
    <row r="1458" spans="1:14" x14ac:dyDescent="0.3">
      <c r="A1458" s="271">
        <v>1457</v>
      </c>
      <c r="B1458" s="264">
        <v>45901</v>
      </c>
      <c r="C1458" s="292" t="s">
        <v>2762</v>
      </c>
      <c r="E1458" s="292" t="s">
        <v>2805</v>
      </c>
      <c r="F1458" s="269" t="s">
        <v>2804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3910</v>
      </c>
    </row>
    <row r="1459" spans="1:14" x14ac:dyDescent="0.3">
      <c r="A1459" s="271">
        <v>1458</v>
      </c>
      <c r="B1459" s="264">
        <v>45901</v>
      </c>
      <c r="C1459" s="292" t="s">
        <v>2762</v>
      </c>
      <c r="E1459" s="292" t="s">
        <v>2183</v>
      </c>
      <c r="F1459" s="269" t="s">
        <v>1720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3910</v>
      </c>
    </row>
    <row r="1460" spans="1:14" x14ac:dyDescent="0.3">
      <c r="A1460" s="271">
        <v>1459</v>
      </c>
      <c r="B1460" s="264">
        <v>45901</v>
      </c>
      <c r="C1460" s="292" t="s">
        <v>3347</v>
      </c>
      <c r="E1460" s="292" t="s">
        <v>3060</v>
      </c>
      <c r="F1460" s="269" t="s">
        <v>3059</v>
      </c>
      <c r="G1460" s="265">
        <v>250000</v>
      </c>
      <c r="H1460" s="269">
        <v>1</v>
      </c>
      <c r="K1460" s="265">
        <v>250000</v>
      </c>
      <c r="M1460" s="269"/>
      <c r="N1460" t="s">
        <v>3910</v>
      </c>
    </row>
    <row r="1461" spans="1:14" x14ac:dyDescent="0.3">
      <c r="A1461" s="271">
        <v>1460</v>
      </c>
      <c r="B1461" s="264">
        <v>45901</v>
      </c>
      <c r="C1461" s="292" t="s">
        <v>1444</v>
      </c>
      <c r="E1461" s="292" t="s">
        <v>2180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  <c r="N1461" t="s">
        <v>3910</v>
      </c>
    </row>
    <row r="1462" spans="1:14" x14ac:dyDescent="0.3">
      <c r="A1462" s="271">
        <v>1461</v>
      </c>
      <c r="B1462" s="264">
        <v>45901</v>
      </c>
      <c r="C1462" s="292" t="s">
        <v>2998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2762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3347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2869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1173</v>
      </c>
      <c r="E1467" s="292" t="s">
        <v>2299</v>
      </c>
      <c r="G1467" s="265">
        <v>650000</v>
      </c>
      <c r="H1467" s="269">
        <v>1</v>
      </c>
      <c r="K1467" s="265">
        <v>650000</v>
      </c>
      <c r="M1467" s="269"/>
      <c r="N1467" t="s">
        <v>3910</v>
      </c>
    </row>
    <row r="1468" spans="1:14" x14ac:dyDescent="0.3">
      <c r="A1468" s="271">
        <v>1467</v>
      </c>
      <c r="B1468" s="264">
        <v>45902</v>
      </c>
      <c r="C1468" s="292" t="s">
        <v>1977</v>
      </c>
      <c r="E1468" s="292" t="s">
        <v>2196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3910</v>
      </c>
    </row>
    <row r="1469" spans="1:14" x14ac:dyDescent="0.3">
      <c r="A1469" s="271">
        <v>1468</v>
      </c>
      <c r="B1469" s="264">
        <v>45902</v>
      </c>
      <c r="C1469" s="292" t="s">
        <v>2998</v>
      </c>
      <c r="E1469" s="292" t="s">
        <v>2180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  <c r="N1469" t="s">
        <v>3910</v>
      </c>
    </row>
    <row r="1470" spans="1:14" x14ac:dyDescent="0.3">
      <c r="A1470" s="271">
        <v>1469</v>
      </c>
      <c r="B1470" s="264">
        <v>45902</v>
      </c>
      <c r="C1470" s="292" t="s">
        <v>2998</v>
      </c>
      <c r="E1470" s="292" t="s">
        <v>2181</v>
      </c>
      <c r="F1470" s="269" t="s">
        <v>1803</v>
      </c>
      <c r="G1470" s="265">
        <v>50000</v>
      </c>
      <c r="H1470" s="269">
        <v>1</v>
      </c>
      <c r="K1470" s="265">
        <v>50000</v>
      </c>
      <c r="M1470" s="269"/>
      <c r="N1470" t="s">
        <v>3910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2192</v>
      </c>
      <c r="F1471" s="269" t="s">
        <v>1822</v>
      </c>
      <c r="G1471" s="265">
        <v>10000</v>
      </c>
      <c r="H1471" s="269">
        <v>2</v>
      </c>
      <c r="K1471" s="265">
        <v>20000</v>
      </c>
      <c r="M1471" s="269"/>
      <c r="N1471" t="s">
        <v>3910</v>
      </c>
    </row>
    <row r="1472" spans="1:14" x14ac:dyDescent="0.3">
      <c r="A1472" s="271">
        <v>1471</v>
      </c>
      <c r="B1472" s="264">
        <v>45902</v>
      </c>
      <c r="C1472" s="292" t="s">
        <v>1577</v>
      </c>
      <c r="E1472" s="292" t="s">
        <v>1743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3910</v>
      </c>
    </row>
    <row r="1473" spans="1:14" x14ac:dyDescent="0.3">
      <c r="A1473" s="271">
        <v>1472</v>
      </c>
      <c r="B1473" s="264">
        <v>45902</v>
      </c>
      <c r="C1473" s="292" t="s">
        <v>1494</v>
      </c>
      <c r="E1473" s="292" t="s">
        <v>3369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  <c r="N1473" t="s">
        <v>3910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3910</v>
      </c>
    </row>
    <row r="1475" spans="1:14" x14ac:dyDescent="0.3">
      <c r="A1475" s="271">
        <v>1474</v>
      </c>
      <c r="B1475" s="264">
        <v>45902</v>
      </c>
      <c r="C1475" s="292" t="s">
        <v>1977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1812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1746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1790</v>
      </c>
      <c r="E1478" s="292" t="s">
        <v>2180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  <c r="N1478" t="s">
        <v>3910</v>
      </c>
    </row>
    <row r="1479" spans="1:14" x14ac:dyDescent="0.3">
      <c r="A1479" s="271">
        <v>1478</v>
      </c>
      <c r="B1479" s="264">
        <v>45903</v>
      </c>
      <c r="C1479" s="292" t="s">
        <v>1790</v>
      </c>
      <c r="E1479" s="292" t="s">
        <v>2181</v>
      </c>
      <c r="F1479" s="269" t="s">
        <v>1803</v>
      </c>
      <c r="G1479" s="265">
        <v>50000</v>
      </c>
      <c r="H1479" s="269">
        <v>1</v>
      </c>
      <c r="K1479" s="265">
        <v>50000</v>
      </c>
      <c r="M1479" s="269"/>
      <c r="N1479" t="s">
        <v>3910</v>
      </c>
    </row>
    <row r="1480" spans="1:14" x14ac:dyDescent="0.3">
      <c r="A1480" s="271">
        <v>1479</v>
      </c>
      <c r="B1480" s="264">
        <v>45903</v>
      </c>
      <c r="C1480" s="292" t="s">
        <v>1467</v>
      </c>
      <c r="E1480" s="292" t="s">
        <v>1496</v>
      </c>
      <c r="F1480" s="269" t="s">
        <v>2679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1444</v>
      </c>
      <c r="E1481" s="292" t="s">
        <v>2187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  <c r="N1481" t="s">
        <v>3910</v>
      </c>
    </row>
    <row r="1482" spans="1:14" x14ac:dyDescent="0.3">
      <c r="A1482" s="271">
        <v>1481</v>
      </c>
      <c r="B1482" s="264">
        <v>45903</v>
      </c>
      <c r="C1482" s="292" t="s">
        <v>1444</v>
      </c>
      <c r="E1482" s="292" t="s">
        <v>2190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3910</v>
      </c>
    </row>
    <row r="1483" spans="1:14" x14ac:dyDescent="0.3">
      <c r="A1483" s="271">
        <v>1482</v>
      </c>
      <c r="B1483" s="264">
        <v>45903</v>
      </c>
      <c r="C1483" s="292" t="s">
        <v>1173</v>
      </c>
      <c r="E1483" s="292" t="s">
        <v>1561</v>
      </c>
      <c r="F1483" s="269" t="s">
        <v>1768</v>
      </c>
      <c r="G1483" s="265">
        <v>1300000</v>
      </c>
      <c r="H1483" s="269">
        <v>1</v>
      </c>
      <c r="K1483" s="265">
        <v>1300000</v>
      </c>
      <c r="M1483" s="269"/>
      <c r="N1483" t="s">
        <v>3910</v>
      </c>
    </row>
    <row r="1484" spans="1:14" x14ac:dyDescent="0.3">
      <c r="A1484" s="271">
        <v>1483</v>
      </c>
      <c r="B1484" s="264">
        <v>45903</v>
      </c>
      <c r="C1484" s="292" t="s">
        <v>1173</v>
      </c>
      <c r="E1484" s="292" t="s">
        <v>3375</v>
      </c>
      <c r="G1484" s="265">
        <v>150000</v>
      </c>
      <c r="H1484" s="269">
        <v>1</v>
      </c>
      <c r="K1484" s="265">
        <v>150000</v>
      </c>
      <c r="M1484" s="269"/>
      <c r="N1484" t="s">
        <v>3910</v>
      </c>
    </row>
    <row r="1485" spans="1:14" x14ac:dyDescent="0.3">
      <c r="A1485" s="271">
        <v>1484</v>
      </c>
      <c r="B1485" s="264">
        <v>45903</v>
      </c>
      <c r="C1485" s="292" t="s">
        <v>1498</v>
      </c>
      <c r="E1485" s="292" t="s">
        <v>3377</v>
      </c>
      <c r="G1485" s="265">
        <v>450000</v>
      </c>
      <c r="H1485" s="269">
        <v>1</v>
      </c>
      <c r="K1485" s="265">
        <v>450000</v>
      </c>
      <c r="M1485" s="269"/>
      <c r="N1485" t="s">
        <v>3910</v>
      </c>
    </row>
    <row r="1486" spans="1:14" x14ac:dyDescent="0.3">
      <c r="A1486" s="271">
        <v>1485</v>
      </c>
      <c r="B1486" s="264">
        <v>45903</v>
      </c>
      <c r="C1486" s="292" t="s">
        <v>1580</v>
      </c>
      <c r="E1486" s="292" t="s">
        <v>2187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1580</v>
      </c>
      <c r="E1487" s="292" t="s">
        <v>2190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3289</v>
      </c>
      <c r="E1488" s="292" t="s">
        <v>2180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3910</v>
      </c>
    </row>
    <row r="1489" spans="1:14" x14ac:dyDescent="0.3">
      <c r="A1489" s="271">
        <v>1488</v>
      </c>
      <c r="B1489" s="264">
        <v>45903</v>
      </c>
      <c r="C1489" s="292" t="s">
        <v>3445</v>
      </c>
      <c r="E1489" s="292" t="s">
        <v>3446</v>
      </c>
      <c r="F1489" s="269" t="s">
        <v>3447</v>
      </c>
      <c r="G1489" s="265">
        <v>1850000</v>
      </c>
      <c r="H1489" s="269">
        <v>1</v>
      </c>
      <c r="J1489" s="266" t="s">
        <v>3448</v>
      </c>
      <c r="K1489" s="265">
        <v>2035000</v>
      </c>
      <c r="M1489" s="269"/>
      <c r="N1489" t="s">
        <v>3910</v>
      </c>
    </row>
    <row r="1490" spans="1:14" x14ac:dyDescent="0.3">
      <c r="A1490" s="271">
        <v>1489</v>
      </c>
      <c r="B1490" s="264">
        <v>45903</v>
      </c>
      <c r="C1490" s="292" t="s">
        <v>3614</v>
      </c>
      <c r="E1490" s="292" t="s">
        <v>3615</v>
      </c>
      <c r="F1490" s="269" t="s">
        <v>3616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3910</v>
      </c>
    </row>
    <row r="1491" spans="1:14" x14ac:dyDescent="0.3">
      <c r="A1491" s="271">
        <v>1490</v>
      </c>
      <c r="B1491" s="264">
        <v>45903</v>
      </c>
      <c r="C1491" s="292" t="s">
        <v>3388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3910</v>
      </c>
    </row>
    <row r="1492" spans="1:14" x14ac:dyDescent="0.3">
      <c r="A1492" s="271">
        <v>1491</v>
      </c>
      <c r="B1492" s="264">
        <v>45903</v>
      </c>
      <c r="C1492" s="292" t="s">
        <v>1747</v>
      </c>
      <c r="E1492" s="292" t="s">
        <v>1862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3910</v>
      </c>
    </row>
    <row r="1493" spans="1:14" x14ac:dyDescent="0.3">
      <c r="A1493" s="271">
        <v>1492</v>
      </c>
      <c r="B1493" s="264">
        <v>45903</v>
      </c>
      <c r="C1493" s="292" t="s">
        <v>3614</v>
      </c>
      <c r="E1493" s="292" t="s">
        <v>3617</v>
      </c>
      <c r="G1493" s="265">
        <v>150000</v>
      </c>
      <c r="H1493" s="269">
        <v>1</v>
      </c>
      <c r="J1493" s="266" t="s">
        <v>3618</v>
      </c>
      <c r="K1493" s="265">
        <v>165000</v>
      </c>
      <c r="M1493" s="269"/>
      <c r="N1493" t="s">
        <v>3910</v>
      </c>
    </row>
    <row r="1494" spans="1:14" x14ac:dyDescent="0.3">
      <c r="A1494" s="271">
        <v>1493</v>
      </c>
      <c r="B1494" s="264">
        <v>45903</v>
      </c>
      <c r="C1494" s="292" t="s">
        <v>1847</v>
      </c>
      <c r="E1494" s="292" t="s">
        <v>2814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3395</v>
      </c>
      <c r="N1494" t="s">
        <v>3910</v>
      </c>
    </row>
    <row r="1495" spans="1:14" x14ac:dyDescent="0.3">
      <c r="A1495" s="271">
        <v>1494</v>
      </c>
      <c r="B1495" s="264">
        <v>45903</v>
      </c>
      <c r="C1495" s="292" t="s">
        <v>1747</v>
      </c>
      <c r="E1495" s="292" t="s">
        <v>1519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3910</v>
      </c>
    </row>
    <row r="1496" spans="1:14" x14ac:dyDescent="0.3">
      <c r="A1496" s="271">
        <v>1495</v>
      </c>
      <c r="B1496" s="264">
        <v>45899</v>
      </c>
      <c r="C1496" s="292" t="s">
        <v>1747</v>
      </c>
      <c r="E1496" s="292" t="s">
        <v>1519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3482</v>
      </c>
    </row>
    <row r="1497" spans="1:14" x14ac:dyDescent="0.3">
      <c r="A1497" s="271">
        <v>1496</v>
      </c>
      <c r="B1497" s="264">
        <v>45904</v>
      </c>
      <c r="C1497" s="292" t="s">
        <v>3428</v>
      </c>
      <c r="E1497" s="292" t="s">
        <v>3429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1498</v>
      </c>
      <c r="E1498" s="292" t="s">
        <v>1800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3289</v>
      </c>
      <c r="E1499" s="292" t="s">
        <v>1800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2319</v>
      </c>
      <c r="E1500" s="292" t="s">
        <v>1800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3397</v>
      </c>
      <c r="E1501" s="292" t="s">
        <v>1561</v>
      </c>
      <c r="F1501" s="269" t="s">
        <v>1768</v>
      </c>
      <c r="G1501" s="265">
        <v>1300000</v>
      </c>
      <c r="H1501" s="269">
        <v>1</v>
      </c>
      <c r="K1501" s="265">
        <v>1300000</v>
      </c>
      <c r="N1501" t="s">
        <v>3910</v>
      </c>
    </row>
    <row r="1502" spans="1:14" x14ac:dyDescent="0.3">
      <c r="A1502" s="271">
        <v>1501</v>
      </c>
      <c r="B1502" s="264">
        <v>45904</v>
      </c>
      <c r="C1502" s="292" t="s">
        <v>1473</v>
      </c>
      <c r="E1502" s="292" t="s">
        <v>1668</v>
      </c>
      <c r="G1502" s="265">
        <v>100000</v>
      </c>
      <c r="H1502" s="269">
        <v>1</v>
      </c>
      <c r="K1502" s="265">
        <v>100000</v>
      </c>
      <c r="N1502" t="s">
        <v>3910</v>
      </c>
    </row>
    <row r="1503" spans="1:14" x14ac:dyDescent="0.3">
      <c r="A1503" s="271">
        <v>1502</v>
      </c>
      <c r="B1503" s="264">
        <v>45904</v>
      </c>
      <c r="C1503" s="292" t="s">
        <v>1494</v>
      </c>
      <c r="E1503" s="292" t="s">
        <v>2299</v>
      </c>
      <c r="G1503" s="265">
        <v>650000</v>
      </c>
      <c r="H1503" s="269">
        <v>1</v>
      </c>
      <c r="K1503" s="265">
        <v>650000</v>
      </c>
      <c r="N1503" t="s">
        <v>3910</v>
      </c>
    </row>
    <row r="1504" spans="1:14" x14ac:dyDescent="0.3">
      <c r="A1504" s="271">
        <v>1503</v>
      </c>
      <c r="B1504" s="264">
        <v>45904</v>
      </c>
      <c r="C1504" s="292" t="s">
        <v>1494</v>
      </c>
      <c r="E1504" s="292" t="s">
        <v>1496</v>
      </c>
      <c r="F1504" s="269" t="s">
        <v>2679</v>
      </c>
      <c r="G1504" s="265">
        <v>350000</v>
      </c>
      <c r="H1504" s="269">
        <v>1</v>
      </c>
      <c r="K1504" s="265">
        <v>350000</v>
      </c>
      <c r="N1504" t="s">
        <v>3910</v>
      </c>
    </row>
    <row r="1505" spans="1:14" x14ac:dyDescent="0.3">
      <c r="A1505" s="271">
        <v>1504</v>
      </c>
      <c r="B1505" s="264">
        <v>45904</v>
      </c>
      <c r="C1505" s="292" t="s">
        <v>1494</v>
      </c>
      <c r="E1505" s="292" t="s">
        <v>3414</v>
      </c>
      <c r="F1505" s="269" t="s">
        <v>3413</v>
      </c>
      <c r="G1505" s="265">
        <v>1500000</v>
      </c>
      <c r="H1505" s="269">
        <v>1</v>
      </c>
      <c r="K1505" s="265">
        <v>1500000</v>
      </c>
      <c r="N1505" t="s">
        <v>3910</v>
      </c>
    </row>
    <row r="1506" spans="1:14" x14ac:dyDescent="0.3">
      <c r="A1506" s="271">
        <v>1505</v>
      </c>
      <c r="B1506" s="264">
        <v>45904</v>
      </c>
      <c r="C1506" s="292" t="s">
        <v>3404</v>
      </c>
      <c r="E1506" s="292" t="s">
        <v>2413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3910</v>
      </c>
    </row>
    <row r="1507" spans="1:14" x14ac:dyDescent="0.3">
      <c r="A1507" s="271">
        <v>1506</v>
      </c>
      <c r="B1507" s="264">
        <v>45904</v>
      </c>
      <c r="C1507" s="292" t="s">
        <v>3404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  <c r="N1507" t="s">
        <v>3910</v>
      </c>
    </row>
    <row r="1508" spans="1:14" x14ac:dyDescent="0.3">
      <c r="A1508" s="271">
        <v>1507</v>
      </c>
      <c r="B1508" s="264">
        <v>45904</v>
      </c>
      <c r="C1508" s="292" t="s">
        <v>1479</v>
      </c>
      <c r="E1508" s="292" t="s">
        <v>1743</v>
      </c>
      <c r="G1508" s="265">
        <v>1100000</v>
      </c>
      <c r="H1508" s="269">
        <v>1</v>
      </c>
      <c r="K1508" s="265">
        <v>1100000</v>
      </c>
      <c r="N1508" t="s">
        <v>3910</v>
      </c>
    </row>
    <row r="1509" spans="1:14" x14ac:dyDescent="0.3">
      <c r="A1509" s="271">
        <v>1508</v>
      </c>
      <c r="B1509" s="264">
        <v>45904</v>
      </c>
      <c r="C1509" s="292" t="s">
        <v>2916</v>
      </c>
      <c r="E1509" s="292" t="s">
        <v>2137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3910</v>
      </c>
    </row>
    <row r="1510" spans="1:14" x14ac:dyDescent="0.3">
      <c r="A1510" s="271">
        <v>1509</v>
      </c>
      <c r="B1510" s="264">
        <v>45904</v>
      </c>
      <c r="C1510" s="292" t="s">
        <v>1473</v>
      </c>
      <c r="E1510" s="292" t="s">
        <v>2180</v>
      </c>
      <c r="F1510" s="269" t="s">
        <v>1201</v>
      </c>
      <c r="G1510" s="265">
        <v>1500000</v>
      </c>
      <c r="H1510" s="269">
        <v>1</v>
      </c>
      <c r="K1510" s="265">
        <v>1500000</v>
      </c>
      <c r="N1510" t="s">
        <v>3910</v>
      </c>
    </row>
    <row r="1511" spans="1:14" x14ac:dyDescent="0.3">
      <c r="A1511" s="271">
        <v>1510</v>
      </c>
      <c r="B1511" s="264">
        <v>45904</v>
      </c>
      <c r="C1511" s="292" t="s">
        <v>1722</v>
      </c>
      <c r="E1511" s="292" t="s">
        <v>2091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3910</v>
      </c>
    </row>
    <row r="1512" spans="1:14" x14ac:dyDescent="0.3">
      <c r="A1512" s="271">
        <v>1511</v>
      </c>
      <c r="B1512" s="264">
        <v>45904</v>
      </c>
      <c r="C1512" s="292" t="s">
        <v>1479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3397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2916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1494</v>
      </c>
      <c r="E1515" s="292" t="s">
        <v>3430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1847</v>
      </c>
      <c r="E1516" s="292" t="s">
        <v>1746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1747</v>
      </c>
      <c r="E1517" s="292" t="s">
        <v>3431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3432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2186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3433</v>
      </c>
      <c r="N1519" t="s">
        <v>3482</v>
      </c>
    </row>
    <row r="1520" spans="1:14" x14ac:dyDescent="0.3">
      <c r="A1520" s="271">
        <v>1519</v>
      </c>
      <c r="B1520" s="264">
        <v>45905</v>
      </c>
      <c r="C1520" s="292" t="s">
        <v>1467</v>
      </c>
      <c r="E1520" s="292" t="s">
        <v>2158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1203</v>
      </c>
      <c r="F1521" s="269" t="s">
        <v>1752</v>
      </c>
      <c r="G1521" s="265">
        <v>1200000</v>
      </c>
      <c r="H1521" s="269">
        <v>1</v>
      </c>
      <c r="K1521" s="265">
        <v>1200000</v>
      </c>
      <c r="N1521" t="s">
        <v>3910</v>
      </c>
    </row>
    <row r="1522" spans="1:14" x14ac:dyDescent="0.3">
      <c r="A1522" s="271">
        <v>1521</v>
      </c>
      <c r="B1522" s="264">
        <v>45905</v>
      </c>
      <c r="C1522" s="292" t="s">
        <v>1444</v>
      </c>
      <c r="E1522" s="292" t="s">
        <v>2032</v>
      </c>
      <c r="G1522" s="265">
        <v>1000000</v>
      </c>
      <c r="H1522" s="269">
        <v>1</v>
      </c>
      <c r="K1522" s="265">
        <v>1000000</v>
      </c>
      <c r="N1522" t="s">
        <v>3910</v>
      </c>
    </row>
    <row r="1523" spans="1:14" x14ac:dyDescent="0.3">
      <c r="A1523" s="271">
        <v>1522</v>
      </c>
      <c r="B1523" s="264">
        <v>45905</v>
      </c>
      <c r="C1523" s="292" t="s">
        <v>1444</v>
      </c>
      <c r="E1523" s="292" t="s">
        <v>2833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3910</v>
      </c>
    </row>
    <row r="1524" spans="1:14" x14ac:dyDescent="0.3">
      <c r="A1524" s="271">
        <v>1523</v>
      </c>
      <c r="B1524" s="264">
        <v>45905</v>
      </c>
      <c r="C1524" s="292" t="s">
        <v>1444</v>
      </c>
      <c r="E1524" s="292" t="s">
        <v>3436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3910</v>
      </c>
    </row>
    <row r="1525" spans="1:14" x14ac:dyDescent="0.3">
      <c r="A1525" s="271">
        <v>1524</v>
      </c>
      <c r="B1525" s="264">
        <v>45905</v>
      </c>
      <c r="C1525" s="292" t="s">
        <v>1306</v>
      </c>
      <c r="E1525" s="292" t="s">
        <v>3051</v>
      </c>
      <c r="F1525" s="269" t="s">
        <v>1952</v>
      </c>
      <c r="G1525" s="265">
        <v>1000000</v>
      </c>
      <c r="H1525" s="269">
        <v>1</v>
      </c>
      <c r="K1525" s="265">
        <v>1000000</v>
      </c>
      <c r="N1525" t="s">
        <v>3910</v>
      </c>
    </row>
    <row r="1526" spans="1:14" x14ac:dyDescent="0.3">
      <c r="A1526" s="271">
        <v>1525</v>
      </c>
      <c r="B1526" s="264">
        <v>45905</v>
      </c>
      <c r="C1526" s="292" t="s">
        <v>1722</v>
      </c>
      <c r="E1526" s="292" t="s">
        <v>3439</v>
      </c>
      <c r="G1526" s="265">
        <v>750000</v>
      </c>
      <c r="H1526" s="269">
        <v>1</v>
      </c>
      <c r="K1526" s="265">
        <v>750000</v>
      </c>
      <c r="N1526" t="s">
        <v>3910</v>
      </c>
    </row>
    <row r="1527" spans="1:14" x14ac:dyDescent="0.3">
      <c r="A1527" s="271">
        <v>1526</v>
      </c>
      <c r="B1527" s="264">
        <v>45905</v>
      </c>
      <c r="C1527" s="292" t="s">
        <v>1722</v>
      </c>
      <c r="E1527" s="292" t="s">
        <v>1549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3910</v>
      </c>
    </row>
    <row r="1528" spans="1:14" x14ac:dyDescent="0.3">
      <c r="A1528" s="271">
        <v>1527</v>
      </c>
      <c r="B1528" s="264">
        <v>45905</v>
      </c>
      <c r="C1528" s="292" t="s">
        <v>3149</v>
      </c>
      <c r="E1528" s="292" t="s">
        <v>1759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3910</v>
      </c>
    </row>
    <row r="1529" spans="1:14" x14ac:dyDescent="0.3">
      <c r="A1529" s="271">
        <v>1528</v>
      </c>
      <c r="B1529" s="264">
        <v>45905</v>
      </c>
      <c r="C1529" s="292" t="s">
        <v>3149</v>
      </c>
      <c r="E1529" s="292" t="s">
        <v>2112</v>
      </c>
      <c r="F1529" s="269" t="s">
        <v>2582</v>
      </c>
      <c r="G1529" s="265">
        <v>65000</v>
      </c>
      <c r="H1529" s="269">
        <v>1</v>
      </c>
      <c r="K1529" s="265">
        <v>65000</v>
      </c>
      <c r="N1529" t="s">
        <v>3910</v>
      </c>
    </row>
    <row r="1530" spans="1:14" x14ac:dyDescent="0.3">
      <c r="A1530" s="271">
        <v>1529</v>
      </c>
      <c r="B1530" s="264">
        <v>45905</v>
      </c>
      <c r="C1530" s="290" t="s">
        <v>3450</v>
      </c>
      <c r="E1530" s="292" t="s">
        <v>4043</v>
      </c>
      <c r="F1530" s="269" t="s">
        <v>2217</v>
      </c>
      <c r="G1530" s="265">
        <v>250000</v>
      </c>
      <c r="H1530" s="269">
        <v>1</v>
      </c>
      <c r="K1530" s="265">
        <v>250000</v>
      </c>
      <c r="N1530" t="s">
        <v>3910</v>
      </c>
    </row>
    <row r="1531" spans="1:14" x14ac:dyDescent="0.3">
      <c r="A1531" s="271">
        <v>1530</v>
      </c>
      <c r="B1531" s="264">
        <v>45905</v>
      </c>
      <c r="C1531" s="292" t="s">
        <v>1399</v>
      </c>
      <c r="E1531" s="292" t="s">
        <v>1203</v>
      </c>
      <c r="F1531" s="269" t="s">
        <v>1752</v>
      </c>
      <c r="G1531" s="265">
        <v>1200000</v>
      </c>
      <c r="H1531" s="269">
        <v>1</v>
      </c>
      <c r="K1531" s="265">
        <v>1200000</v>
      </c>
      <c r="N1531" t="s">
        <v>3910</v>
      </c>
    </row>
    <row r="1532" spans="1:14" x14ac:dyDescent="0.3">
      <c r="A1532" s="271">
        <v>1531</v>
      </c>
      <c r="B1532" s="264">
        <v>45905</v>
      </c>
      <c r="C1532" s="292" t="s">
        <v>1399</v>
      </c>
      <c r="E1532" s="292" t="s">
        <v>2840</v>
      </c>
      <c r="F1532" s="269" t="s">
        <v>2750</v>
      </c>
      <c r="G1532" s="265">
        <v>129000</v>
      </c>
      <c r="H1532" s="269">
        <v>1</v>
      </c>
      <c r="K1532" s="265">
        <v>129000</v>
      </c>
      <c r="N1532" t="s">
        <v>3910</v>
      </c>
    </row>
    <row r="1533" spans="1:14" x14ac:dyDescent="0.3">
      <c r="A1533" s="271">
        <v>1532</v>
      </c>
      <c r="B1533" s="264">
        <v>45905</v>
      </c>
      <c r="C1533" s="292" t="s">
        <v>1449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1473</v>
      </c>
      <c r="E1534" s="292" t="s">
        <v>1746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3149</v>
      </c>
      <c r="E1535" s="292" t="s">
        <v>1746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3450</v>
      </c>
      <c r="E1536" s="292" t="s">
        <v>1746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1473</v>
      </c>
      <c r="E1537" s="292" t="s">
        <v>2187</v>
      </c>
      <c r="F1537" s="269" t="s">
        <v>1207</v>
      </c>
      <c r="G1537" s="265">
        <v>520000</v>
      </c>
      <c r="H1537" s="269">
        <v>2</v>
      </c>
      <c r="K1537" s="265">
        <v>1040000</v>
      </c>
      <c r="N1537" t="s">
        <v>3910</v>
      </c>
    </row>
    <row r="1538" spans="1:14" x14ac:dyDescent="0.3">
      <c r="A1538" s="271">
        <v>1537</v>
      </c>
      <c r="B1538" s="264">
        <v>45904</v>
      </c>
      <c r="C1538" s="292" t="s">
        <v>3404</v>
      </c>
      <c r="E1538" s="292" t="s">
        <v>1746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3457</v>
      </c>
      <c r="E1539" s="292" t="s">
        <v>3464</v>
      </c>
      <c r="F1539" s="269" t="s">
        <v>1207</v>
      </c>
      <c r="G1539" s="265">
        <v>530000</v>
      </c>
      <c r="H1539" s="269">
        <v>1</v>
      </c>
      <c r="K1539" s="265">
        <v>530000</v>
      </c>
      <c r="N1539" t="s">
        <v>3910</v>
      </c>
    </row>
    <row r="1540" spans="1:14" x14ac:dyDescent="0.3">
      <c r="A1540" s="271">
        <v>1539</v>
      </c>
      <c r="B1540" s="264">
        <v>45906</v>
      </c>
      <c r="C1540" s="292" t="s">
        <v>3457</v>
      </c>
      <c r="E1540" s="292" t="s">
        <v>2190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3910</v>
      </c>
    </row>
    <row r="1541" spans="1:14" x14ac:dyDescent="0.3">
      <c r="A1541" s="271">
        <v>1540</v>
      </c>
      <c r="B1541" s="264">
        <v>45906</v>
      </c>
      <c r="C1541" s="292" t="s">
        <v>3457</v>
      </c>
      <c r="E1541" s="292" t="s">
        <v>2191</v>
      </c>
      <c r="F1541" s="269" t="s">
        <v>1795</v>
      </c>
      <c r="G1541" s="265">
        <v>35000</v>
      </c>
      <c r="H1541" s="269">
        <v>1</v>
      </c>
      <c r="K1541" s="265">
        <v>35000</v>
      </c>
      <c r="N1541" t="s">
        <v>3910</v>
      </c>
    </row>
    <row r="1542" spans="1:14" x14ac:dyDescent="0.3">
      <c r="A1542" s="271">
        <v>1541</v>
      </c>
      <c r="B1542" s="264">
        <v>45906</v>
      </c>
      <c r="C1542" s="292" t="s">
        <v>3457</v>
      </c>
      <c r="E1542" s="292" t="s">
        <v>2192</v>
      </c>
      <c r="F1542" s="269" t="s">
        <v>1822</v>
      </c>
      <c r="G1542" s="265">
        <v>10000</v>
      </c>
      <c r="H1542" s="269">
        <v>1</v>
      </c>
      <c r="K1542" s="265">
        <v>10000</v>
      </c>
      <c r="N1542" t="s">
        <v>3910</v>
      </c>
    </row>
    <row r="1543" spans="1:14" x14ac:dyDescent="0.3">
      <c r="A1543" s="271">
        <v>1542</v>
      </c>
      <c r="B1543" s="264">
        <v>45906</v>
      </c>
      <c r="C1543" s="292" t="s">
        <v>2998</v>
      </c>
      <c r="E1543" s="292" t="s">
        <v>3467</v>
      </c>
      <c r="G1543" s="265">
        <v>100000</v>
      </c>
      <c r="H1543" s="269">
        <v>1</v>
      </c>
      <c r="K1543" s="265">
        <v>100000</v>
      </c>
      <c r="N1543" t="s">
        <v>3910</v>
      </c>
    </row>
    <row r="1544" spans="1:14" x14ac:dyDescent="0.3">
      <c r="A1544" s="271">
        <v>1543</v>
      </c>
      <c r="B1544" s="264">
        <v>45906</v>
      </c>
      <c r="C1544" s="292" t="s">
        <v>3460</v>
      </c>
      <c r="E1544" s="292" t="s">
        <v>3469</v>
      </c>
      <c r="F1544" s="269" t="s">
        <v>1563</v>
      </c>
      <c r="G1544" s="265">
        <v>600000</v>
      </c>
      <c r="H1544" s="269">
        <v>1</v>
      </c>
      <c r="K1544" s="265">
        <v>600000</v>
      </c>
      <c r="N1544" t="s">
        <v>3910</v>
      </c>
    </row>
    <row r="1545" spans="1:14" x14ac:dyDescent="0.3">
      <c r="A1545" s="271">
        <v>1544</v>
      </c>
      <c r="B1545" s="264">
        <v>45906</v>
      </c>
      <c r="C1545" s="292" t="s">
        <v>3457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3460</v>
      </c>
      <c r="E1546" s="292" t="s">
        <v>1800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1306</v>
      </c>
      <c r="E1547" s="292" t="s">
        <v>1800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1596</v>
      </c>
      <c r="E1548" s="292" t="s">
        <v>1800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1494</v>
      </c>
      <c r="E1549" s="292" t="s">
        <v>3471</v>
      </c>
      <c r="F1549" s="269" t="s">
        <v>1206</v>
      </c>
      <c r="G1549" s="265">
        <v>100000</v>
      </c>
      <c r="H1549" s="269">
        <v>1</v>
      </c>
      <c r="K1549" s="265">
        <v>100000</v>
      </c>
      <c r="N1549" t="s">
        <v>3910</v>
      </c>
    </row>
    <row r="1550" spans="1:14" x14ac:dyDescent="0.3">
      <c r="A1550" s="271">
        <v>1549</v>
      </c>
      <c r="B1550" s="264">
        <v>45908</v>
      </c>
      <c r="C1550" s="292" t="s">
        <v>1586</v>
      </c>
      <c r="E1550" s="292" t="s">
        <v>2107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3910</v>
      </c>
    </row>
    <row r="1551" spans="1:14" x14ac:dyDescent="0.3">
      <c r="A1551" s="271">
        <v>1550</v>
      </c>
      <c r="B1551" s="264">
        <v>45908</v>
      </c>
      <c r="C1551" s="292" t="s">
        <v>1306</v>
      </c>
      <c r="E1551" s="292" t="s">
        <v>3464</v>
      </c>
      <c r="F1551" s="269" t="s">
        <v>1207</v>
      </c>
      <c r="G1551" s="265">
        <v>530000</v>
      </c>
      <c r="H1551" s="269">
        <v>1</v>
      </c>
      <c r="K1551" s="265">
        <v>530000</v>
      </c>
      <c r="N1551" t="s">
        <v>3910</v>
      </c>
    </row>
    <row r="1552" spans="1:14" x14ac:dyDescent="0.3">
      <c r="A1552" s="271">
        <v>1551</v>
      </c>
      <c r="B1552" s="264">
        <v>45908</v>
      </c>
      <c r="C1552" s="292" t="s">
        <v>1306</v>
      </c>
      <c r="E1552" s="292" t="s">
        <v>2190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3910</v>
      </c>
    </row>
    <row r="1553" spans="1:14" x14ac:dyDescent="0.3">
      <c r="A1553" s="271">
        <v>1552</v>
      </c>
      <c r="B1553" s="264">
        <v>45908</v>
      </c>
      <c r="C1553" s="292" t="s">
        <v>1306</v>
      </c>
      <c r="E1553" s="292" t="s">
        <v>2191</v>
      </c>
      <c r="F1553" s="269" t="s">
        <v>1795</v>
      </c>
      <c r="G1553" s="265">
        <v>35000</v>
      </c>
      <c r="H1553" s="269">
        <v>1</v>
      </c>
      <c r="K1553" s="265">
        <v>35000</v>
      </c>
      <c r="N1553" t="s">
        <v>3910</v>
      </c>
    </row>
    <row r="1554" spans="1:14" x14ac:dyDescent="0.3">
      <c r="A1554" s="271">
        <v>1553</v>
      </c>
      <c r="B1554" s="264">
        <v>45908</v>
      </c>
      <c r="C1554" s="292" t="s">
        <v>1306</v>
      </c>
      <c r="E1554" s="292" t="s">
        <v>2192</v>
      </c>
      <c r="F1554" s="269" t="s">
        <v>1822</v>
      </c>
      <c r="G1554" s="265">
        <v>10000</v>
      </c>
      <c r="H1554" s="269">
        <v>2</v>
      </c>
      <c r="K1554" s="265">
        <v>20000</v>
      </c>
      <c r="N1554" t="s">
        <v>3910</v>
      </c>
    </row>
    <row r="1555" spans="1:14" x14ac:dyDescent="0.3">
      <c r="A1555" s="271">
        <v>1554</v>
      </c>
      <c r="B1555" s="264">
        <v>45908</v>
      </c>
      <c r="C1555" s="292" t="s">
        <v>1580</v>
      </c>
      <c r="E1555" s="292" t="s">
        <v>3464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1671</v>
      </c>
      <c r="E1556" s="292" t="s">
        <v>3477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3910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2137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3910</v>
      </c>
    </row>
    <row r="1558" spans="1:14" x14ac:dyDescent="0.3">
      <c r="A1558" s="271">
        <v>1557</v>
      </c>
      <c r="B1558" s="264">
        <v>45908</v>
      </c>
      <c r="C1558" s="292" t="s">
        <v>1479</v>
      </c>
      <c r="E1558" s="292" t="s">
        <v>3464</v>
      </c>
      <c r="F1558" s="269" t="s">
        <v>1207</v>
      </c>
      <c r="G1558" s="265">
        <v>550000</v>
      </c>
      <c r="H1558" s="269">
        <v>2</v>
      </c>
      <c r="K1558" s="265">
        <v>1100000</v>
      </c>
      <c r="N1558" t="s">
        <v>3910</v>
      </c>
    </row>
    <row r="1559" spans="1:14" x14ac:dyDescent="0.3">
      <c r="A1559" s="271">
        <v>1558</v>
      </c>
      <c r="B1559" s="264">
        <v>45908</v>
      </c>
      <c r="C1559" s="292" t="s">
        <v>1479</v>
      </c>
      <c r="E1559" s="292" t="s">
        <v>2188</v>
      </c>
      <c r="F1559" s="269" t="s">
        <v>1259</v>
      </c>
      <c r="G1559" s="265">
        <v>130000</v>
      </c>
      <c r="H1559" s="269">
        <v>2</v>
      </c>
      <c r="K1559" s="265">
        <v>260000</v>
      </c>
      <c r="N1559" t="s">
        <v>3910</v>
      </c>
    </row>
    <row r="1560" spans="1:14" x14ac:dyDescent="0.3">
      <c r="A1560" s="271">
        <v>1559</v>
      </c>
      <c r="B1560" s="264">
        <v>45908</v>
      </c>
      <c r="C1560" s="292" t="s">
        <v>1479</v>
      </c>
      <c r="E1560" s="292" t="s">
        <v>2192</v>
      </c>
      <c r="F1560" s="269" t="s">
        <v>1822</v>
      </c>
      <c r="G1560" s="265">
        <v>10000</v>
      </c>
      <c r="H1560" s="269">
        <v>2</v>
      </c>
      <c r="K1560" s="265">
        <v>20000</v>
      </c>
      <c r="N1560" t="s">
        <v>3910</v>
      </c>
    </row>
    <row r="1561" spans="1:14" x14ac:dyDescent="0.3">
      <c r="A1561" s="271">
        <v>1560</v>
      </c>
      <c r="B1561" s="264">
        <v>45908</v>
      </c>
      <c r="C1561" s="292" t="s">
        <v>1479</v>
      </c>
      <c r="E1561" s="292" t="s">
        <v>2191</v>
      </c>
      <c r="F1561" s="269" t="s">
        <v>1795</v>
      </c>
      <c r="G1561" s="265">
        <v>35000</v>
      </c>
      <c r="H1561" s="269">
        <v>2</v>
      </c>
      <c r="K1561" s="265">
        <v>70000</v>
      </c>
      <c r="N1561" t="s">
        <v>3910</v>
      </c>
    </row>
    <row r="1562" spans="1:14" x14ac:dyDescent="0.3">
      <c r="A1562" s="271">
        <v>1561</v>
      </c>
      <c r="B1562" s="264">
        <v>45908</v>
      </c>
      <c r="C1562" s="292" t="s">
        <v>1399</v>
      </c>
      <c r="E1562" s="292" t="s">
        <v>1743</v>
      </c>
      <c r="G1562" s="265">
        <v>650000</v>
      </c>
      <c r="H1562" s="269">
        <v>1</v>
      </c>
      <c r="K1562" s="265">
        <v>650000</v>
      </c>
      <c r="N1562" t="s">
        <v>3910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1800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1554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3518</v>
      </c>
      <c r="E1567" s="292" t="s">
        <v>3519</v>
      </c>
      <c r="G1567" s="265">
        <v>1100000</v>
      </c>
      <c r="H1567" s="269">
        <v>1</v>
      </c>
      <c r="J1567" s="266" t="s">
        <v>3520</v>
      </c>
      <c r="K1567" s="265">
        <v>1210000</v>
      </c>
      <c r="N1567" t="s">
        <v>3910</v>
      </c>
    </row>
    <row r="1568" spans="1:14" x14ac:dyDescent="0.3">
      <c r="A1568" s="271">
        <v>1567</v>
      </c>
      <c r="B1568" s="264">
        <v>45909</v>
      </c>
      <c r="C1568" s="292" t="s">
        <v>2410</v>
      </c>
      <c r="E1568" s="292" t="s">
        <v>2189</v>
      </c>
      <c r="G1568" s="265">
        <v>200000</v>
      </c>
      <c r="H1568" s="269">
        <v>1</v>
      </c>
      <c r="K1568" s="265">
        <v>200000</v>
      </c>
      <c r="N1568" t="s">
        <v>3910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2186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3910</v>
      </c>
    </row>
    <row r="1570" spans="1:14" x14ac:dyDescent="0.3">
      <c r="A1570" s="271">
        <v>1569</v>
      </c>
      <c r="B1570" s="264">
        <v>45909</v>
      </c>
      <c r="C1570" s="292" t="s">
        <v>2467</v>
      </c>
      <c r="E1570" s="292" t="s">
        <v>1717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3910</v>
      </c>
    </row>
    <row r="1571" spans="1:14" x14ac:dyDescent="0.3">
      <c r="A1571" s="271">
        <v>1570</v>
      </c>
      <c r="B1571" s="264">
        <v>45909</v>
      </c>
      <c r="C1571" s="292" t="s">
        <v>1867</v>
      </c>
      <c r="E1571" s="292" t="s">
        <v>2197</v>
      </c>
      <c r="F1571" s="269" t="s">
        <v>1198</v>
      </c>
      <c r="G1571" s="265">
        <v>1100000</v>
      </c>
      <c r="H1571" s="269">
        <v>1</v>
      </c>
      <c r="K1571" s="265">
        <v>1100000</v>
      </c>
      <c r="N1571" t="s">
        <v>3910</v>
      </c>
    </row>
    <row r="1572" spans="1:14" x14ac:dyDescent="0.3">
      <c r="A1572" s="271">
        <v>1571</v>
      </c>
      <c r="B1572" s="264">
        <v>45909</v>
      </c>
      <c r="C1572" s="292" t="s">
        <v>1867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2467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1449</v>
      </c>
      <c r="E1575" s="292" t="s">
        <v>3506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3910</v>
      </c>
    </row>
    <row r="1576" spans="1:14" x14ac:dyDescent="0.3">
      <c r="A1576" s="271">
        <v>1575</v>
      </c>
      <c r="B1576" s="264">
        <v>45910</v>
      </c>
      <c r="C1576" s="292" t="s">
        <v>1671</v>
      </c>
      <c r="E1576" s="292" t="s">
        <v>1203</v>
      </c>
      <c r="F1576" s="269" t="s">
        <v>1752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3910</v>
      </c>
    </row>
    <row r="1577" spans="1:14" x14ac:dyDescent="0.3">
      <c r="A1577" s="271">
        <v>1576</v>
      </c>
      <c r="B1577" s="264">
        <v>45910</v>
      </c>
      <c r="C1577" s="292" t="s">
        <v>1671</v>
      </c>
      <c r="E1577" s="292" t="s">
        <v>1496</v>
      </c>
      <c r="F1577" s="269" t="s">
        <v>2679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3910</v>
      </c>
    </row>
    <row r="1578" spans="1:14" x14ac:dyDescent="0.3">
      <c r="A1578" s="271">
        <v>1577</v>
      </c>
      <c r="B1578" s="264">
        <v>45910</v>
      </c>
      <c r="C1578" s="292" t="s">
        <v>3660</v>
      </c>
      <c r="E1578" s="292" t="s">
        <v>3662</v>
      </c>
      <c r="F1578" s="269" t="s">
        <v>3663</v>
      </c>
      <c r="G1578" s="265">
        <v>150000</v>
      </c>
      <c r="H1578" s="269">
        <v>1</v>
      </c>
      <c r="K1578" s="265">
        <v>150000</v>
      </c>
      <c r="M1578" s="292" t="s">
        <v>3664</v>
      </c>
    </row>
    <row r="1579" spans="1:14" x14ac:dyDescent="0.3">
      <c r="A1579" s="271">
        <v>1578</v>
      </c>
      <c r="B1579" s="264">
        <v>45910</v>
      </c>
      <c r="C1579" s="292" t="s">
        <v>1541</v>
      </c>
      <c r="E1579" s="292" t="s">
        <v>1203</v>
      </c>
      <c r="F1579" s="269" t="s">
        <v>1752</v>
      </c>
      <c r="G1579" s="265">
        <v>1200000</v>
      </c>
      <c r="H1579" s="269">
        <v>1</v>
      </c>
      <c r="K1579" s="265">
        <v>1200000</v>
      </c>
      <c r="N1579" t="s">
        <v>3910</v>
      </c>
    </row>
    <row r="1580" spans="1:14" x14ac:dyDescent="0.3">
      <c r="A1580" s="271">
        <v>1579</v>
      </c>
      <c r="B1580" s="264">
        <v>45910</v>
      </c>
      <c r="C1580" s="292" t="s">
        <v>1541</v>
      </c>
      <c r="E1580" s="292" t="s">
        <v>3505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3910</v>
      </c>
    </row>
    <row r="1581" spans="1:14" x14ac:dyDescent="0.3">
      <c r="A1581" s="271">
        <v>1580</v>
      </c>
      <c r="B1581" s="264">
        <v>45910</v>
      </c>
      <c r="C1581" s="292" t="s">
        <v>3502</v>
      </c>
      <c r="E1581" s="292" t="s">
        <v>3464</v>
      </c>
      <c r="F1581" s="269" t="s">
        <v>1207</v>
      </c>
      <c r="G1581" s="265">
        <v>540000</v>
      </c>
      <c r="H1581" s="269">
        <v>1</v>
      </c>
      <c r="K1581" s="265">
        <v>540000</v>
      </c>
      <c r="N1581" t="s">
        <v>3910</v>
      </c>
    </row>
    <row r="1582" spans="1:14" x14ac:dyDescent="0.3">
      <c r="A1582" s="271">
        <v>1581</v>
      </c>
      <c r="B1582" s="264">
        <v>45910</v>
      </c>
      <c r="C1582" s="292" t="s">
        <v>1444</v>
      </c>
      <c r="E1582" s="292" t="s">
        <v>3436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3910</v>
      </c>
    </row>
    <row r="1583" spans="1:14" x14ac:dyDescent="0.3">
      <c r="A1583" s="271">
        <v>1582</v>
      </c>
      <c r="B1583" s="264">
        <v>45910</v>
      </c>
      <c r="C1583" s="292" t="s">
        <v>3388</v>
      </c>
      <c r="E1583" s="292" t="s">
        <v>2180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3910</v>
      </c>
    </row>
    <row r="1584" spans="1:14" x14ac:dyDescent="0.3">
      <c r="A1584" s="271">
        <v>1583</v>
      </c>
      <c r="B1584" s="264">
        <v>45910</v>
      </c>
      <c r="C1584" s="292" t="s">
        <v>3388</v>
      </c>
      <c r="E1584" s="292" t="s">
        <v>2181</v>
      </c>
      <c r="F1584" s="269" t="s">
        <v>1803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3910</v>
      </c>
    </row>
    <row r="1585" spans="1:14" x14ac:dyDescent="0.3">
      <c r="A1585" s="271">
        <v>1584</v>
      </c>
      <c r="B1585" s="264">
        <v>45910</v>
      </c>
      <c r="C1585" s="292" t="s">
        <v>1444</v>
      </c>
      <c r="E1585" s="292" t="s">
        <v>3302</v>
      </c>
      <c r="G1585" s="265">
        <v>-300000</v>
      </c>
      <c r="H1585" s="269">
        <v>2</v>
      </c>
      <c r="L1585" s="265">
        <v>-600000</v>
      </c>
      <c r="N1585" t="s">
        <v>3910</v>
      </c>
    </row>
    <row r="1586" spans="1:14" x14ac:dyDescent="0.3">
      <c r="A1586" s="271">
        <v>1585</v>
      </c>
      <c r="B1586" s="264">
        <v>45910</v>
      </c>
      <c r="C1586" s="292" t="s">
        <v>1306</v>
      </c>
      <c r="E1586" s="292" t="s">
        <v>2194</v>
      </c>
      <c r="G1586" s="265">
        <v>600000</v>
      </c>
      <c r="H1586" s="269">
        <v>1</v>
      </c>
      <c r="K1586" s="265">
        <v>600000</v>
      </c>
      <c r="N1586" t="s">
        <v>3910</v>
      </c>
    </row>
    <row r="1587" spans="1:14" x14ac:dyDescent="0.3">
      <c r="A1587" s="271">
        <v>1586</v>
      </c>
      <c r="B1587" s="264">
        <v>45910</v>
      </c>
      <c r="C1587" s="292" t="s">
        <v>2783</v>
      </c>
      <c r="E1587" s="292" t="s">
        <v>2290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3910</v>
      </c>
    </row>
    <row r="1588" spans="1:14" x14ac:dyDescent="0.3">
      <c r="A1588" s="271">
        <v>1587</v>
      </c>
      <c r="B1588" s="264">
        <v>45910</v>
      </c>
      <c r="C1588" s="292" t="s">
        <v>1790</v>
      </c>
      <c r="E1588" s="292" t="s">
        <v>2194</v>
      </c>
      <c r="G1588" s="265">
        <v>600000</v>
      </c>
      <c r="H1588" s="269">
        <v>1</v>
      </c>
      <c r="K1588" s="265">
        <v>600000</v>
      </c>
      <c r="N1588" t="s">
        <v>3910</v>
      </c>
    </row>
    <row r="1589" spans="1:14" x14ac:dyDescent="0.3">
      <c r="A1589" s="271">
        <v>1588</v>
      </c>
      <c r="B1589" s="264">
        <v>45910</v>
      </c>
      <c r="C1589" s="292" t="s">
        <v>1790</v>
      </c>
      <c r="E1589" s="292" t="s">
        <v>3464</v>
      </c>
      <c r="F1589" s="269" t="s">
        <v>1207</v>
      </c>
      <c r="G1589" s="265">
        <v>540000</v>
      </c>
      <c r="H1589" s="269">
        <v>1</v>
      </c>
      <c r="K1589" s="265">
        <v>540000</v>
      </c>
      <c r="N1589" t="s">
        <v>3910</v>
      </c>
    </row>
    <row r="1590" spans="1:14" x14ac:dyDescent="0.3">
      <c r="A1590" s="271">
        <v>1589</v>
      </c>
      <c r="B1590" s="264">
        <v>45910</v>
      </c>
      <c r="C1590" s="292" t="s">
        <v>1790</v>
      </c>
      <c r="E1590" s="292" t="s">
        <v>2192</v>
      </c>
      <c r="F1590" s="269" t="s">
        <v>1822</v>
      </c>
      <c r="G1590" s="265">
        <v>10000</v>
      </c>
      <c r="H1590" s="269">
        <v>1</v>
      </c>
      <c r="K1590" s="265">
        <v>10000</v>
      </c>
      <c r="N1590" t="s">
        <v>3910</v>
      </c>
    </row>
    <row r="1591" spans="1:14" x14ac:dyDescent="0.3">
      <c r="A1591" s="271">
        <v>1590</v>
      </c>
      <c r="B1591" s="264">
        <v>45910</v>
      </c>
      <c r="C1591" s="292" t="s">
        <v>1790</v>
      </c>
      <c r="E1591" s="292" t="s">
        <v>2191</v>
      </c>
      <c r="F1591" s="269" t="s">
        <v>1795</v>
      </c>
      <c r="G1591" s="265">
        <v>35000</v>
      </c>
      <c r="H1591" s="269">
        <v>1</v>
      </c>
      <c r="K1591" s="265">
        <v>35000</v>
      </c>
      <c r="N1591" t="s">
        <v>3910</v>
      </c>
    </row>
    <row r="1592" spans="1:14" x14ac:dyDescent="0.3">
      <c r="A1592" s="271">
        <v>1591</v>
      </c>
      <c r="B1592" s="264">
        <v>45910</v>
      </c>
      <c r="C1592" s="292" t="s">
        <v>1790</v>
      </c>
      <c r="E1592" s="292" t="s">
        <v>1519</v>
      </c>
      <c r="G1592" s="265">
        <v>20000</v>
      </c>
      <c r="H1592" s="269">
        <v>1</v>
      </c>
      <c r="K1592" s="265">
        <v>20000</v>
      </c>
      <c r="N1592" t="s">
        <v>3910</v>
      </c>
    </row>
    <row r="1593" spans="1:14" x14ac:dyDescent="0.3">
      <c r="A1593" s="271">
        <v>1592</v>
      </c>
      <c r="B1593" s="264">
        <v>45910</v>
      </c>
      <c r="C1593" s="292" t="s">
        <v>1467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3388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1449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2410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1586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2783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3502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1467</v>
      </c>
      <c r="E1601" s="292" t="s">
        <v>3221</v>
      </c>
      <c r="F1601" s="269" t="s">
        <v>3522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2180</v>
      </c>
      <c r="F1602" s="269" t="s">
        <v>1201</v>
      </c>
      <c r="G1602" s="265">
        <v>1500000</v>
      </c>
      <c r="H1602" s="269">
        <v>1</v>
      </c>
      <c r="K1602" s="265">
        <v>1500000</v>
      </c>
      <c r="N1602" t="s">
        <v>3910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2181</v>
      </c>
      <c r="F1603" s="269" t="s">
        <v>1803</v>
      </c>
      <c r="G1603" s="265">
        <v>50000</v>
      </c>
      <c r="H1603" s="269">
        <v>1</v>
      </c>
      <c r="K1603" s="265">
        <v>50000</v>
      </c>
      <c r="N1603" t="s">
        <v>3910</v>
      </c>
    </row>
    <row r="1604" spans="1:14" x14ac:dyDescent="0.3">
      <c r="A1604" s="271">
        <v>1603</v>
      </c>
      <c r="B1604" s="264">
        <v>45911</v>
      </c>
      <c r="C1604" s="292" t="s">
        <v>1812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3910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2396</v>
      </c>
      <c r="F1605" s="269" t="s">
        <v>2887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3910</v>
      </c>
    </row>
    <row r="1606" spans="1:14" x14ac:dyDescent="0.3">
      <c r="A1606" s="271">
        <v>1605</v>
      </c>
      <c r="B1606" s="264">
        <v>45911</v>
      </c>
      <c r="C1606" s="292" t="s">
        <v>1449</v>
      </c>
      <c r="E1606" s="292" t="s">
        <v>3377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3910</v>
      </c>
    </row>
    <row r="1607" spans="1:14" x14ac:dyDescent="0.3">
      <c r="A1607" s="271">
        <v>1606</v>
      </c>
      <c r="B1607" s="264">
        <v>45911</v>
      </c>
      <c r="C1607" s="292" t="s">
        <v>1449</v>
      </c>
      <c r="E1607" s="292" t="s">
        <v>1549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3910</v>
      </c>
    </row>
    <row r="1608" spans="1:14" x14ac:dyDescent="0.3">
      <c r="A1608" s="271">
        <v>1607</v>
      </c>
      <c r="B1608" s="264">
        <v>45911</v>
      </c>
      <c r="C1608" s="292" t="s">
        <v>1449</v>
      </c>
      <c r="E1608" s="292" t="s">
        <v>3529</v>
      </c>
      <c r="F1608" s="269" t="s">
        <v>3528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3910</v>
      </c>
    </row>
    <row r="1609" spans="1:14" x14ac:dyDescent="0.3">
      <c r="A1609" s="271">
        <v>1608</v>
      </c>
      <c r="B1609" s="264">
        <v>45911</v>
      </c>
      <c r="C1609" s="292" t="s">
        <v>1399</v>
      </c>
      <c r="E1609" s="292" t="s">
        <v>2413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3910</v>
      </c>
    </row>
    <row r="1610" spans="1:14" x14ac:dyDescent="0.3">
      <c r="A1610" s="271">
        <v>1609</v>
      </c>
      <c r="B1610" s="264">
        <v>45911</v>
      </c>
      <c r="C1610" s="292" t="s">
        <v>1790</v>
      </c>
      <c r="E1610" s="292" t="s">
        <v>3377</v>
      </c>
      <c r="G1610" s="265">
        <v>450000</v>
      </c>
      <c r="H1610" s="269">
        <v>1</v>
      </c>
      <c r="K1610" s="265">
        <v>450000</v>
      </c>
      <c r="N1610" t="s">
        <v>3910</v>
      </c>
    </row>
    <row r="1611" spans="1:14" x14ac:dyDescent="0.3">
      <c r="A1611" s="271">
        <v>1610</v>
      </c>
      <c r="B1611" s="264">
        <v>45911</v>
      </c>
      <c r="C1611" s="292" t="s">
        <v>1790</v>
      </c>
      <c r="E1611" s="292" t="s">
        <v>1519</v>
      </c>
      <c r="G1611" s="265">
        <v>20000</v>
      </c>
      <c r="H1611" s="269">
        <v>1</v>
      </c>
      <c r="K1611" s="265">
        <v>20000</v>
      </c>
      <c r="N1611" t="s">
        <v>3910</v>
      </c>
    </row>
    <row r="1612" spans="1:14" x14ac:dyDescent="0.3">
      <c r="A1612" s="271">
        <v>1611</v>
      </c>
      <c r="B1612" s="264">
        <v>45911</v>
      </c>
      <c r="C1612" s="292" t="s">
        <v>3115</v>
      </c>
      <c r="E1612" s="292" t="s">
        <v>1743</v>
      </c>
      <c r="G1612" s="265">
        <v>650000</v>
      </c>
      <c r="H1612" s="269">
        <v>1</v>
      </c>
      <c r="K1612" s="265">
        <v>650000</v>
      </c>
      <c r="N1612" t="s">
        <v>3910</v>
      </c>
    </row>
    <row r="1613" spans="1:14" x14ac:dyDescent="0.3">
      <c r="A1613" s="271">
        <v>1612</v>
      </c>
      <c r="B1613" s="264">
        <v>45911</v>
      </c>
      <c r="C1613" s="292" t="s">
        <v>1580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3115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1473</v>
      </c>
      <c r="E1616" s="292" t="s">
        <v>2196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3910</v>
      </c>
    </row>
    <row r="1617" spans="1:14" x14ac:dyDescent="0.3">
      <c r="A1617" s="271">
        <v>1616</v>
      </c>
      <c r="B1617" s="264">
        <v>45912</v>
      </c>
      <c r="C1617" s="292" t="s">
        <v>1671</v>
      </c>
      <c r="E1617" s="292" t="s">
        <v>2418</v>
      </c>
      <c r="F1617" s="269" t="s">
        <v>2748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3910</v>
      </c>
    </row>
    <row r="1618" spans="1:14" x14ac:dyDescent="0.3">
      <c r="A1618" s="271">
        <v>1617</v>
      </c>
      <c r="B1618" s="264">
        <v>45912</v>
      </c>
      <c r="C1618" s="292" t="s">
        <v>1722</v>
      </c>
      <c r="E1618" s="292" t="s">
        <v>1535</v>
      </c>
      <c r="G1618" s="265">
        <v>450000</v>
      </c>
      <c r="H1618" s="269">
        <v>1</v>
      </c>
      <c r="K1618" s="265">
        <v>450000</v>
      </c>
      <c r="N1618" t="s">
        <v>3910</v>
      </c>
    </row>
    <row r="1619" spans="1:14" x14ac:dyDescent="0.3">
      <c r="A1619" s="271">
        <v>1618</v>
      </c>
      <c r="B1619" s="264">
        <v>45912</v>
      </c>
      <c r="C1619" s="292" t="s">
        <v>2916</v>
      </c>
      <c r="E1619" s="292" t="s">
        <v>2940</v>
      </c>
      <c r="F1619" s="269" t="s">
        <v>3117</v>
      </c>
      <c r="G1619" s="265">
        <v>900000</v>
      </c>
      <c r="H1619" s="269">
        <v>1</v>
      </c>
      <c r="K1619" s="265">
        <v>900000</v>
      </c>
      <c r="N1619" t="s">
        <v>3910</v>
      </c>
    </row>
    <row r="1620" spans="1:14" x14ac:dyDescent="0.3">
      <c r="A1620" s="271">
        <v>1619</v>
      </c>
      <c r="B1620" s="264">
        <v>45912</v>
      </c>
      <c r="C1620" s="292" t="s">
        <v>1722</v>
      </c>
      <c r="E1620" s="292" t="s">
        <v>3540</v>
      </c>
      <c r="F1620" s="269" t="s">
        <v>2327</v>
      </c>
      <c r="G1620" s="265">
        <v>900000</v>
      </c>
      <c r="H1620" s="269">
        <v>1</v>
      </c>
      <c r="K1620" s="265">
        <v>900000</v>
      </c>
      <c r="N1620" t="s">
        <v>3910</v>
      </c>
    </row>
    <row r="1621" spans="1:14" x14ac:dyDescent="0.3">
      <c r="A1621" s="271">
        <v>1620</v>
      </c>
      <c r="B1621" s="264">
        <v>45912</v>
      </c>
      <c r="C1621" s="292" t="s">
        <v>1469</v>
      </c>
      <c r="E1621" s="292" t="s">
        <v>2189</v>
      </c>
      <c r="G1621" s="265">
        <v>300000</v>
      </c>
      <c r="H1621" s="269">
        <v>1</v>
      </c>
      <c r="K1621" s="265">
        <v>300000</v>
      </c>
      <c r="N1621" t="s">
        <v>3910</v>
      </c>
    </row>
    <row r="1622" spans="1:14" x14ac:dyDescent="0.3">
      <c r="A1622" s="271">
        <v>1621</v>
      </c>
      <c r="B1622" s="264">
        <v>45912</v>
      </c>
      <c r="C1622" s="292" t="s">
        <v>3543</v>
      </c>
      <c r="E1622" s="292" t="s">
        <v>3273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3910</v>
      </c>
    </row>
    <row r="1623" spans="1:14" x14ac:dyDescent="0.3">
      <c r="A1623" s="271">
        <v>1622</v>
      </c>
      <c r="B1623" s="264">
        <v>45912</v>
      </c>
      <c r="C1623" s="292" t="s">
        <v>3545</v>
      </c>
      <c r="E1623" s="292" t="s">
        <v>3546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1449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3543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1722</v>
      </c>
      <c r="E1626" s="292" t="s">
        <v>1744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3910</v>
      </c>
    </row>
    <row r="1627" spans="1:14" x14ac:dyDescent="0.3">
      <c r="A1627" s="271">
        <v>1626</v>
      </c>
      <c r="B1627" s="264">
        <v>45915</v>
      </c>
      <c r="C1627" s="292" t="s">
        <v>1449</v>
      </c>
      <c r="E1627" s="292" t="s">
        <v>1203</v>
      </c>
      <c r="F1627" s="269" t="s">
        <v>1752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3910</v>
      </c>
    </row>
    <row r="1628" spans="1:14" x14ac:dyDescent="0.3">
      <c r="A1628" s="271">
        <v>1627</v>
      </c>
      <c r="B1628" s="264">
        <v>45915</v>
      </c>
      <c r="C1628" s="292" t="s">
        <v>1980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  <c r="N1628" t="s">
        <v>3910</v>
      </c>
    </row>
    <row r="1629" spans="1:14" x14ac:dyDescent="0.3">
      <c r="A1629" s="271">
        <v>1628</v>
      </c>
      <c r="B1629" s="264">
        <v>45915</v>
      </c>
      <c r="C1629" s="292" t="s">
        <v>1980</v>
      </c>
      <c r="E1629" s="292" t="s">
        <v>2913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3910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2180</v>
      </c>
      <c r="F1630" s="269" t="s">
        <v>1201</v>
      </c>
      <c r="G1630" s="265">
        <v>1500000</v>
      </c>
      <c r="H1630" s="269">
        <v>1</v>
      </c>
      <c r="K1630" s="265">
        <v>1500000</v>
      </c>
      <c r="N1630" t="s">
        <v>3910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2181</v>
      </c>
      <c r="F1631" s="269" t="s">
        <v>1803</v>
      </c>
      <c r="G1631" s="265">
        <v>50000</v>
      </c>
      <c r="H1631" s="269">
        <v>1</v>
      </c>
      <c r="K1631" s="265">
        <v>50000</v>
      </c>
      <c r="N1631" t="s">
        <v>3910</v>
      </c>
    </row>
    <row r="1632" spans="1:14" x14ac:dyDescent="0.3">
      <c r="A1632" s="271">
        <v>1631</v>
      </c>
      <c r="B1632" s="264">
        <v>45915</v>
      </c>
      <c r="C1632" s="292" t="s">
        <v>1861</v>
      </c>
      <c r="E1632" s="292" t="s">
        <v>3549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3910</v>
      </c>
    </row>
    <row r="1633" spans="1:14" x14ac:dyDescent="0.3">
      <c r="A1633" s="271">
        <v>1632</v>
      </c>
      <c r="B1633" s="264">
        <v>45915</v>
      </c>
      <c r="C1633" s="292" t="s">
        <v>1399</v>
      </c>
      <c r="E1633" s="292" t="s">
        <v>1743</v>
      </c>
      <c r="G1633" s="265">
        <v>650000</v>
      </c>
      <c r="H1633" s="269">
        <v>1</v>
      </c>
      <c r="K1633" s="265">
        <v>650000</v>
      </c>
      <c r="N1633" t="s">
        <v>3910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1717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3910</v>
      </c>
    </row>
    <row r="1635" spans="1:14" x14ac:dyDescent="0.3">
      <c r="A1635" s="271">
        <v>1634</v>
      </c>
      <c r="B1635" s="264">
        <v>45915</v>
      </c>
      <c r="C1635" s="292" t="s">
        <v>1444</v>
      </c>
      <c r="E1635" s="292" t="s">
        <v>2195</v>
      </c>
      <c r="G1635" s="265">
        <v>300000</v>
      </c>
      <c r="H1635" s="269">
        <v>3</v>
      </c>
      <c r="K1635" s="265">
        <v>900000</v>
      </c>
      <c r="N1635" t="s">
        <v>3910</v>
      </c>
    </row>
    <row r="1636" spans="1:14" x14ac:dyDescent="0.3">
      <c r="A1636" s="271">
        <v>1635</v>
      </c>
      <c r="B1636" s="264">
        <v>45915</v>
      </c>
      <c r="C1636" s="292" t="s">
        <v>1444</v>
      </c>
      <c r="E1636" s="292" t="s">
        <v>3558</v>
      </c>
      <c r="L1636" s="265">
        <v>-1000000</v>
      </c>
      <c r="N1636" t="s">
        <v>3910</v>
      </c>
    </row>
    <row r="1637" spans="1:14" x14ac:dyDescent="0.3">
      <c r="A1637" s="271">
        <v>1636</v>
      </c>
      <c r="B1637" s="264">
        <v>45915</v>
      </c>
      <c r="C1637" s="292" t="s">
        <v>1580</v>
      </c>
      <c r="E1637" s="292" t="s">
        <v>2056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1747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2623</v>
      </c>
      <c r="E1639" s="292" t="s">
        <v>1746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1980</v>
      </c>
      <c r="E1640" s="292" t="s">
        <v>1746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1671</v>
      </c>
      <c r="E1641" s="292" t="s">
        <v>1746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1580</v>
      </c>
      <c r="E1642" s="292" t="s">
        <v>3464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3910</v>
      </c>
    </row>
    <row r="1643" spans="1:14" x14ac:dyDescent="0.3">
      <c r="A1643" s="271">
        <v>1642</v>
      </c>
      <c r="B1643" s="264">
        <v>45916</v>
      </c>
      <c r="C1643" s="292" t="s">
        <v>2292</v>
      </c>
      <c r="E1643" s="292" t="s">
        <v>3464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3910</v>
      </c>
    </row>
    <row r="1644" spans="1:14" x14ac:dyDescent="0.3">
      <c r="A1644" s="271">
        <v>1643</v>
      </c>
      <c r="B1644" s="264">
        <v>45916</v>
      </c>
      <c r="C1644" s="292" t="s">
        <v>1980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3561</v>
      </c>
      <c r="N1644" t="s">
        <v>3910</v>
      </c>
    </row>
    <row r="1645" spans="1:14" x14ac:dyDescent="0.3">
      <c r="A1645" s="271">
        <v>1644</v>
      </c>
      <c r="B1645" s="264">
        <v>45916</v>
      </c>
      <c r="C1645" s="292" t="s">
        <v>1444</v>
      </c>
      <c r="E1645" s="292" t="s">
        <v>2196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3910</v>
      </c>
    </row>
    <row r="1646" spans="1:14" x14ac:dyDescent="0.3">
      <c r="A1646" s="271">
        <v>1645</v>
      </c>
      <c r="B1646" s="264">
        <v>45916</v>
      </c>
      <c r="C1646" s="292" t="s">
        <v>1454</v>
      </c>
      <c r="E1646" s="292" t="s">
        <v>2137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3910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1205</v>
      </c>
      <c r="F1647" s="269" t="s">
        <v>1992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3910</v>
      </c>
    </row>
    <row r="1648" spans="1:14" x14ac:dyDescent="0.3">
      <c r="A1648" s="271">
        <v>1647</v>
      </c>
      <c r="B1648" s="264">
        <v>45916</v>
      </c>
      <c r="C1648" s="292" t="s">
        <v>1722</v>
      </c>
      <c r="E1648" s="292" t="s">
        <v>1549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3910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2194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3910</v>
      </c>
    </row>
    <row r="1650" spans="1:14" x14ac:dyDescent="0.3">
      <c r="A1650" s="271">
        <v>1649</v>
      </c>
      <c r="B1650" s="264">
        <v>45916</v>
      </c>
      <c r="C1650" s="292" t="s">
        <v>1494</v>
      </c>
      <c r="E1650" s="292" t="s">
        <v>2299</v>
      </c>
      <c r="G1650" s="265">
        <v>650000</v>
      </c>
      <c r="H1650" s="269">
        <v>1</v>
      </c>
      <c r="K1650" s="265">
        <v>650000</v>
      </c>
      <c r="N1650" t="s">
        <v>3910</v>
      </c>
    </row>
    <row r="1651" spans="1:14" x14ac:dyDescent="0.3">
      <c r="A1651" s="271">
        <v>1650</v>
      </c>
      <c r="B1651" s="264">
        <v>45916</v>
      </c>
      <c r="C1651" s="292" t="s">
        <v>1449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2292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1494</v>
      </c>
      <c r="E1653" s="292" t="s">
        <v>1746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1746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1473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1469</v>
      </c>
      <c r="E1656" s="292" t="s">
        <v>1746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1812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3574</v>
      </c>
      <c r="E1658" s="292" t="s">
        <v>3464</v>
      </c>
      <c r="F1658" s="269" t="s">
        <v>1207</v>
      </c>
      <c r="G1658" s="265">
        <v>530000</v>
      </c>
      <c r="H1658" s="269">
        <v>2</v>
      </c>
      <c r="K1658" s="265">
        <v>1060000</v>
      </c>
      <c r="N1658" t="s">
        <v>3910</v>
      </c>
    </row>
    <row r="1659" spans="1:14" x14ac:dyDescent="0.3">
      <c r="A1659" s="271">
        <v>1658</v>
      </c>
      <c r="B1659" s="264">
        <v>45917</v>
      </c>
      <c r="C1659" s="292" t="s">
        <v>1805</v>
      </c>
      <c r="E1659" s="292" t="s">
        <v>3464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3910</v>
      </c>
    </row>
    <row r="1660" spans="1:14" x14ac:dyDescent="0.3">
      <c r="A1660" s="271">
        <v>1659</v>
      </c>
      <c r="B1660" s="264">
        <v>45917</v>
      </c>
      <c r="C1660" s="292" t="s">
        <v>1805</v>
      </c>
      <c r="E1660" s="292" t="s">
        <v>2186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3910</v>
      </c>
    </row>
    <row r="1661" spans="1:14" x14ac:dyDescent="0.3">
      <c r="A1661" s="271">
        <v>1660</v>
      </c>
      <c r="B1661" s="264">
        <v>45917</v>
      </c>
      <c r="C1661" s="292" t="s">
        <v>1805</v>
      </c>
      <c r="E1661" s="292" t="s">
        <v>2188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3910</v>
      </c>
    </row>
    <row r="1662" spans="1:14" x14ac:dyDescent="0.3">
      <c r="A1662" s="271">
        <v>1661</v>
      </c>
      <c r="B1662" s="264">
        <v>45917</v>
      </c>
      <c r="C1662" s="292" t="s">
        <v>1805</v>
      </c>
      <c r="E1662" s="292" t="s">
        <v>2192</v>
      </c>
      <c r="F1662" s="269" t="s">
        <v>1822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3910</v>
      </c>
    </row>
    <row r="1663" spans="1:14" x14ac:dyDescent="0.3">
      <c r="A1663" s="271">
        <v>1662</v>
      </c>
      <c r="B1663" s="264">
        <v>45917</v>
      </c>
      <c r="C1663" s="292" t="s">
        <v>1747</v>
      </c>
      <c r="E1663" s="292" t="s">
        <v>2299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3910</v>
      </c>
    </row>
    <row r="1664" spans="1:14" x14ac:dyDescent="0.3">
      <c r="A1664" s="271">
        <v>1663</v>
      </c>
      <c r="B1664" s="264">
        <v>45917</v>
      </c>
      <c r="C1664" s="292" t="s">
        <v>1747</v>
      </c>
      <c r="E1664" s="292" t="s">
        <v>2190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3910</v>
      </c>
    </row>
    <row r="1665" spans="1:14" x14ac:dyDescent="0.3">
      <c r="A1665" s="271">
        <v>1664</v>
      </c>
      <c r="B1665" s="264">
        <v>45917</v>
      </c>
      <c r="C1665" s="292" t="s">
        <v>1747</v>
      </c>
      <c r="E1665" s="292" t="s">
        <v>2190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3910</v>
      </c>
    </row>
    <row r="1666" spans="1:14" x14ac:dyDescent="0.3">
      <c r="A1666" s="271">
        <v>1665</v>
      </c>
      <c r="B1666" s="264">
        <v>45917</v>
      </c>
      <c r="C1666" s="292" t="s">
        <v>1747</v>
      </c>
      <c r="E1666" s="292" t="s">
        <v>1519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3910</v>
      </c>
    </row>
    <row r="1667" spans="1:14" x14ac:dyDescent="0.3">
      <c r="A1667" s="271">
        <v>1666</v>
      </c>
      <c r="B1667" s="264">
        <v>45917</v>
      </c>
      <c r="C1667" s="292" t="s">
        <v>1722</v>
      </c>
      <c r="E1667" s="292" t="s">
        <v>3584</v>
      </c>
      <c r="G1667" s="265">
        <v>2200000</v>
      </c>
      <c r="H1667" s="269">
        <v>1</v>
      </c>
      <c r="K1667" s="265">
        <v>2200000</v>
      </c>
      <c r="N1667" t="s">
        <v>3910</v>
      </c>
    </row>
    <row r="1668" spans="1:14" x14ac:dyDescent="0.3">
      <c r="A1668" s="271">
        <v>1667</v>
      </c>
      <c r="B1668" s="264">
        <v>45917</v>
      </c>
      <c r="C1668" s="292" t="s">
        <v>1722</v>
      </c>
      <c r="E1668" s="292" t="s">
        <v>1716</v>
      </c>
      <c r="F1668" s="269" t="s">
        <v>1715</v>
      </c>
      <c r="G1668" s="265">
        <v>15000</v>
      </c>
      <c r="H1668" s="269">
        <v>4</v>
      </c>
      <c r="K1668" s="265">
        <v>60000</v>
      </c>
      <c r="N1668" t="s">
        <v>3910</v>
      </c>
    </row>
    <row r="1669" spans="1:14" x14ac:dyDescent="0.3">
      <c r="A1669" s="271">
        <v>1668</v>
      </c>
      <c r="B1669" s="264">
        <v>45917</v>
      </c>
      <c r="C1669" s="292" t="s">
        <v>2145</v>
      </c>
      <c r="E1669" s="292" t="s">
        <v>3464</v>
      </c>
      <c r="F1669" s="269" t="s">
        <v>1207</v>
      </c>
      <c r="G1669" s="265">
        <v>540000</v>
      </c>
      <c r="H1669" s="269">
        <v>1</v>
      </c>
      <c r="K1669" s="265">
        <v>540000</v>
      </c>
      <c r="N1669" t="s">
        <v>3910</v>
      </c>
    </row>
    <row r="1670" spans="1:14" x14ac:dyDescent="0.3">
      <c r="A1670" s="271">
        <v>1669</v>
      </c>
      <c r="B1670" s="264">
        <v>45917</v>
      </c>
      <c r="C1670" s="292" t="s">
        <v>2145</v>
      </c>
      <c r="E1670" s="292" t="s">
        <v>2186</v>
      </c>
      <c r="F1670" s="269" t="s">
        <v>1200</v>
      </c>
      <c r="G1670" s="265">
        <v>1000000</v>
      </c>
      <c r="H1670" s="269">
        <v>1</v>
      </c>
      <c r="K1670" s="265">
        <v>1000000</v>
      </c>
      <c r="N1670" t="s">
        <v>3910</v>
      </c>
    </row>
    <row r="1671" spans="1:14" x14ac:dyDescent="0.3">
      <c r="A1671" s="271">
        <v>1670</v>
      </c>
      <c r="B1671" s="264">
        <v>45917</v>
      </c>
      <c r="C1671" s="292" t="s">
        <v>2145</v>
      </c>
      <c r="E1671" s="292" t="s">
        <v>2191</v>
      </c>
      <c r="F1671" s="269" t="s">
        <v>1795</v>
      </c>
      <c r="G1671" s="265">
        <v>35000</v>
      </c>
      <c r="H1671" s="269">
        <v>1</v>
      </c>
      <c r="K1671" s="265">
        <v>35000</v>
      </c>
      <c r="N1671" t="s">
        <v>3910</v>
      </c>
    </row>
    <row r="1672" spans="1:14" x14ac:dyDescent="0.3">
      <c r="A1672" s="271">
        <v>1671</v>
      </c>
      <c r="B1672" s="264">
        <v>45917</v>
      </c>
      <c r="C1672" s="292" t="s">
        <v>2148</v>
      </c>
      <c r="E1672" s="292" t="s">
        <v>1717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3910</v>
      </c>
    </row>
    <row r="1673" spans="1:14" x14ac:dyDescent="0.3">
      <c r="A1673" s="271">
        <v>1672</v>
      </c>
      <c r="B1673" s="264">
        <v>45917</v>
      </c>
      <c r="C1673" s="292" t="s">
        <v>1671</v>
      </c>
      <c r="E1673" s="292" t="s">
        <v>2290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3910</v>
      </c>
    </row>
    <row r="1674" spans="1:14" x14ac:dyDescent="0.3">
      <c r="A1674" s="271">
        <v>1673</v>
      </c>
      <c r="B1674" s="264">
        <v>45918</v>
      </c>
      <c r="C1674" s="292" t="s">
        <v>1980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1399</v>
      </c>
      <c r="E1675" s="292" t="s">
        <v>3584</v>
      </c>
      <c r="F1675" s="269" t="s">
        <v>3594</v>
      </c>
      <c r="G1675" s="265">
        <v>900000</v>
      </c>
      <c r="H1675" s="269">
        <v>1</v>
      </c>
      <c r="K1675" s="265">
        <v>900000</v>
      </c>
      <c r="N1675" t="s">
        <v>3910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2805</v>
      </c>
      <c r="F1676" s="269" t="s">
        <v>2804</v>
      </c>
      <c r="G1676" s="265">
        <v>450000</v>
      </c>
      <c r="H1676" s="269">
        <v>1</v>
      </c>
      <c r="K1676" s="265">
        <v>450000</v>
      </c>
      <c r="N1676" t="s">
        <v>3910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2183</v>
      </c>
      <c r="F1677" s="269" t="s">
        <v>1720</v>
      </c>
      <c r="G1677" s="265">
        <v>70000</v>
      </c>
      <c r="H1677" s="269">
        <v>1</v>
      </c>
      <c r="K1677" s="265">
        <v>70000</v>
      </c>
      <c r="N1677" t="s">
        <v>3910</v>
      </c>
    </row>
    <row r="1678" spans="1:14" x14ac:dyDescent="0.3">
      <c r="A1678" s="271">
        <v>1677</v>
      </c>
      <c r="B1678" s="264">
        <v>45918</v>
      </c>
      <c r="C1678" s="292" t="s">
        <v>1467</v>
      </c>
      <c r="E1678" s="292" t="s">
        <v>2680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1473</v>
      </c>
      <c r="E1679" s="292" t="s">
        <v>1203</v>
      </c>
      <c r="F1679" s="269" t="s">
        <v>1752</v>
      </c>
      <c r="G1679" s="265">
        <v>1100000</v>
      </c>
      <c r="H1679" s="269">
        <v>1</v>
      </c>
      <c r="K1679" s="265">
        <v>1100000</v>
      </c>
      <c r="N1679" t="s">
        <v>3910</v>
      </c>
    </row>
    <row r="1680" spans="1:14" x14ac:dyDescent="0.3">
      <c r="A1680" s="271">
        <v>1679</v>
      </c>
      <c r="B1680" s="264">
        <v>45918</v>
      </c>
      <c r="C1680" s="292" t="s">
        <v>3120</v>
      </c>
      <c r="E1680" s="292" t="s">
        <v>2043</v>
      </c>
      <c r="F1680" s="269" t="s">
        <v>3604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3910</v>
      </c>
    </row>
    <row r="1681" spans="1:14" x14ac:dyDescent="0.3">
      <c r="A1681" s="271">
        <v>1680</v>
      </c>
      <c r="B1681" s="264">
        <v>45918</v>
      </c>
      <c r="C1681" s="292" t="s">
        <v>1931</v>
      </c>
      <c r="E1681" s="292" t="s">
        <v>3042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3910</v>
      </c>
    </row>
    <row r="1682" spans="1:14" x14ac:dyDescent="0.3">
      <c r="A1682" s="271">
        <v>1681</v>
      </c>
      <c r="B1682" s="264">
        <v>45918</v>
      </c>
      <c r="C1682" s="292" t="s">
        <v>1931</v>
      </c>
      <c r="E1682" s="292" t="s">
        <v>2904</v>
      </c>
      <c r="G1682" s="265">
        <v>50000</v>
      </c>
      <c r="H1682" s="269">
        <v>1</v>
      </c>
      <c r="K1682" s="265">
        <v>50000</v>
      </c>
      <c r="N1682" t="s">
        <v>3910</v>
      </c>
    </row>
    <row r="1683" spans="1:14" x14ac:dyDescent="0.3">
      <c r="A1683" s="271">
        <v>1682</v>
      </c>
      <c r="B1683" s="264">
        <v>45918</v>
      </c>
      <c r="C1683" s="292" t="s">
        <v>3449</v>
      </c>
      <c r="E1683" s="292" t="s">
        <v>3596</v>
      </c>
      <c r="F1683" s="269" t="s">
        <v>3595</v>
      </c>
      <c r="G1683" s="265">
        <v>300000</v>
      </c>
      <c r="H1683" s="269">
        <v>1</v>
      </c>
      <c r="K1683" s="265">
        <v>300000</v>
      </c>
      <c r="N1683" t="s">
        <v>3910</v>
      </c>
    </row>
    <row r="1684" spans="1:14" x14ac:dyDescent="0.3">
      <c r="A1684" s="271">
        <v>1683</v>
      </c>
      <c r="B1684" s="264">
        <v>45918</v>
      </c>
      <c r="C1684" s="292" t="s">
        <v>1444</v>
      </c>
      <c r="E1684" s="292" t="s">
        <v>2027</v>
      </c>
      <c r="F1684" s="269" t="s">
        <v>1216</v>
      </c>
      <c r="G1684" s="265">
        <v>1500000</v>
      </c>
      <c r="H1684" s="269">
        <v>1</v>
      </c>
      <c r="K1684" s="265">
        <v>1500000</v>
      </c>
      <c r="N1684" t="s">
        <v>3910</v>
      </c>
    </row>
    <row r="1685" spans="1:14" x14ac:dyDescent="0.3">
      <c r="A1685" s="271">
        <v>1684</v>
      </c>
      <c r="B1685" s="264">
        <v>45918</v>
      </c>
      <c r="C1685" s="292" t="s">
        <v>1444</v>
      </c>
      <c r="E1685" s="292" t="s">
        <v>3593</v>
      </c>
      <c r="F1685" s="269" t="s">
        <v>3592</v>
      </c>
      <c r="G1685" s="265">
        <v>130000</v>
      </c>
      <c r="H1685" s="269">
        <v>1</v>
      </c>
      <c r="K1685" s="265">
        <v>130000</v>
      </c>
      <c r="N1685" t="s">
        <v>3910</v>
      </c>
    </row>
    <row r="1686" spans="1:14" x14ac:dyDescent="0.3">
      <c r="A1686" s="271">
        <v>1685</v>
      </c>
      <c r="B1686" s="264">
        <v>45918</v>
      </c>
      <c r="C1686" s="292" t="s">
        <v>1444</v>
      </c>
      <c r="E1686" s="292" t="s">
        <v>3584</v>
      </c>
      <c r="F1686" s="269" t="s">
        <v>3594</v>
      </c>
      <c r="G1686" s="265">
        <v>2200000</v>
      </c>
      <c r="H1686" s="269">
        <v>1</v>
      </c>
      <c r="K1686" s="265">
        <v>2200000</v>
      </c>
      <c r="N1686" t="s">
        <v>3910</v>
      </c>
    </row>
    <row r="1687" spans="1:14" x14ac:dyDescent="0.3">
      <c r="A1687" s="271">
        <v>1686</v>
      </c>
      <c r="B1687" s="264">
        <v>45918</v>
      </c>
      <c r="C1687" s="292" t="s">
        <v>1747</v>
      </c>
      <c r="E1687" s="292" t="s">
        <v>3590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3910</v>
      </c>
    </row>
    <row r="1688" spans="1:14" x14ac:dyDescent="0.3">
      <c r="A1688" s="271">
        <v>1687</v>
      </c>
      <c r="B1688" s="264">
        <v>45918</v>
      </c>
      <c r="C1688" s="292" t="s">
        <v>2809</v>
      </c>
      <c r="E1688" s="292" t="s">
        <v>1535</v>
      </c>
      <c r="G1688" s="265">
        <v>450000</v>
      </c>
      <c r="H1688" s="269">
        <v>1</v>
      </c>
      <c r="K1688" s="265">
        <v>450000</v>
      </c>
      <c r="N1688" t="s">
        <v>3910</v>
      </c>
    </row>
    <row r="1689" spans="1:14" x14ac:dyDescent="0.3">
      <c r="A1689" s="271">
        <v>1688</v>
      </c>
      <c r="B1689" s="264">
        <v>45918</v>
      </c>
      <c r="C1689" s="292" t="s">
        <v>3115</v>
      </c>
      <c r="E1689" s="292" t="s">
        <v>2196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3910</v>
      </c>
    </row>
    <row r="1690" spans="1:14" x14ac:dyDescent="0.3">
      <c r="A1690" s="271">
        <v>1689</v>
      </c>
      <c r="B1690" s="264">
        <v>45918</v>
      </c>
      <c r="C1690" s="292" t="s">
        <v>2704</v>
      </c>
      <c r="E1690" s="292" t="s">
        <v>1561</v>
      </c>
      <c r="F1690" s="269" t="s">
        <v>2697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3911</v>
      </c>
    </row>
    <row r="1691" spans="1:14" x14ac:dyDescent="0.3">
      <c r="A1691" s="271">
        <v>1690</v>
      </c>
      <c r="B1691" s="264">
        <v>45918</v>
      </c>
      <c r="C1691" s="292" t="s">
        <v>2704</v>
      </c>
      <c r="E1691" s="292" t="s">
        <v>1737</v>
      </c>
      <c r="F1691" s="269" t="s">
        <v>2834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3626</v>
      </c>
      <c r="E1692" s="292" t="s">
        <v>3627</v>
      </c>
      <c r="F1692" s="269" t="s">
        <v>3628</v>
      </c>
      <c r="G1692" s="265">
        <v>350000</v>
      </c>
      <c r="H1692" s="269">
        <v>2</v>
      </c>
      <c r="J1692" s="266" t="s">
        <v>3629</v>
      </c>
      <c r="K1692" s="265">
        <v>770000</v>
      </c>
      <c r="N1692" t="s">
        <v>3910</v>
      </c>
    </row>
    <row r="1693" spans="1:14" x14ac:dyDescent="0.3">
      <c r="A1693" s="271">
        <v>1692</v>
      </c>
      <c r="B1693" s="264">
        <v>45918</v>
      </c>
      <c r="C1693" s="292" t="s">
        <v>3115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1454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2148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3449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3574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2183</v>
      </c>
      <c r="F1699" s="269" t="s">
        <v>1720</v>
      </c>
      <c r="G1699" s="265">
        <v>60000</v>
      </c>
      <c r="H1699" s="269">
        <v>1</v>
      </c>
      <c r="K1699" s="265">
        <v>60000</v>
      </c>
      <c r="N1699" t="s">
        <v>3910</v>
      </c>
    </row>
    <row r="1700" spans="1:14" x14ac:dyDescent="0.3">
      <c r="A1700" s="271">
        <v>1699</v>
      </c>
      <c r="B1700" s="264">
        <v>45919</v>
      </c>
      <c r="C1700" s="292" t="s">
        <v>1399</v>
      </c>
      <c r="E1700" s="292" t="s">
        <v>1743</v>
      </c>
      <c r="G1700" s="265">
        <v>450000</v>
      </c>
      <c r="H1700" s="269">
        <v>1</v>
      </c>
      <c r="K1700" s="265">
        <v>450000</v>
      </c>
      <c r="N1700" t="s">
        <v>3910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3584</v>
      </c>
      <c r="F1701" s="269" t="s">
        <v>3594</v>
      </c>
      <c r="G1701" s="265">
        <v>2000000</v>
      </c>
      <c r="H1701" s="269">
        <v>1</v>
      </c>
      <c r="K1701" s="265">
        <v>2000000</v>
      </c>
      <c r="N1701" t="s">
        <v>3910</v>
      </c>
    </row>
    <row r="1702" spans="1:14" x14ac:dyDescent="0.3">
      <c r="A1702" s="271">
        <v>1701</v>
      </c>
      <c r="B1702" s="264">
        <v>45919</v>
      </c>
      <c r="C1702" s="292" t="s">
        <v>2742</v>
      </c>
      <c r="E1702" s="292" t="s">
        <v>3623</v>
      </c>
      <c r="G1702" s="265">
        <v>250000</v>
      </c>
      <c r="H1702" s="269">
        <v>1</v>
      </c>
      <c r="K1702" s="265">
        <v>250000</v>
      </c>
      <c r="N1702" t="s">
        <v>3910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3625</v>
      </c>
      <c r="L1703" s="265">
        <v>-2000000</v>
      </c>
      <c r="N1703" t="s">
        <v>3910</v>
      </c>
    </row>
    <row r="1704" spans="1:14" x14ac:dyDescent="0.3">
      <c r="A1704" s="271">
        <v>1703</v>
      </c>
      <c r="B1704" s="264">
        <v>45919</v>
      </c>
      <c r="C1704" s="292" t="s">
        <v>2809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3120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2704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2319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2742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1931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1790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1809</v>
      </c>
      <c r="E1712" s="292" t="s">
        <v>1496</v>
      </c>
      <c r="F1712" s="269" t="s">
        <v>2679</v>
      </c>
      <c r="G1712" s="265">
        <v>350000</v>
      </c>
      <c r="H1712" s="269">
        <v>1</v>
      </c>
      <c r="K1712" s="265">
        <v>350000</v>
      </c>
      <c r="N1712" t="s">
        <v>3910</v>
      </c>
    </row>
    <row r="1713" spans="1:14" x14ac:dyDescent="0.3">
      <c r="A1713" s="271">
        <v>1712</v>
      </c>
      <c r="B1713" s="264">
        <v>45922</v>
      </c>
      <c r="C1713" s="292" t="s">
        <v>1671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3712</v>
      </c>
      <c r="E1714" s="292" t="s">
        <v>3713</v>
      </c>
      <c r="F1714" s="269" t="s">
        <v>3714</v>
      </c>
      <c r="G1714" s="265">
        <v>1300000</v>
      </c>
      <c r="H1714" s="269">
        <v>1</v>
      </c>
      <c r="J1714" s="266" t="s">
        <v>3143</v>
      </c>
      <c r="K1714" s="265">
        <v>1430000</v>
      </c>
      <c r="N1714" t="s">
        <v>3910</v>
      </c>
    </row>
    <row r="1715" spans="1:14" x14ac:dyDescent="0.3">
      <c r="A1715" s="271">
        <v>1714</v>
      </c>
      <c r="B1715" s="264">
        <v>45922</v>
      </c>
      <c r="C1715" s="292" t="s">
        <v>1977</v>
      </c>
      <c r="E1715" s="292" t="s">
        <v>2180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3910</v>
      </c>
    </row>
    <row r="1716" spans="1:14" x14ac:dyDescent="0.3">
      <c r="A1716" s="271">
        <v>1715</v>
      </c>
      <c r="B1716" s="264">
        <v>45922</v>
      </c>
      <c r="C1716" s="292" t="s">
        <v>1977</v>
      </c>
      <c r="E1716" s="292" t="s">
        <v>2181</v>
      </c>
      <c r="F1716" s="269" t="s">
        <v>1803</v>
      </c>
      <c r="G1716" s="265">
        <v>0</v>
      </c>
      <c r="H1716" s="269">
        <v>1</v>
      </c>
      <c r="K1716" s="265">
        <v>0</v>
      </c>
      <c r="N1716" t="s">
        <v>3910</v>
      </c>
    </row>
    <row r="1717" spans="1:14" x14ac:dyDescent="0.3">
      <c r="A1717" s="271">
        <v>1716</v>
      </c>
      <c r="B1717" s="264">
        <v>45922</v>
      </c>
      <c r="C1717" s="292" t="s">
        <v>1580</v>
      </c>
      <c r="E1717" s="292" t="s">
        <v>2188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1467</v>
      </c>
      <c r="E1718" s="292" t="s">
        <v>1862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1442</v>
      </c>
      <c r="E1719" s="292" t="s">
        <v>1496</v>
      </c>
      <c r="F1719" s="269" t="s">
        <v>2679</v>
      </c>
      <c r="G1719" s="265">
        <v>350000</v>
      </c>
      <c r="H1719" s="269">
        <v>1</v>
      </c>
      <c r="K1719" s="265">
        <v>350000</v>
      </c>
      <c r="N1719" t="s">
        <v>3910</v>
      </c>
    </row>
    <row r="1720" spans="1:14" x14ac:dyDescent="0.3">
      <c r="A1720" s="271">
        <v>1719</v>
      </c>
      <c r="B1720" s="264">
        <v>45922</v>
      </c>
      <c r="C1720" s="292" t="s">
        <v>2410</v>
      </c>
      <c r="E1720" s="292" t="s">
        <v>1205</v>
      </c>
      <c r="F1720" s="269" t="s">
        <v>1992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3910</v>
      </c>
    </row>
    <row r="1721" spans="1:14" x14ac:dyDescent="0.3">
      <c r="A1721" s="271">
        <v>1720</v>
      </c>
      <c r="B1721" s="264">
        <v>45922</v>
      </c>
      <c r="C1721" s="292" t="s">
        <v>2410</v>
      </c>
      <c r="E1721" s="292" t="s">
        <v>2680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3910</v>
      </c>
    </row>
    <row r="1722" spans="1:14" x14ac:dyDescent="0.3">
      <c r="A1722" s="271">
        <v>1721</v>
      </c>
      <c r="B1722" s="264">
        <v>45922</v>
      </c>
      <c r="C1722" s="292" t="s">
        <v>2410</v>
      </c>
      <c r="E1722" s="292" t="s">
        <v>1561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3910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2180</v>
      </c>
      <c r="F1723" s="269" t="s">
        <v>1201</v>
      </c>
      <c r="G1723" s="265">
        <v>1500000</v>
      </c>
      <c r="H1723" s="269">
        <v>1</v>
      </c>
      <c r="K1723" s="265">
        <v>1500000</v>
      </c>
      <c r="N1723" t="s">
        <v>3910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2181</v>
      </c>
      <c r="F1724" s="269" t="s">
        <v>1803</v>
      </c>
      <c r="G1724" s="265">
        <v>50000</v>
      </c>
      <c r="H1724" s="269">
        <v>1</v>
      </c>
      <c r="K1724" s="265">
        <v>50000</v>
      </c>
      <c r="N1724" t="s">
        <v>3910</v>
      </c>
    </row>
    <row r="1725" spans="1:14" x14ac:dyDescent="0.3">
      <c r="A1725" s="271">
        <v>1724</v>
      </c>
      <c r="B1725" s="264">
        <v>45922</v>
      </c>
      <c r="C1725" s="292" t="s">
        <v>1977</v>
      </c>
      <c r="E1725" s="292" t="s">
        <v>1746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1442</v>
      </c>
      <c r="E1726" s="292" t="s">
        <v>1746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2998</v>
      </c>
      <c r="E1727" s="292" t="s">
        <v>1746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1746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2410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2202</v>
      </c>
      <c r="F1730" s="269" t="s">
        <v>1956</v>
      </c>
      <c r="G1730" s="265">
        <v>1800000</v>
      </c>
      <c r="H1730" s="269">
        <v>1</v>
      </c>
      <c r="K1730" s="265">
        <v>1800000</v>
      </c>
      <c r="M1730" s="292" t="s">
        <v>3648</v>
      </c>
      <c r="N1730" t="s">
        <v>3910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2181</v>
      </c>
      <c r="F1731" s="269" t="s">
        <v>1803</v>
      </c>
      <c r="G1731" s="265">
        <v>50000</v>
      </c>
      <c r="H1731" s="269">
        <v>1</v>
      </c>
      <c r="K1731" s="265">
        <v>50000</v>
      </c>
      <c r="N1731" t="s">
        <v>3910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3584</v>
      </c>
      <c r="F1732" s="269" t="s">
        <v>3594</v>
      </c>
      <c r="G1732" s="265">
        <v>2200000</v>
      </c>
      <c r="H1732" s="269">
        <v>1</v>
      </c>
      <c r="K1732" s="265">
        <v>2200000</v>
      </c>
      <c r="N1732" t="s">
        <v>3910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1535</v>
      </c>
      <c r="G1733" s="265">
        <v>200000</v>
      </c>
      <c r="H1733" s="269">
        <v>1</v>
      </c>
      <c r="K1733" s="265">
        <v>200000</v>
      </c>
      <c r="N1733" t="s">
        <v>3910</v>
      </c>
    </row>
    <row r="1734" spans="1:14" x14ac:dyDescent="0.3">
      <c r="A1734" s="271">
        <v>1733</v>
      </c>
      <c r="B1734" s="264">
        <v>45923</v>
      </c>
      <c r="C1734" s="292" t="s">
        <v>1861</v>
      </c>
      <c r="E1734" s="292" t="s">
        <v>2196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3910</v>
      </c>
    </row>
    <row r="1735" spans="1:14" x14ac:dyDescent="0.3">
      <c r="A1735" s="271">
        <v>1734</v>
      </c>
      <c r="B1735" s="264">
        <v>45923</v>
      </c>
      <c r="C1735" s="292" t="s">
        <v>1452</v>
      </c>
      <c r="E1735" s="292" t="s">
        <v>2418</v>
      </c>
      <c r="F1735" s="269" t="s">
        <v>2748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3910</v>
      </c>
    </row>
    <row r="1736" spans="1:14" x14ac:dyDescent="0.3">
      <c r="A1736" s="271">
        <v>1735</v>
      </c>
      <c r="B1736" s="264">
        <v>45923</v>
      </c>
      <c r="C1736" s="292" t="s">
        <v>1658</v>
      </c>
      <c r="E1736" s="292" t="s">
        <v>1205</v>
      </c>
      <c r="F1736" s="269" t="s">
        <v>1563</v>
      </c>
      <c r="G1736" s="265">
        <v>1200000</v>
      </c>
      <c r="H1736" s="269">
        <v>1</v>
      </c>
      <c r="K1736" s="265">
        <v>1200000</v>
      </c>
      <c r="N1736" t="s">
        <v>3910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3464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3910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2190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3910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2188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3910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2192</v>
      </c>
      <c r="F1740" s="269" t="s">
        <v>1822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3910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2191</v>
      </c>
      <c r="F1741" s="269" t="s">
        <v>1795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3910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3655</v>
      </c>
      <c r="G1742" s="265">
        <v>150000</v>
      </c>
      <c r="H1742" s="269">
        <v>1</v>
      </c>
      <c r="K1742" s="265">
        <v>150000</v>
      </c>
      <c r="N1742" t="s">
        <v>3910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3657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1658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1541</v>
      </c>
      <c r="E1745" s="292" t="s">
        <v>1743</v>
      </c>
      <c r="G1745" s="265">
        <v>1100000</v>
      </c>
      <c r="H1745" s="269">
        <v>1</v>
      </c>
      <c r="K1745" s="265">
        <v>1100000</v>
      </c>
      <c r="N1745" t="s">
        <v>3910</v>
      </c>
    </row>
    <row r="1746" spans="1:14" x14ac:dyDescent="0.3">
      <c r="A1746" s="271">
        <v>1745</v>
      </c>
      <c r="B1746" s="264">
        <v>45924</v>
      </c>
      <c r="C1746" s="292" t="s">
        <v>3660</v>
      </c>
      <c r="E1746" s="292" t="s">
        <v>3661</v>
      </c>
      <c r="L1746" s="265">
        <v>-150000</v>
      </c>
      <c r="N1746" t="s">
        <v>3910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3659</v>
      </c>
      <c r="F1747" s="269" t="s">
        <v>1201</v>
      </c>
      <c r="G1747" s="265">
        <v>1500000</v>
      </c>
      <c r="H1747" s="269">
        <v>1</v>
      </c>
      <c r="L1747" s="265">
        <v>-1500000</v>
      </c>
      <c r="N1747" t="s">
        <v>3910</v>
      </c>
    </row>
    <row r="1748" spans="1:14" x14ac:dyDescent="0.3">
      <c r="A1748" s="271">
        <v>1747</v>
      </c>
      <c r="B1748" s="264">
        <v>45924</v>
      </c>
      <c r="C1748" s="292" t="s">
        <v>1391</v>
      </c>
      <c r="E1748" s="292" t="s">
        <v>1859</v>
      </c>
      <c r="F1748" s="269" t="s">
        <v>3666</v>
      </c>
      <c r="G1748" s="265">
        <v>1100000</v>
      </c>
      <c r="H1748" s="269">
        <v>1</v>
      </c>
      <c r="K1748" s="265">
        <v>1100000</v>
      </c>
      <c r="N1748" t="s">
        <v>3910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3584</v>
      </c>
      <c r="F1749" s="269" t="s">
        <v>3594</v>
      </c>
      <c r="G1749" s="265">
        <v>2200000</v>
      </c>
      <c r="H1749" s="269">
        <v>1</v>
      </c>
      <c r="K1749" s="265">
        <v>2200000</v>
      </c>
      <c r="N1749" t="s">
        <v>3910</v>
      </c>
    </row>
    <row r="1750" spans="1:14" x14ac:dyDescent="0.3">
      <c r="A1750" s="271">
        <v>1749</v>
      </c>
      <c r="B1750" s="264">
        <v>45924</v>
      </c>
      <c r="C1750" s="292" t="s">
        <v>1399</v>
      </c>
      <c r="E1750" s="292" t="s">
        <v>2775</v>
      </c>
      <c r="F1750" s="269" t="s">
        <v>1213</v>
      </c>
      <c r="G1750" s="265">
        <v>1600000</v>
      </c>
      <c r="H1750" s="269">
        <v>1</v>
      </c>
      <c r="K1750" s="265">
        <v>1600000</v>
      </c>
      <c r="N1750" t="s">
        <v>3910</v>
      </c>
    </row>
    <row r="1751" spans="1:14" x14ac:dyDescent="0.3">
      <c r="A1751" s="271">
        <v>1750</v>
      </c>
      <c r="B1751" s="264">
        <v>45924</v>
      </c>
      <c r="C1751" s="292" t="s">
        <v>2742</v>
      </c>
      <c r="E1751" s="292" t="s">
        <v>1535</v>
      </c>
      <c r="G1751" s="265">
        <v>450000</v>
      </c>
      <c r="H1751" s="269">
        <v>1</v>
      </c>
      <c r="K1751" s="265">
        <v>450000</v>
      </c>
      <c r="N1751" t="s">
        <v>3910</v>
      </c>
    </row>
    <row r="1752" spans="1:14" x14ac:dyDescent="0.3">
      <c r="A1752" s="271">
        <v>1751</v>
      </c>
      <c r="B1752" s="264">
        <v>45924</v>
      </c>
      <c r="C1752" s="292" t="s">
        <v>1449</v>
      </c>
      <c r="E1752" s="292" t="s">
        <v>1743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3910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1861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1449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1437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1452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1391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2916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1805</v>
      </c>
      <c r="E1761" s="292" t="s">
        <v>2188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3910</v>
      </c>
    </row>
    <row r="1762" spans="1:14" x14ac:dyDescent="0.3">
      <c r="A1762" s="271">
        <v>1761</v>
      </c>
      <c r="B1762" s="264">
        <v>45926</v>
      </c>
      <c r="C1762" s="292" t="s">
        <v>1805</v>
      </c>
      <c r="E1762" s="292" t="s">
        <v>2192</v>
      </c>
      <c r="F1762" s="269" t="s">
        <v>1822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3910</v>
      </c>
    </row>
    <row r="1763" spans="1:14" x14ac:dyDescent="0.3">
      <c r="A1763" s="271">
        <v>1762</v>
      </c>
      <c r="B1763" s="264">
        <v>45926</v>
      </c>
      <c r="C1763" s="292" t="s">
        <v>1805</v>
      </c>
      <c r="E1763" s="292" t="s">
        <v>2191</v>
      </c>
      <c r="F1763" s="269" t="s">
        <v>1795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3910</v>
      </c>
    </row>
    <row r="1764" spans="1:14" x14ac:dyDescent="0.3">
      <c r="A1764" s="271">
        <v>1763</v>
      </c>
      <c r="B1764" s="264">
        <v>45926</v>
      </c>
      <c r="C1764" s="292" t="s">
        <v>1173</v>
      </c>
      <c r="E1764" s="292" t="s">
        <v>2037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3910</v>
      </c>
    </row>
    <row r="1765" spans="1:14" x14ac:dyDescent="0.3">
      <c r="A1765" s="271">
        <v>1764</v>
      </c>
      <c r="B1765" s="264">
        <v>45926</v>
      </c>
      <c r="C1765" s="292" t="s">
        <v>1399</v>
      </c>
      <c r="E1765" s="292" t="s">
        <v>2418</v>
      </c>
      <c r="F1765" s="269" t="s">
        <v>2748</v>
      </c>
      <c r="G1765" s="265">
        <v>1100000</v>
      </c>
      <c r="H1765" s="269">
        <v>1</v>
      </c>
      <c r="K1765" s="265">
        <v>1100000</v>
      </c>
      <c r="N1765" t="s">
        <v>3910</v>
      </c>
    </row>
    <row r="1766" spans="1:14" x14ac:dyDescent="0.3">
      <c r="A1766" s="271">
        <v>1765</v>
      </c>
      <c r="B1766" s="264">
        <v>45926</v>
      </c>
      <c r="C1766" s="292" t="s">
        <v>1541</v>
      </c>
      <c r="E1766" s="292" t="s">
        <v>2091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3910</v>
      </c>
    </row>
    <row r="1767" spans="1:14" x14ac:dyDescent="0.3">
      <c r="A1767" s="271">
        <v>1766</v>
      </c>
      <c r="B1767" s="264">
        <v>45926</v>
      </c>
      <c r="C1767" s="292" t="s">
        <v>1541</v>
      </c>
      <c r="E1767" s="292" t="s">
        <v>1549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3910</v>
      </c>
    </row>
    <row r="1768" spans="1:14" x14ac:dyDescent="0.3">
      <c r="A1768" s="271">
        <v>1767</v>
      </c>
      <c r="B1768" s="264">
        <v>45926</v>
      </c>
      <c r="C1768" s="292" t="s">
        <v>3722</v>
      </c>
      <c r="E1768" s="292">
        <v>2703900</v>
      </c>
      <c r="F1768" s="269" t="s">
        <v>3723</v>
      </c>
      <c r="G1768" s="265">
        <v>1000000</v>
      </c>
      <c r="H1768" s="269">
        <v>1</v>
      </c>
      <c r="K1768" s="265">
        <v>1000000</v>
      </c>
      <c r="N1768" t="s">
        <v>3910</v>
      </c>
    </row>
    <row r="1769" spans="1:14" x14ac:dyDescent="0.3">
      <c r="A1769" s="271">
        <v>1768</v>
      </c>
      <c r="B1769" s="264">
        <v>45927</v>
      </c>
      <c r="C1769" s="292" t="s">
        <v>3722</v>
      </c>
      <c r="E1769" s="292" t="s">
        <v>1746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3725</v>
      </c>
      <c r="E1770" s="292" t="s">
        <v>1535</v>
      </c>
      <c r="G1770" s="265">
        <v>450000</v>
      </c>
      <c r="H1770" s="269">
        <v>1</v>
      </c>
      <c r="K1770" s="265">
        <v>450000</v>
      </c>
      <c r="N1770" t="s">
        <v>3910</v>
      </c>
    </row>
    <row r="1771" spans="1:14" x14ac:dyDescent="0.3">
      <c r="A1771" s="271">
        <v>1770</v>
      </c>
      <c r="B1771" s="264">
        <v>45927</v>
      </c>
      <c r="C1771" s="292" t="s">
        <v>3725</v>
      </c>
      <c r="E1771" s="292" t="s">
        <v>1746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1809</v>
      </c>
      <c r="E1772" s="292" t="s">
        <v>1746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2742</v>
      </c>
      <c r="E1773" s="292" t="s">
        <v>3730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1961</v>
      </c>
      <c r="E1774" s="292" t="s">
        <v>1916</v>
      </c>
      <c r="F1774" s="269" t="s">
        <v>2054</v>
      </c>
      <c r="G1774" s="265">
        <v>1000000</v>
      </c>
      <c r="H1774" s="269">
        <v>1</v>
      </c>
      <c r="K1774" s="265">
        <v>1000000</v>
      </c>
      <c r="M1774" s="292" t="s">
        <v>3731</v>
      </c>
      <c r="N1774" t="s">
        <v>3910</v>
      </c>
    </row>
    <row r="1775" spans="1:14" x14ac:dyDescent="0.3">
      <c r="A1775" s="271">
        <v>1774</v>
      </c>
      <c r="B1775" s="264">
        <v>45929</v>
      </c>
      <c r="C1775" s="292" t="s">
        <v>2258</v>
      </c>
      <c r="E1775" s="292" t="s">
        <v>2178</v>
      </c>
      <c r="F1775" s="269" t="s">
        <v>1464</v>
      </c>
      <c r="G1775" s="265" t="s">
        <v>3735</v>
      </c>
      <c r="H1775" s="269">
        <v>1</v>
      </c>
      <c r="K1775" s="265">
        <v>0</v>
      </c>
      <c r="M1775" s="292" t="s">
        <v>3736</v>
      </c>
      <c r="N1775" t="s">
        <v>3910</v>
      </c>
    </row>
    <row r="1776" spans="1:14" x14ac:dyDescent="0.3">
      <c r="A1776" s="271">
        <v>1775</v>
      </c>
      <c r="B1776" s="264">
        <v>45929</v>
      </c>
      <c r="C1776" s="292" t="s">
        <v>1805</v>
      </c>
      <c r="E1776" s="292" t="s">
        <v>3742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1467</v>
      </c>
      <c r="E1777" s="292" t="s">
        <v>3042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1467</v>
      </c>
      <c r="E1778" s="292" t="s">
        <v>2186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3744</v>
      </c>
    </row>
    <row r="1779" spans="1:14" x14ac:dyDescent="0.3">
      <c r="A1779" s="271">
        <v>1778</v>
      </c>
      <c r="B1779" s="264">
        <v>45929</v>
      </c>
      <c r="C1779" s="292" t="s">
        <v>1747</v>
      </c>
      <c r="E1779" s="292" t="s">
        <v>2190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3910</v>
      </c>
    </row>
    <row r="1780" spans="1:14" x14ac:dyDescent="0.3">
      <c r="A1780" s="271">
        <v>1779</v>
      </c>
      <c r="B1780" s="264">
        <v>45929</v>
      </c>
      <c r="C1780" s="292" t="s">
        <v>1747</v>
      </c>
      <c r="E1780" s="292" t="s">
        <v>2190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3910</v>
      </c>
    </row>
    <row r="1781" spans="1:14" x14ac:dyDescent="0.3">
      <c r="A1781" s="271">
        <v>1780</v>
      </c>
      <c r="B1781" s="264">
        <v>45929</v>
      </c>
      <c r="C1781" s="292" t="s">
        <v>1747</v>
      </c>
      <c r="E1781" s="292" t="s">
        <v>2191</v>
      </c>
      <c r="F1781" s="269" t="s">
        <v>1795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3910</v>
      </c>
    </row>
    <row r="1782" spans="1:14" x14ac:dyDescent="0.3">
      <c r="A1782" s="271">
        <v>1781</v>
      </c>
      <c r="B1782" s="264">
        <v>45929</v>
      </c>
      <c r="C1782" s="292" t="s">
        <v>2858</v>
      </c>
      <c r="E1782" s="292" t="s">
        <v>3051</v>
      </c>
      <c r="F1782" s="269" t="s">
        <v>1952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3910</v>
      </c>
    </row>
    <row r="1783" spans="1:14" x14ac:dyDescent="0.3">
      <c r="A1783" s="271">
        <v>1782</v>
      </c>
      <c r="B1783" s="264">
        <v>45929</v>
      </c>
      <c r="C1783" s="292" t="s">
        <v>1391</v>
      </c>
      <c r="E1783" s="292" t="s">
        <v>3051</v>
      </c>
      <c r="F1783" s="269" t="s">
        <v>1952</v>
      </c>
      <c r="G1783" s="265">
        <v>1000000</v>
      </c>
      <c r="H1783" s="269">
        <v>1</v>
      </c>
      <c r="K1783" s="265">
        <v>1000000</v>
      </c>
      <c r="N1783" t="s">
        <v>3910</v>
      </c>
    </row>
    <row r="1784" spans="1:14" x14ac:dyDescent="0.3">
      <c r="A1784" s="271">
        <v>1783</v>
      </c>
      <c r="B1784" s="264">
        <v>45929</v>
      </c>
      <c r="C1784" s="292" t="s">
        <v>1961</v>
      </c>
      <c r="E1784" s="292" t="s">
        <v>1505</v>
      </c>
      <c r="G1784" s="265">
        <v>1000000</v>
      </c>
      <c r="H1784" s="269">
        <v>1</v>
      </c>
      <c r="K1784" s="265">
        <v>1000000</v>
      </c>
      <c r="M1784" s="292" t="s">
        <v>3749</v>
      </c>
      <c r="N1784" t="s">
        <v>3910</v>
      </c>
    </row>
    <row r="1785" spans="1:14" x14ac:dyDescent="0.3">
      <c r="A1785" s="271">
        <v>1784</v>
      </c>
      <c r="B1785" s="264">
        <v>45929</v>
      </c>
      <c r="C1785" s="292" t="s">
        <v>3268</v>
      </c>
      <c r="E1785" s="292" t="s">
        <v>1561</v>
      </c>
      <c r="F1785" s="269" t="s">
        <v>1768</v>
      </c>
      <c r="G1785" s="265">
        <v>1000000</v>
      </c>
      <c r="H1785" s="269">
        <v>1</v>
      </c>
      <c r="K1785" s="265">
        <v>1000000</v>
      </c>
      <c r="M1785" s="292" t="s">
        <v>3751</v>
      </c>
      <c r="N1785" t="s">
        <v>3910</v>
      </c>
    </row>
    <row r="1786" spans="1:14" x14ac:dyDescent="0.3">
      <c r="A1786" s="271">
        <v>1785</v>
      </c>
      <c r="B1786" s="264">
        <v>45929</v>
      </c>
      <c r="C1786" s="292" t="s">
        <v>3460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3753</v>
      </c>
      <c r="N1786" t="s">
        <v>3910</v>
      </c>
    </row>
    <row r="1787" spans="1:14" x14ac:dyDescent="0.3">
      <c r="A1787" s="271">
        <v>1786</v>
      </c>
      <c r="B1787" s="264">
        <v>45929</v>
      </c>
      <c r="C1787" s="292" t="s">
        <v>1722</v>
      </c>
      <c r="E1787" s="292" t="s">
        <v>2840</v>
      </c>
      <c r="F1787" s="269" t="s">
        <v>2750</v>
      </c>
      <c r="G1787" s="265">
        <v>129000</v>
      </c>
      <c r="H1787" s="269">
        <v>2</v>
      </c>
      <c r="K1787" s="265">
        <v>258000</v>
      </c>
      <c r="N1787" t="s">
        <v>3910</v>
      </c>
    </row>
    <row r="1788" spans="1:14" x14ac:dyDescent="0.3">
      <c r="A1788" s="271">
        <v>1787</v>
      </c>
      <c r="B1788" s="264">
        <v>45925</v>
      </c>
      <c r="C1788" s="292" t="s">
        <v>1399</v>
      </c>
      <c r="E1788" s="292" t="s">
        <v>1743</v>
      </c>
      <c r="G1788" s="265">
        <v>1100000</v>
      </c>
      <c r="H1788" s="269">
        <v>1</v>
      </c>
      <c r="K1788" s="265">
        <v>1100000</v>
      </c>
      <c r="N1788" t="s">
        <v>3910</v>
      </c>
    </row>
    <row r="1789" spans="1:14" x14ac:dyDescent="0.3">
      <c r="A1789" s="271">
        <v>1788</v>
      </c>
      <c r="B1789" s="264">
        <v>45925</v>
      </c>
      <c r="C1789" s="292" t="s">
        <v>1541</v>
      </c>
      <c r="E1789" s="292" t="s">
        <v>1203</v>
      </c>
      <c r="F1789" s="269" t="s">
        <v>1752</v>
      </c>
      <c r="G1789" s="265">
        <v>1200000</v>
      </c>
      <c r="H1789" s="269">
        <v>1</v>
      </c>
      <c r="K1789" s="265">
        <v>1200000</v>
      </c>
      <c r="N1789" t="s">
        <v>3910</v>
      </c>
    </row>
    <row r="1790" spans="1:14" x14ac:dyDescent="0.3">
      <c r="A1790" s="271">
        <v>1789</v>
      </c>
      <c r="B1790" s="264">
        <v>45925</v>
      </c>
      <c r="C1790" s="292" t="s">
        <v>1541</v>
      </c>
      <c r="E1790" s="292" t="s">
        <v>1496</v>
      </c>
      <c r="F1790" s="269" t="s">
        <v>2679</v>
      </c>
      <c r="G1790" s="265">
        <v>350000</v>
      </c>
      <c r="H1790" s="269">
        <v>1</v>
      </c>
      <c r="K1790" s="265">
        <v>350000</v>
      </c>
      <c r="N1790" t="s">
        <v>3910</v>
      </c>
    </row>
    <row r="1791" spans="1:14" x14ac:dyDescent="0.3">
      <c r="A1791" s="271">
        <v>1790</v>
      </c>
      <c r="B1791" s="264">
        <v>45925</v>
      </c>
      <c r="C1791" s="292" t="s">
        <v>1378</v>
      </c>
      <c r="E1791" s="292" t="s">
        <v>2180</v>
      </c>
      <c r="F1791" s="269" t="s">
        <v>1201</v>
      </c>
      <c r="G1791" s="265">
        <v>1500000</v>
      </c>
      <c r="H1791" s="269">
        <v>1</v>
      </c>
      <c r="K1791" s="265">
        <v>1500000</v>
      </c>
      <c r="N1791" t="s">
        <v>3910</v>
      </c>
    </row>
    <row r="1792" spans="1:14" x14ac:dyDescent="0.3">
      <c r="A1792" s="271">
        <v>1791</v>
      </c>
      <c r="B1792" s="264">
        <v>45925</v>
      </c>
      <c r="C1792" s="292" t="s">
        <v>1378</v>
      </c>
      <c r="E1792" s="292" t="s">
        <v>2181</v>
      </c>
      <c r="F1792" s="269" t="s">
        <v>1803</v>
      </c>
      <c r="G1792" s="265">
        <v>50000</v>
      </c>
      <c r="H1792" s="269">
        <v>1</v>
      </c>
      <c r="K1792" s="265">
        <v>50000</v>
      </c>
      <c r="N1792" t="s">
        <v>3910</v>
      </c>
    </row>
    <row r="1793" spans="1:14" x14ac:dyDescent="0.3">
      <c r="A1793" s="271">
        <v>1792</v>
      </c>
      <c r="B1793" s="264">
        <v>45925</v>
      </c>
      <c r="C1793" s="292" t="s">
        <v>1378</v>
      </c>
      <c r="E1793" s="292" t="s">
        <v>4043</v>
      </c>
      <c r="F1793" s="269" t="s">
        <v>2217</v>
      </c>
      <c r="G1793" s="265">
        <v>250000</v>
      </c>
      <c r="H1793" s="269">
        <v>1</v>
      </c>
      <c r="K1793" s="265">
        <v>250000</v>
      </c>
      <c r="N1793" t="s">
        <v>3910</v>
      </c>
    </row>
    <row r="1794" spans="1:14" x14ac:dyDescent="0.3">
      <c r="A1794" s="271">
        <v>1793</v>
      </c>
      <c r="B1794" s="264">
        <v>45929</v>
      </c>
      <c r="C1794" s="292" t="s">
        <v>1541</v>
      </c>
      <c r="E1794" s="292" t="s">
        <v>2104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3910</v>
      </c>
    </row>
    <row r="1795" spans="1:14" x14ac:dyDescent="0.3">
      <c r="A1795" s="271">
        <v>1794</v>
      </c>
      <c r="B1795" s="264">
        <v>45929</v>
      </c>
      <c r="C1795" s="292" t="s">
        <v>1541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  <c r="N1795" t="s">
        <v>3910</v>
      </c>
    </row>
    <row r="1796" spans="1:14" x14ac:dyDescent="0.3">
      <c r="A1796" s="271">
        <v>1795</v>
      </c>
      <c r="B1796" s="264">
        <v>45929</v>
      </c>
      <c r="C1796" s="292" t="s">
        <v>1444</v>
      </c>
      <c r="E1796" s="292" t="s">
        <v>3760</v>
      </c>
      <c r="L1796" s="265">
        <v>-800000</v>
      </c>
      <c r="N1796" t="s">
        <v>3910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1961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3268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3460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1391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2148</v>
      </c>
      <c r="E1803" s="292" t="s">
        <v>1717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3910</v>
      </c>
    </row>
    <row r="1804" spans="1:14" x14ac:dyDescent="0.3">
      <c r="A1804" s="271">
        <v>1803</v>
      </c>
      <c r="B1804" s="264">
        <v>45930</v>
      </c>
      <c r="C1804" s="292" t="s">
        <v>1541</v>
      </c>
      <c r="E1804" s="292" t="s">
        <v>2043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3910</v>
      </c>
    </row>
    <row r="1805" spans="1:14" x14ac:dyDescent="0.3">
      <c r="A1805" s="271">
        <v>1804</v>
      </c>
      <c r="B1805" s="264">
        <v>45930</v>
      </c>
      <c r="C1805" s="292" t="s">
        <v>2623</v>
      </c>
      <c r="E1805" s="292" t="s">
        <v>3771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3910</v>
      </c>
    </row>
    <row r="1806" spans="1:14" x14ac:dyDescent="0.3">
      <c r="A1806" s="271">
        <v>1805</v>
      </c>
      <c r="B1806" s="264">
        <v>45930</v>
      </c>
      <c r="C1806" s="292" t="s">
        <v>1399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  <c r="N1806" t="s">
        <v>3910</v>
      </c>
    </row>
    <row r="1807" spans="1:14" x14ac:dyDescent="0.3">
      <c r="A1807" s="271">
        <v>1806</v>
      </c>
      <c r="B1807" s="264">
        <v>45930</v>
      </c>
      <c r="C1807" s="292" t="s">
        <v>1467</v>
      </c>
      <c r="E1807" s="292" t="s">
        <v>1496</v>
      </c>
      <c r="F1807" s="269" t="s">
        <v>2679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1722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3910</v>
      </c>
    </row>
    <row r="1809" spans="1:14" x14ac:dyDescent="0.3">
      <c r="A1809" s="271">
        <v>1808</v>
      </c>
      <c r="B1809" s="264">
        <v>45930</v>
      </c>
      <c r="C1809" s="292" t="s">
        <v>1747</v>
      </c>
      <c r="E1809" s="292" t="s">
        <v>2188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3780</v>
      </c>
      <c r="E1810" s="292" t="s">
        <v>3781</v>
      </c>
      <c r="F1810" s="270">
        <v>2820403</v>
      </c>
      <c r="G1810" s="265">
        <v>1600000</v>
      </c>
      <c r="H1810" s="269">
        <v>1</v>
      </c>
      <c r="J1810" s="266" t="s">
        <v>3000</v>
      </c>
      <c r="K1810" s="265">
        <v>1760000</v>
      </c>
      <c r="N1810" t="s">
        <v>3910</v>
      </c>
    </row>
    <row r="1811" spans="1:14" x14ac:dyDescent="0.3">
      <c r="A1811" s="271">
        <v>1810</v>
      </c>
      <c r="B1811" s="264">
        <v>45930</v>
      </c>
      <c r="C1811" s="292" t="s">
        <v>3780</v>
      </c>
      <c r="E1811" s="292" t="s">
        <v>3782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2148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2858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1577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1473</v>
      </c>
      <c r="E1815" s="292" t="s">
        <v>3778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1399</v>
      </c>
      <c r="E1816" s="292" t="s">
        <v>3779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1747</v>
      </c>
      <c r="E1817" s="292" t="s">
        <v>3783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1541</v>
      </c>
      <c r="E1818" s="292" t="s">
        <v>3784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3786</v>
      </c>
      <c r="E1819" s="292" t="s">
        <v>3787</v>
      </c>
      <c r="F1819" s="269" t="s">
        <v>3788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1847</v>
      </c>
      <c r="E1820" s="292" t="s">
        <v>3464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1847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1747</v>
      </c>
      <c r="E1822" s="292" t="s">
        <v>2192</v>
      </c>
      <c r="F1822" s="269" t="s">
        <v>1822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1890</v>
      </c>
      <c r="E1823" s="292" t="s">
        <v>1203</v>
      </c>
      <c r="F1823" s="269" t="s">
        <v>1752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1203</v>
      </c>
      <c r="F1824" s="269" t="s">
        <v>1752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1890</v>
      </c>
      <c r="E1825" s="292" t="s">
        <v>3657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1870</v>
      </c>
      <c r="E1826" s="292" t="s">
        <v>3816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3818</v>
      </c>
      <c r="E1827" s="292" t="s">
        <v>3464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3818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3820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1722</v>
      </c>
      <c r="E1830" s="292" t="s">
        <v>2188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1722</v>
      </c>
      <c r="E1831" s="292" t="s">
        <v>2191</v>
      </c>
      <c r="F1831" s="269" t="s">
        <v>1795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1790</v>
      </c>
      <c r="E1832" s="292" t="s">
        <v>1203</v>
      </c>
      <c r="F1832" s="269" t="s">
        <v>1752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1399</v>
      </c>
      <c r="E1833" s="292" t="s">
        <v>2107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1399</v>
      </c>
      <c r="E1834" s="292" t="s">
        <v>3827</v>
      </c>
      <c r="F1834" s="269" t="s">
        <v>3826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3821</v>
      </c>
      <c r="E1835" s="292" t="s">
        <v>2178</v>
      </c>
      <c r="F1835" s="269" t="s">
        <v>1464</v>
      </c>
      <c r="G1835" s="265">
        <v>1500000</v>
      </c>
      <c r="H1835" s="269">
        <v>1</v>
      </c>
      <c r="K1835" s="265">
        <v>1500000</v>
      </c>
      <c r="M1835" s="292" t="s">
        <v>3831</v>
      </c>
    </row>
    <row r="1836" spans="1:13" x14ac:dyDescent="0.3">
      <c r="A1836" s="271">
        <v>1835</v>
      </c>
      <c r="B1836" s="264">
        <v>45932</v>
      </c>
      <c r="C1836" s="292" t="s">
        <v>2145</v>
      </c>
      <c r="E1836" s="292" t="s">
        <v>2196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2145</v>
      </c>
      <c r="E1837" s="292" t="s">
        <v>3834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3821</v>
      </c>
      <c r="E1838" s="292" t="s">
        <v>3835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1722</v>
      </c>
      <c r="E1839" s="292" t="s">
        <v>3836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1479</v>
      </c>
      <c r="E1840" s="292" t="s">
        <v>3837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1870</v>
      </c>
      <c r="E1841" s="292" t="s">
        <v>3838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2145</v>
      </c>
      <c r="E1842" s="292" t="s">
        <v>1549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1931</v>
      </c>
      <c r="E1843" s="292" t="s">
        <v>3124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1931</v>
      </c>
      <c r="E1844" s="292" t="s">
        <v>2037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2623</v>
      </c>
      <c r="E1845" s="292" t="s">
        <v>3844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1580</v>
      </c>
      <c r="E1846" s="292" t="s">
        <v>2189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1444</v>
      </c>
      <c r="E1847" s="292" t="s">
        <v>1985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1306</v>
      </c>
      <c r="E1848" s="292" t="s">
        <v>2178</v>
      </c>
      <c r="F1848" s="269" t="s">
        <v>1464</v>
      </c>
      <c r="G1848" s="265">
        <v>0</v>
      </c>
      <c r="H1848" s="269">
        <v>1</v>
      </c>
      <c r="K1848" s="265">
        <v>0</v>
      </c>
      <c r="M1848" s="292" t="s">
        <v>3851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1747</v>
      </c>
      <c r="E1850" s="292" t="s">
        <v>2920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1747</v>
      </c>
      <c r="E1851" s="292" t="s">
        <v>2919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1747</v>
      </c>
      <c r="E1852" s="292" t="s">
        <v>3854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1577</v>
      </c>
      <c r="E1853" s="292" t="s">
        <v>2799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1577</v>
      </c>
      <c r="E1854" s="292" t="s">
        <v>1759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1577</v>
      </c>
      <c r="E1855" s="292" t="s">
        <v>3631</v>
      </c>
      <c r="F1855" s="269" t="s">
        <v>3630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1378</v>
      </c>
      <c r="E1856" s="292" t="s">
        <v>4043</v>
      </c>
      <c r="F1856" s="269" t="s">
        <v>2217</v>
      </c>
      <c r="G1856" s="265">
        <v>250000</v>
      </c>
      <c r="H1856" s="269">
        <v>1</v>
      </c>
      <c r="K1856" s="265">
        <v>250000</v>
      </c>
      <c r="M1856" s="304" t="s">
        <v>3859</v>
      </c>
    </row>
    <row r="1857" spans="1:12" x14ac:dyDescent="0.3">
      <c r="A1857" s="271">
        <v>1856</v>
      </c>
      <c r="B1857" s="264">
        <v>45940</v>
      </c>
      <c r="C1857" s="292" t="s">
        <v>1373</v>
      </c>
      <c r="E1857" s="292" t="s">
        <v>2180</v>
      </c>
      <c r="F1857" s="269" t="s">
        <v>1201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1373</v>
      </c>
      <c r="E1858" s="292" t="s">
        <v>2181</v>
      </c>
      <c r="F1858" s="269" t="s">
        <v>1803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2027</v>
      </c>
      <c r="F1859" s="269" t="s">
        <v>1216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3397</v>
      </c>
      <c r="E1860" s="292" t="s">
        <v>2180</v>
      </c>
      <c r="F1860" s="269" t="s">
        <v>1201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3397</v>
      </c>
      <c r="E1861" s="292" t="s">
        <v>2181</v>
      </c>
      <c r="F1861" s="269" t="s">
        <v>1803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1173</v>
      </c>
      <c r="E1862" s="292" t="s">
        <v>1743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2486</v>
      </c>
      <c r="E1863" s="292" t="s">
        <v>1717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3818</v>
      </c>
      <c r="E1864" s="292" t="s">
        <v>3464</v>
      </c>
      <c r="F1864" s="269" t="s">
        <v>1207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1598</v>
      </c>
      <c r="E1865" s="292" t="s">
        <v>1203</v>
      </c>
      <c r="F1865" s="269" t="s">
        <v>1752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1532</v>
      </c>
      <c r="E1866" s="292" t="s">
        <v>1203</v>
      </c>
      <c r="F1866" s="269" t="s">
        <v>1752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1532</v>
      </c>
      <c r="E1867" s="292" t="s">
        <v>2840</v>
      </c>
      <c r="F1867" s="269" t="s">
        <v>2750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2145</v>
      </c>
      <c r="E1868" s="292" t="s">
        <v>3869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1598</v>
      </c>
      <c r="E1869" s="292" t="s">
        <v>3870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3818</v>
      </c>
      <c r="E1870" s="292" t="s">
        <v>3871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2486</v>
      </c>
      <c r="E1871" s="292" t="s">
        <v>3872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3397</v>
      </c>
      <c r="E1872" s="292" t="s">
        <v>3873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1790</v>
      </c>
      <c r="E1873" s="292" t="s">
        <v>1519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2998</v>
      </c>
      <c r="E1874" s="292" t="s">
        <v>1203</v>
      </c>
      <c r="F1874" s="269" t="s">
        <v>1752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1722</v>
      </c>
      <c r="E1875" s="292" t="s">
        <v>1744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1378</v>
      </c>
      <c r="E1876" s="292" t="s">
        <v>2180</v>
      </c>
      <c r="F1876" s="269" t="s">
        <v>1201</v>
      </c>
      <c r="G1876" s="265">
        <v>0</v>
      </c>
      <c r="H1876" s="269">
        <v>1</v>
      </c>
      <c r="K1876" s="265">
        <v>0</v>
      </c>
      <c r="M1876" s="292" t="s">
        <v>3882</v>
      </c>
    </row>
    <row r="1877" spans="1:13" x14ac:dyDescent="0.3">
      <c r="A1877" s="271">
        <v>1876</v>
      </c>
      <c r="B1877" s="264">
        <v>45943</v>
      </c>
      <c r="C1877" s="292" t="s">
        <v>1532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1399</v>
      </c>
      <c r="E1878" s="292" t="s">
        <v>1743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1378</v>
      </c>
      <c r="E1879" s="292" t="s">
        <v>3880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3884</v>
      </c>
    </row>
    <row r="1880" spans="1:13" x14ac:dyDescent="0.3">
      <c r="A1880" s="271">
        <v>1879</v>
      </c>
      <c r="B1880" s="264">
        <v>45943</v>
      </c>
      <c r="C1880" s="292" t="s">
        <v>3886</v>
      </c>
      <c r="E1880" s="292" t="s">
        <v>3464</v>
      </c>
      <c r="F1880" s="269" t="s">
        <v>1207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1580</v>
      </c>
      <c r="E1881" s="292" t="s">
        <v>2413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2618</v>
      </c>
      <c r="E1882" s="292" t="s">
        <v>3464</v>
      </c>
      <c r="F1882" s="269" t="s">
        <v>1207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2618</v>
      </c>
      <c r="E1883" s="292" t="s">
        <v>3340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3892</v>
      </c>
      <c r="E1884" s="292" t="s">
        <v>2183</v>
      </c>
      <c r="F1884" s="269" t="s">
        <v>1720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3892</v>
      </c>
      <c r="E1885" s="292" t="s">
        <v>2181</v>
      </c>
      <c r="F1885" s="269" t="s">
        <v>1803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3268</v>
      </c>
      <c r="E1886" s="292" t="s">
        <v>1561</v>
      </c>
      <c r="F1886" s="269" t="s">
        <v>2697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2618</v>
      </c>
      <c r="E1887" s="292" t="s">
        <v>3896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3892</v>
      </c>
      <c r="E1888" s="292" t="s">
        <v>3898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3900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1173</v>
      </c>
      <c r="E1890" s="292" t="s">
        <v>3902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3268</v>
      </c>
      <c r="E1891" s="292" t="s">
        <v>3904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3886</v>
      </c>
      <c r="E1892" s="292" t="s">
        <v>3906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1867</v>
      </c>
      <c r="E1893" s="292" t="s">
        <v>1743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1554</v>
      </c>
      <c r="E1894" s="292" t="s">
        <v>1203</v>
      </c>
      <c r="F1894" s="269" t="s">
        <v>1752</v>
      </c>
      <c r="G1894" s="265">
        <v>1200000</v>
      </c>
      <c r="H1894" s="269">
        <v>1</v>
      </c>
      <c r="J1894" s="266">
        <v>120000</v>
      </c>
      <c r="K1894" s="265">
        <v>1320000</v>
      </c>
    </row>
    <row r="1895" spans="1:12" x14ac:dyDescent="0.3">
      <c r="A1895" s="271">
        <v>1894</v>
      </c>
      <c r="B1895" s="264">
        <v>45943</v>
      </c>
      <c r="C1895" s="292" t="s">
        <v>1554</v>
      </c>
      <c r="E1895" s="292" t="s">
        <v>1496</v>
      </c>
      <c r="F1895" s="269" t="s">
        <v>2679</v>
      </c>
      <c r="G1895" s="265">
        <v>350000</v>
      </c>
      <c r="H1895" s="269">
        <v>1</v>
      </c>
      <c r="J1895" s="266">
        <v>35000</v>
      </c>
      <c r="K1895" s="265">
        <v>385000</v>
      </c>
    </row>
    <row r="1896" spans="1:12" x14ac:dyDescent="0.3">
      <c r="A1896" s="271">
        <v>1895</v>
      </c>
      <c r="B1896" s="264">
        <v>45944</v>
      </c>
      <c r="C1896" s="292" t="s">
        <v>1467</v>
      </c>
      <c r="E1896" s="292" t="s">
        <v>1800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1399</v>
      </c>
      <c r="E1897" s="292" t="s">
        <v>1549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1399</v>
      </c>
      <c r="E1898" s="292" t="s">
        <v>2091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1399</v>
      </c>
      <c r="E1899" s="292" t="s">
        <v>3913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1399</v>
      </c>
      <c r="E1900" s="292" t="s">
        <v>3046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3915</v>
      </c>
      <c r="E1901" s="292" t="s">
        <v>1203</v>
      </c>
      <c r="F1901" s="269" t="s">
        <v>1752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1586</v>
      </c>
      <c r="E1902" s="292" t="s">
        <v>2913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1805</v>
      </c>
      <c r="E1903" s="292" t="s">
        <v>3221</v>
      </c>
      <c r="F1903" s="269" t="s">
        <v>3522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4000</v>
      </c>
      <c r="E1904" s="292" t="s">
        <v>4001</v>
      </c>
      <c r="F1904" s="269" t="s">
        <v>4002</v>
      </c>
      <c r="G1904" s="265">
        <v>50000</v>
      </c>
      <c r="H1904" s="269">
        <v>5</v>
      </c>
      <c r="J1904" s="266">
        <v>25000</v>
      </c>
      <c r="K1904" s="265">
        <v>275000</v>
      </c>
    </row>
    <row r="1905" spans="1:13" x14ac:dyDescent="0.3">
      <c r="A1905" s="271">
        <v>1904</v>
      </c>
      <c r="B1905" s="264">
        <v>45944</v>
      </c>
      <c r="C1905" s="292" t="s">
        <v>1580</v>
      </c>
      <c r="E1905" s="292" t="s">
        <v>3464</v>
      </c>
      <c r="F1905" s="269" t="s">
        <v>1207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1580</v>
      </c>
      <c r="E1906" s="292" t="s">
        <v>2188</v>
      </c>
      <c r="F1906" s="269" t="s">
        <v>1259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3115</v>
      </c>
      <c r="E1907" s="292" t="s">
        <v>2197</v>
      </c>
      <c r="F1907" s="269" t="s">
        <v>1198</v>
      </c>
      <c r="H1907" s="269">
        <v>1</v>
      </c>
      <c r="K1907" s="265">
        <v>0</v>
      </c>
      <c r="M1907" s="292" t="s">
        <v>3923</v>
      </c>
    </row>
    <row r="1908" spans="1:13" x14ac:dyDescent="0.3">
      <c r="A1908" s="271">
        <v>1907</v>
      </c>
      <c r="B1908" s="264">
        <v>45944</v>
      </c>
      <c r="C1908" s="292" t="s">
        <v>2998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1399</v>
      </c>
      <c r="E1909" s="292" t="s">
        <v>3926</v>
      </c>
      <c r="F1909" s="269" t="s">
        <v>3925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1931</v>
      </c>
      <c r="E1910" s="292" t="s">
        <v>2202</v>
      </c>
      <c r="F1910" s="269" t="s">
        <v>1956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1931</v>
      </c>
      <c r="E1911" s="292" t="s">
        <v>2181</v>
      </c>
      <c r="F1911" s="269" t="s">
        <v>1803</v>
      </c>
      <c r="G1911" s="265">
        <v>50000</v>
      </c>
      <c r="H1911" s="269">
        <v>1</v>
      </c>
      <c r="K1911" s="265">
        <v>50000</v>
      </c>
      <c r="M1911" s="292" t="s">
        <v>3929</v>
      </c>
    </row>
    <row r="1912" spans="1:13" x14ac:dyDescent="0.3">
      <c r="A1912" s="58">
        <v>1912</v>
      </c>
      <c r="B1912" s="264">
        <v>45945</v>
      </c>
      <c r="C1912" s="292" t="s">
        <v>1467</v>
      </c>
      <c r="E1912" s="292" t="s">
        <v>2202</v>
      </c>
      <c r="F1912" s="269" t="s">
        <v>1956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1467</v>
      </c>
      <c r="E1913" s="292" t="s">
        <v>2181</v>
      </c>
      <c r="F1913" s="269" t="s">
        <v>1803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1467</v>
      </c>
      <c r="E1914" s="292" t="s">
        <v>2680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4033</v>
      </c>
      <c r="E1915" s="292" t="s">
        <v>4034</v>
      </c>
      <c r="G1915" s="265">
        <v>1100000</v>
      </c>
      <c r="H1915" s="269">
        <v>1</v>
      </c>
      <c r="J1915" s="266" t="s">
        <v>3520</v>
      </c>
      <c r="K1915" s="265">
        <v>1210000</v>
      </c>
    </row>
    <row r="1916" spans="1:13" x14ac:dyDescent="0.3">
      <c r="A1916" s="58">
        <v>1916</v>
      </c>
      <c r="B1916" s="264">
        <v>45945</v>
      </c>
      <c r="C1916" s="292" t="s">
        <v>4033</v>
      </c>
      <c r="E1916" s="292" t="s">
        <v>4035</v>
      </c>
      <c r="F1916" s="269" t="s">
        <v>4036</v>
      </c>
      <c r="G1916" s="265">
        <v>1000000</v>
      </c>
      <c r="H1916" s="269">
        <v>1</v>
      </c>
      <c r="J1916" s="266" t="s">
        <v>4037</v>
      </c>
      <c r="K1916" s="265">
        <v>1100000</v>
      </c>
    </row>
    <row r="1917" spans="1:13" x14ac:dyDescent="0.3">
      <c r="A1917" s="58">
        <v>1917</v>
      </c>
      <c r="B1917" s="264">
        <v>45945</v>
      </c>
      <c r="C1917" s="292" t="s">
        <v>3932</v>
      </c>
      <c r="E1917" s="292" t="s">
        <v>1743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1790</v>
      </c>
      <c r="E1918" s="292" t="s">
        <v>1743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1790</v>
      </c>
      <c r="E1919" s="292" t="s">
        <v>1519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1494</v>
      </c>
      <c r="E1921" s="292" t="s">
        <v>1496</v>
      </c>
      <c r="F1921" s="269" t="s">
        <v>2679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1449</v>
      </c>
      <c r="E1922" s="292" t="s">
        <v>3464</v>
      </c>
      <c r="F1922" s="269" t="s">
        <v>1207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1449</v>
      </c>
      <c r="E1923" s="292" t="s">
        <v>3940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1449</v>
      </c>
      <c r="E1924" s="292" t="s">
        <v>2190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1449</v>
      </c>
      <c r="E1925" s="292" t="s">
        <v>2192</v>
      </c>
      <c r="F1925" s="269" t="s">
        <v>1822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1449</v>
      </c>
      <c r="E1926" s="292" t="s">
        <v>2191</v>
      </c>
      <c r="F1926" s="269" t="s">
        <v>1795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1867</v>
      </c>
      <c r="E1927" s="292" t="s">
        <v>3943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1931</v>
      </c>
      <c r="E1928" s="292" t="s">
        <v>3944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3932</v>
      </c>
      <c r="E1929" s="292" t="s">
        <v>3945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1473</v>
      </c>
      <c r="E1930" s="292" t="s">
        <v>3464</v>
      </c>
      <c r="F1930" s="269" t="s">
        <v>1207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1485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1598</v>
      </c>
      <c r="E1932" s="292" t="s">
        <v>1203</v>
      </c>
      <c r="F1932" s="269" t="s">
        <v>1752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3946</v>
      </c>
      <c r="E1933" s="292" t="s">
        <v>2196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3818</v>
      </c>
      <c r="E1934" s="292" t="s">
        <v>1743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1790</v>
      </c>
      <c r="E1935" s="292" t="s">
        <v>3958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1485</v>
      </c>
      <c r="E1936" s="292" t="s">
        <v>3960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1598</v>
      </c>
      <c r="E1937" s="292" t="s">
        <v>3870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3818</v>
      </c>
      <c r="E1938" s="292" t="s">
        <v>3961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3946</v>
      </c>
      <c r="E1939" s="292" t="s">
        <v>3962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1931</v>
      </c>
      <c r="E1940" s="292" t="s">
        <v>3944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1469</v>
      </c>
      <c r="E1941" s="292" t="s">
        <v>1203</v>
      </c>
      <c r="F1941" s="269" t="s">
        <v>1752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1469</v>
      </c>
      <c r="E1942" s="292" t="s">
        <v>3963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2192</v>
      </c>
      <c r="F1944" s="269" t="s">
        <v>1822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3965</v>
      </c>
      <c r="F1945" s="269" t="s">
        <v>1207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1580</v>
      </c>
      <c r="E1947" s="292" t="s">
        <v>3967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1790</v>
      </c>
      <c r="E1948" s="292" t="s">
        <v>1829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1977</v>
      </c>
      <c r="E1949" s="292" t="s">
        <v>1203</v>
      </c>
      <c r="F1949" s="269" t="s">
        <v>1752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1977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1870</v>
      </c>
      <c r="E1951" s="292" t="s">
        <v>1916</v>
      </c>
      <c r="F1951" s="269" t="s">
        <v>2054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3971</v>
      </c>
      <c r="E1952" s="292" t="s">
        <v>1855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3971</v>
      </c>
      <c r="E1953" s="292" t="s">
        <v>1717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4038</v>
      </c>
      <c r="E1954" s="292" t="s">
        <v>4039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1580</v>
      </c>
      <c r="E1955" s="292" t="s">
        <v>3976</v>
      </c>
      <c r="F1955" s="269" t="s">
        <v>2748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3971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1870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3915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2410</v>
      </c>
      <c r="E1959" s="292" t="s">
        <v>2197</v>
      </c>
      <c r="F1959" s="269" t="s">
        <v>1198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3980</v>
      </c>
      <c r="E1960" s="292" t="s">
        <v>3979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1399</v>
      </c>
      <c r="E1961" s="292" t="s">
        <v>1743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1399</v>
      </c>
      <c r="E1962" s="292" t="s">
        <v>1266</v>
      </c>
      <c r="F1962" s="269" t="s">
        <v>1265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1580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1494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1449</v>
      </c>
      <c r="E1965" s="292" t="s">
        <v>3983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1473</v>
      </c>
      <c r="E1966" s="292" t="s">
        <v>1859</v>
      </c>
      <c r="F1966" s="269" t="s">
        <v>3666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3397</v>
      </c>
      <c r="E1967" s="292" t="s">
        <v>1859</v>
      </c>
      <c r="F1967" s="269" t="s">
        <v>3666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2027</v>
      </c>
      <c r="F1968" s="269" t="s">
        <v>1216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3987</v>
      </c>
    </row>
    <row r="1969" spans="1:12" x14ac:dyDescent="0.3">
      <c r="A1969" s="58">
        <v>1969</v>
      </c>
      <c r="B1969" s="264">
        <v>45951</v>
      </c>
      <c r="C1969" s="292" t="s">
        <v>3201</v>
      </c>
      <c r="E1969" s="292" t="s">
        <v>1581</v>
      </c>
      <c r="F1969" s="269" t="s">
        <v>1923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1747</v>
      </c>
      <c r="E1970" s="292" t="s">
        <v>3990</v>
      </c>
      <c r="F1970" s="269" t="s">
        <v>3989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1449</v>
      </c>
      <c r="E1971" s="292" t="s">
        <v>1203</v>
      </c>
      <c r="F1971" s="269" t="s">
        <v>1752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3932</v>
      </c>
      <c r="E1972" s="292" t="s">
        <v>1203</v>
      </c>
      <c r="F1972" s="269" t="s">
        <v>1752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3932</v>
      </c>
      <c r="E1973" s="292" t="s">
        <v>1496</v>
      </c>
      <c r="F1973" s="269" t="s">
        <v>2679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3932</v>
      </c>
      <c r="E1974" s="292" t="s">
        <v>3995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1399</v>
      </c>
      <c r="E1975" s="292" t="s">
        <v>1743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1867</v>
      </c>
      <c r="E1976" s="292" t="s">
        <v>1203</v>
      </c>
      <c r="F1976" s="269" t="s">
        <v>1752</v>
      </c>
      <c r="G1976" s="265">
        <v>1300000</v>
      </c>
      <c r="H1976" s="269">
        <v>1</v>
      </c>
      <c r="K1976" s="265">
        <v>1300000</v>
      </c>
    </row>
    <row r="1977" spans="1:12" x14ac:dyDescent="0.3">
      <c r="A1977" s="58">
        <v>1977</v>
      </c>
      <c r="B1977" s="264">
        <v>45951</v>
      </c>
      <c r="C1977" s="292" t="s">
        <v>3980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1449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4004</v>
      </c>
      <c r="E1979" s="292" t="s">
        <v>1743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4006</v>
      </c>
      <c r="E1980" s="292" t="s">
        <v>2027</v>
      </c>
      <c r="F1980" s="269" t="s">
        <v>1216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1541</v>
      </c>
      <c r="E1981" s="292" t="s">
        <v>1205</v>
      </c>
      <c r="F1981" s="269" t="s">
        <v>1206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2558</v>
      </c>
      <c r="E1982" s="292" t="s">
        <v>2178</v>
      </c>
      <c r="F1982" s="269" t="s">
        <v>1464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3151</v>
      </c>
      <c r="E1983" s="292" t="s">
        <v>1203</v>
      </c>
      <c r="F1983" s="269" t="s">
        <v>1752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1722</v>
      </c>
      <c r="E1984" s="292" t="s">
        <v>2178</v>
      </c>
      <c r="F1984" s="269" t="s">
        <v>1464</v>
      </c>
      <c r="G1984" s="265">
        <v>1500000</v>
      </c>
      <c r="H1984" s="269">
        <v>1</v>
      </c>
      <c r="K1984" s="265">
        <v>1500000</v>
      </c>
    </row>
    <row r="1985" spans="1:12" x14ac:dyDescent="0.3">
      <c r="A1985" s="58">
        <v>1985</v>
      </c>
      <c r="B1985" s="264">
        <v>45952</v>
      </c>
      <c r="C1985" s="292" t="s">
        <v>1722</v>
      </c>
      <c r="E1985" s="292" t="s">
        <v>2919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2" x14ac:dyDescent="0.3">
      <c r="A1986" s="58">
        <v>1986</v>
      </c>
      <c r="B1986" s="264">
        <v>45952</v>
      </c>
      <c r="C1986" s="292" t="s">
        <v>1147</v>
      </c>
      <c r="E1986" s="292" t="s">
        <v>2194</v>
      </c>
      <c r="G1986" s="265">
        <v>600000</v>
      </c>
      <c r="H1986" s="269">
        <v>1</v>
      </c>
      <c r="K1986" s="265">
        <v>600000</v>
      </c>
    </row>
    <row r="1987" spans="1:12" x14ac:dyDescent="0.3">
      <c r="A1987" s="58">
        <v>1987</v>
      </c>
      <c r="B1987" s="264">
        <v>45952</v>
      </c>
      <c r="C1987" s="292" t="s">
        <v>1147</v>
      </c>
      <c r="E1987" s="292" t="s">
        <v>2192</v>
      </c>
      <c r="F1987" s="269" t="s">
        <v>1822</v>
      </c>
      <c r="G1987" s="265">
        <v>10000</v>
      </c>
      <c r="H1987" s="269">
        <v>2</v>
      </c>
      <c r="K1987" s="265">
        <v>20000</v>
      </c>
    </row>
    <row r="1988" spans="1:12" x14ac:dyDescent="0.3">
      <c r="A1988" s="58">
        <v>1988</v>
      </c>
      <c r="B1988" s="264">
        <v>45952</v>
      </c>
      <c r="C1988" s="292" t="s">
        <v>1147</v>
      </c>
      <c r="E1988" s="292" t="s">
        <v>3965</v>
      </c>
      <c r="F1988" s="269" t="s">
        <v>1207</v>
      </c>
      <c r="G1988" s="265">
        <v>400000</v>
      </c>
      <c r="H1988" s="269">
        <v>1</v>
      </c>
      <c r="K1988" s="265">
        <v>400000</v>
      </c>
    </row>
    <row r="1989" spans="1:12" x14ac:dyDescent="0.3">
      <c r="A1989" s="58">
        <v>1989</v>
      </c>
      <c r="B1989" s="264">
        <v>45952</v>
      </c>
      <c r="C1989" s="292" t="s">
        <v>1147</v>
      </c>
      <c r="E1989" s="292" t="s">
        <v>2191</v>
      </c>
      <c r="F1989" s="269" t="s">
        <v>1795</v>
      </c>
      <c r="G1989" s="265">
        <v>35000</v>
      </c>
      <c r="H1989" s="269">
        <v>1</v>
      </c>
      <c r="K1989" s="265">
        <v>35000</v>
      </c>
    </row>
    <row r="1990" spans="1:12" x14ac:dyDescent="0.3">
      <c r="A1990" s="58">
        <v>1990</v>
      </c>
      <c r="B1990" s="264">
        <v>45952</v>
      </c>
      <c r="C1990" s="292" t="s">
        <v>1147</v>
      </c>
      <c r="E1990" s="292" t="s">
        <v>2190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2" x14ac:dyDescent="0.3">
      <c r="A1991" s="58">
        <v>1991</v>
      </c>
      <c r="B1991" s="264">
        <v>45952</v>
      </c>
      <c r="C1991" s="292" t="s">
        <v>1467</v>
      </c>
      <c r="E1991" s="292" t="s">
        <v>4020</v>
      </c>
      <c r="F1991" s="269" t="s">
        <v>4019</v>
      </c>
      <c r="G1991" s="265">
        <v>1300000</v>
      </c>
      <c r="H1991" s="269">
        <v>1</v>
      </c>
      <c r="J1991" s="266">
        <v>130000</v>
      </c>
      <c r="K1991" s="265">
        <v>1430000</v>
      </c>
    </row>
    <row r="1992" spans="1:12" x14ac:dyDescent="0.3">
      <c r="A1992" s="58">
        <v>1992</v>
      </c>
      <c r="B1992" s="264">
        <v>45952</v>
      </c>
      <c r="C1992" s="292" t="s">
        <v>2410</v>
      </c>
      <c r="E1992" s="292" t="s">
        <v>2197</v>
      </c>
      <c r="F1992" s="269" t="s">
        <v>1198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2" x14ac:dyDescent="0.3">
      <c r="A1993" s="58">
        <v>1993</v>
      </c>
      <c r="B1993" s="264">
        <v>45952</v>
      </c>
      <c r="C1993" s="292" t="s">
        <v>1577</v>
      </c>
      <c r="E1993" s="292" t="s">
        <v>3042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2" x14ac:dyDescent="0.3">
      <c r="A1994" s="58">
        <v>1994</v>
      </c>
      <c r="B1994" s="264">
        <v>45952</v>
      </c>
      <c r="C1994" s="292" t="s">
        <v>1870</v>
      </c>
      <c r="E1994" s="292" t="s">
        <v>2188</v>
      </c>
      <c r="F1994" s="269" t="s">
        <v>1259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2" x14ac:dyDescent="0.3">
      <c r="A1995" s="58">
        <v>1995</v>
      </c>
      <c r="B1995" s="264">
        <v>45953</v>
      </c>
      <c r="C1995" s="292" t="s">
        <v>1399</v>
      </c>
      <c r="E1995" s="292" t="s">
        <v>3124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2" x14ac:dyDescent="0.3">
      <c r="A1996" s="58">
        <v>1996</v>
      </c>
      <c r="B1996" s="264">
        <v>45953</v>
      </c>
      <c r="C1996" s="292" t="s">
        <v>1598</v>
      </c>
      <c r="E1996" s="292" t="s">
        <v>1738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2" x14ac:dyDescent="0.3">
      <c r="A1997" s="58">
        <v>1997</v>
      </c>
      <c r="B1997" s="264">
        <v>45953</v>
      </c>
      <c r="C1997" s="292" t="s">
        <v>1444</v>
      </c>
      <c r="E1997" s="292" t="s">
        <v>1973</v>
      </c>
      <c r="L1997" s="265">
        <v>-300000</v>
      </c>
    </row>
    <row r="1998" spans="1:12" x14ac:dyDescent="0.3">
      <c r="A1998" s="58">
        <v>1998</v>
      </c>
      <c r="B1998" s="264">
        <v>45953</v>
      </c>
      <c r="C1998" s="292" t="s">
        <v>1444</v>
      </c>
      <c r="E1998" s="292" t="s">
        <v>1973</v>
      </c>
      <c r="L1998" s="265">
        <v>-300000</v>
      </c>
    </row>
    <row r="1999" spans="1:12" x14ac:dyDescent="0.3">
      <c r="A1999" s="58">
        <v>1999</v>
      </c>
      <c r="B1999" s="264">
        <v>45953</v>
      </c>
      <c r="C1999" s="292" t="s">
        <v>1444</v>
      </c>
      <c r="E1999" s="292" t="s">
        <v>2158</v>
      </c>
      <c r="G1999" s="265">
        <v>1100000</v>
      </c>
      <c r="H1999" s="269">
        <v>1</v>
      </c>
      <c r="K1999" s="265">
        <v>1100000</v>
      </c>
    </row>
    <row r="2000" spans="1:12" x14ac:dyDescent="0.3">
      <c r="A2000" s="58">
        <v>2000</v>
      </c>
      <c r="B2000" s="264">
        <v>45953</v>
      </c>
      <c r="C2000" s="292" t="s">
        <v>1444</v>
      </c>
      <c r="E2000" s="292" t="s">
        <v>1985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4029</v>
      </c>
    </row>
    <row r="2002" spans="1:13" x14ac:dyDescent="0.3">
      <c r="A2002" s="58">
        <v>2002</v>
      </c>
      <c r="B2002" s="264">
        <v>45953</v>
      </c>
      <c r="C2002" s="292" t="s">
        <v>1577</v>
      </c>
      <c r="E2002" s="292" t="s">
        <v>1203</v>
      </c>
      <c r="F2002" s="269" t="s">
        <v>1752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1577</v>
      </c>
      <c r="E2003" s="292" t="s">
        <v>1519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2113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3201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2610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4004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2410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3151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2558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3397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4006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1399</v>
      </c>
      <c r="E2014" s="292" t="s">
        <v>1203</v>
      </c>
      <c r="F2014" s="269" t="s">
        <v>1752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1399</v>
      </c>
      <c r="E2015" s="292" t="s">
        <v>2840</v>
      </c>
      <c r="F2015" s="269" t="s">
        <v>2750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1931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1598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2704</v>
      </c>
      <c r="E2019" s="292" t="s">
        <v>2201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1494</v>
      </c>
      <c r="E2020" s="292" t="s">
        <v>3464</v>
      </c>
      <c r="F2020" s="269" t="s">
        <v>1207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2704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1870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1399</v>
      </c>
      <c r="E2023" s="292" t="s">
        <v>2180</v>
      </c>
      <c r="F2023" s="269" t="s">
        <v>1201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1399</v>
      </c>
      <c r="E2024" s="292" t="s">
        <v>2181</v>
      </c>
      <c r="F2024" s="269" t="s">
        <v>1803</v>
      </c>
      <c r="G2024" s="265">
        <v>50000</v>
      </c>
      <c r="H2024" s="269">
        <v>1</v>
      </c>
      <c r="K2024" s="265">
        <v>50000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14"/>
  <sheetViews>
    <sheetView topLeftCell="A195" workbookViewId="0">
      <selection activeCell="K223" sqref="K22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45954</v>
      </c>
      <c r="B3" s="235" t="s">
        <v>1126</v>
      </c>
      <c r="C3" s="286">
        <f>SUMIF($B:$B,A3,I:I)</f>
        <v>710000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9110002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102641500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102641500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1747</v>
      </c>
      <c r="D9" s="112" t="s">
        <v>3783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1541</v>
      </c>
      <c r="D10" s="112" t="s">
        <v>3784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2762</v>
      </c>
      <c r="D11" s="112" t="s">
        <v>3785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1847</v>
      </c>
      <c r="D12" s="112" t="s">
        <v>3464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1890</v>
      </c>
      <c r="D17" s="112" t="s">
        <v>3657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1870</v>
      </c>
      <c r="D18" s="112" t="s">
        <v>3816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3818</v>
      </c>
      <c r="D19" s="112" t="s">
        <v>3464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3818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3820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1399</v>
      </c>
      <c r="D26" s="112" t="s">
        <v>3827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3821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2145</v>
      </c>
      <c r="D29" s="112" t="s">
        <v>3834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3821</v>
      </c>
      <c r="D30" s="112" t="s">
        <v>3835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1722</v>
      </c>
      <c r="D31" s="112" t="s">
        <v>3836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1479</v>
      </c>
      <c r="D32" s="112" t="s">
        <v>3837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1870</v>
      </c>
      <c r="D33" s="112" t="s">
        <v>3838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1931</v>
      </c>
      <c r="D35" s="113" t="s">
        <v>3124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2623</v>
      </c>
      <c r="D37" s="113" t="s">
        <v>3844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3852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1747</v>
      </c>
      <c r="D44" s="112" t="s">
        <v>3854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1577</v>
      </c>
      <c r="D47" s="113" t="s">
        <v>3631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1378</v>
      </c>
      <c r="D48" s="113" t="s">
        <v>4043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3397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3397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3818</v>
      </c>
      <c r="D56" s="113" t="s">
        <v>3464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2145</v>
      </c>
      <c r="D60" s="113" t="s">
        <v>3869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1598</v>
      </c>
      <c r="D61" s="113" t="s">
        <v>3870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3818</v>
      </c>
      <c r="D62" s="113" t="s">
        <v>3871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2486</v>
      </c>
      <c r="D63" s="113" t="s">
        <v>3872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3397</v>
      </c>
      <c r="D64" s="113" t="s">
        <v>3873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1378</v>
      </c>
      <c r="D71" s="113" t="s">
        <v>3880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3886</v>
      </c>
      <c r="D72" s="113" t="s">
        <v>3464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2618</v>
      </c>
      <c r="D74" s="113" t="s">
        <v>3464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2618</v>
      </c>
      <c r="D75" s="113" t="s">
        <v>3340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3892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3892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3268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2618</v>
      </c>
      <c r="D79" s="113" t="s">
        <v>3896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3892</v>
      </c>
      <c r="D80" s="113" t="s">
        <v>3898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3900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1173</v>
      </c>
      <c r="D82" s="113" t="s">
        <v>3902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3268</v>
      </c>
      <c r="D83" s="113" t="s">
        <v>3904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3886</v>
      </c>
      <c r="D84" s="113" t="s">
        <v>3906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 x14ac:dyDescent="0.3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 x14ac:dyDescent="0.3">
      <c r="A88" s="82">
        <v>1895</v>
      </c>
      <c r="B88" s="93">
        <v>45944</v>
      </c>
      <c r="C88" s="83" t="s">
        <v>1467</v>
      </c>
      <c r="D88" s="113" t="s">
        <v>1800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1399</v>
      </c>
      <c r="D89" s="113" t="s">
        <v>1549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1399</v>
      </c>
      <c r="D90" s="113" t="s">
        <v>2091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1399</v>
      </c>
      <c r="D91" s="113" t="s">
        <v>3913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1399</v>
      </c>
      <c r="D92" s="113" t="s">
        <v>3046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3915</v>
      </c>
      <c r="D93" s="113" t="s">
        <v>1203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1586</v>
      </c>
      <c r="D94" s="113" t="s">
        <v>2913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1805</v>
      </c>
      <c r="D95" s="113" t="s">
        <v>3221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1554</v>
      </c>
      <c r="D96" s="113" t="s">
        <v>1266</v>
      </c>
      <c r="F96" s="80">
        <v>50000</v>
      </c>
      <c r="G96" s="120">
        <v>5</v>
      </c>
      <c r="H96" s="126">
        <v>25000</v>
      </c>
      <c r="I96" s="80">
        <v>275000</v>
      </c>
    </row>
    <row r="97" spans="1:10" ht="18" customHeight="1" x14ac:dyDescent="0.3">
      <c r="A97" s="82">
        <v>1904</v>
      </c>
      <c r="B97" s="93">
        <v>45944</v>
      </c>
      <c r="C97" s="83" t="s">
        <v>1580</v>
      </c>
      <c r="D97" s="113" t="s">
        <v>3464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1580</v>
      </c>
      <c r="D98" s="113" t="s">
        <v>2188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3115</v>
      </c>
      <c r="D99" s="113" t="s">
        <v>2197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2998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1399</v>
      </c>
      <c r="D101" s="113" t="s">
        <v>3926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1931</v>
      </c>
      <c r="D102" s="113" t="s">
        <v>2202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1931</v>
      </c>
      <c r="D103" s="113" t="s">
        <v>2181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1467</v>
      </c>
      <c r="D104" s="113" t="s">
        <v>2202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1467</v>
      </c>
      <c r="D105" s="113" t="s">
        <v>2181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1467</v>
      </c>
      <c r="D106" s="113" t="s">
        <v>2680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2113</v>
      </c>
      <c r="D107" s="113" t="s">
        <v>1743</v>
      </c>
      <c r="F107" s="80">
        <v>1100000</v>
      </c>
      <c r="G107" s="120">
        <v>1</v>
      </c>
      <c r="H107" s="126" t="s">
        <v>3520</v>
      </c>
      <c r="I107" s="80">
        <v>1210000</v>
      </c>
    </row>
    <row r="108" spans="1:10" ht="18" customHeight="1" x14ac:dyDescent="0.3">
      <c r="A108" s="82">
        <v>1916</v>
      </c>
      <c r="B108" s="93">
        <v>45945</v>
      </c>
      <c r="C108" s="83" t="s">
        <v>2113</v>
      </c>
      <c r="D108" s="113" t="s">
        <v>3051</v>
      </c>
      <c r="F108" s="80">
        <v>1000000</v>
      </c>
      <c r="G108" s="120">
        <v>1</v>
      </c>
      <c r="H108" s="126" t="s">
        <v>4037</v>
      </c>
      <c r="I108" s="80">
        <v>1100000</v>
      </c>
    </row>
    <row r="109" spans="1:10" ht="18" customHeight="1" x14ac:dyDescent="0.3">
      <c r="A109" s="82">
        <v>1917</v>
      </c>
      <c r="B109" s="93">
        <v>45945</v>
      </c>
      <c r="C109" s="83" t="s">
        <v>3932</v>
      </c>
      <c r="D109" s="113" t="s">
        <v>1743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1790</v>
      </c>
      <c r="D110" s="113" t="s">
        <v>1743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1790</v>
      </c>
      <c r="D111" s="113" t="s">
        <v>1519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1743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1494</v>
      </c>
      <c r="D113" s="113" t="s">
        <v>1496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1449</v>
      </c>
      <c r="D114" s="113" t="s">
        <v>3464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1449</v>
      </c>
      <c r="D115" s="113" t="s">
        <v>3940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1449</v>
      </c>
      <c r="D116" s="113" t="s">
        <v>2190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1449</v>
      </c>
      <c r="D117" s="113" t="s">
        <v>2192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1449</v>
      </c>
      <c r="D118" s="113" t="s">
        <v>2191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1867</v>
      </c>
      <c r="D119" s="113" t="s">
        <v>3943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1931</v>
      </c>
      <c r="D120" s="113" t="s">
        <v>3944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3932</v>
      </c>
      <c r="D121" s="113" t="s">
        <v>3945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1473</v>
      </c>
      <c r="D122" s="113" t="s">
        <v>3464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1485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1598</v>
      </c>
      <c r="D124" s="113" t="s">
        <v>1203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3946</v>
      </c>
      <c r="D125" s="113" t="s">
        <v>2196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3818</v>
      </c>
      <c r="D126" s="113" t="s">
        <v>1743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1790</v>
      </c>
      <c r="D127" s="113" t="s">
        <v>3958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1485</v>
      </c>
      <c r="D128" s="113" t="s">
        <v>3960</v>
      </c>
      <c r="J128" s="80">
        <v>-1750000</v>
      </c>
    </row>
    <row r="129" spans="1:10" ht="18" customHeight="1" x14ac:dyDescent="0.3">
      <c r="A129" s="82">
        <v>1937</v>
      </c>
      <c r="B129" s="93">
        <v>45946</v>
      </c>
      <c r="C129" s="83" t="s">
        <v>1598</v>
      </c>
      <c r="D129" s="113" t="s">
        <v>3870</v>
      </c>
      <c r="J129" s="80">
        <v>-1000000</v>
      </c>
    </row>
    <row r="130" spans="1:10" ht="18" customHeight="1" x14ac:dyDescent="0.3">
      <c r="A130" s="82">
        <v>1938</v>
      </c>
      <c r="B130" s="93">
        <v>45946</v>
      </c>
      <c r="C130" s="83" t="s">
        <v>3818</v>
      </c>
      <c r="D130" s="113" t="s">
        <v>3961</v>
      </c>
      <c r="J130" s="80">
        <v>-715000</v>
      </c>
    </row>
    <row r="131" spans="1:10" ht="18" customHeight="1" x14ac:dyDescent="0.3">
      <c r="A131" s="82">
        <v>1939</v>
      </c>
      <c r="B131" s="93">
        <v>45946</v>
      </c>
      <c r="C131" s="83" t="s">
        <v>3946</v>
      </c>
      <c r="D131" s="113" t="s">
        <v>3962</v>
      </c>
      <c r="J131" s="80">
        <v>-1600000</v>
      </c>
    </row>
    <row r="132" spans="1:10" ht="18" customHeight="1" x14ac:dyDescent="0.3">
      <c r="A132" s="82">
        <v>1940</v>
      </c>
      <c r="B132" s="93">
        <v>45946</v>
      </c>
      <c r="C132" s="83" t="s">
        <v>1931</v>
      </c>
      <c r="D132" s="113" t="s">
        <v>3944</v>
      </c>
      <c r="J132" s="80">
        <v>-1950000</v>
      </c>
    </row>
    <row r="133" spans="1:10" ht="18" customHeight="1" x14ac:dyDescent="0.3">
      <c r="A133" s="82">
        <v>1941</v>
      </c>
      <c r="B133" s="93">
        <v>45947</v>
      </c>
      <c r="C133" s="83" t="s">
        <v>1469</v>
      </c>
      <c r="D133" s="113" t="s">
        <v>1203</v>
      </c>
      <c r="F133" s="120">
        <v>1300000</v>
      </c>
      <c r="G133" s="85">
        <v>1</v>
      </c>
      <c r="I133" s="80">
        <v>1300000</v>
      </c>
    </row>
    <row r="134" spans="1:10" ht="18" customHeight="1" x14ac:dyDescent="0.3">
      <c r="A134" s="82">
        <v>1942</v>
      </c>
      <c r="B134" s="93">
        <v>45947</v>
      </c>
      <c r="C134" s="83" t="s">
        <v>1469</v>
      </c>
      <c r="D134" s="113" t="s">
        <v>3963</v>
      </c>
      <c r="F134" s="120">
        <v>200000</v>
      </c>
      <c r="G134" s="85">
        <v>1</v>
      </c>
      <c r="I134" s="80">
        <v>200000</v>
      </c>
    </row>
    <row r="135" spans="1:10" ht="18" customHeight="1" x14ac:dyDescent="0.3">
      <c r="A135" s="82">
        <v>1943</v>
      </c>
      <c r="B135" s="93">
        <v>45947</v>
      </c>
      <c r="C135" s="83" t="s">
        <v>1147</v>
      </c>
      <c r="D135" s="113" t="s">
        <v>2194</v>
      </c>
      <c r="F135" s="120">
        <v>600000</v>
      </c>
      <c r="G135" s="85">
        <v>1</v>
      </c>
      <c r="I135" s="80">
        <v>600000</v>
      </c>
    </row>
    <row r="136" spans="1:10" ht="18" customHeight="1" x14ac:dyDescent="0.3">
      <c r="A136" s="82">
        <v>1944</v>
      </c>
      <c r="B136" s="93">
        <v>45947</v>
      </c>
      <c r="C136" s="83" t="s">
        <v>1147</v>
      </c>
      <c r="D136" s="113" t="s">
        <v>2192</v>
      </c>
      <c r="F136" s="120">
        <v>10000</v>
      </c>
      <c r="G136" s="85">
        <v>2</v>
      </c>
      <c r="I136" s="80">
        <v>20000</v>
      </c>
    </row>
    <row r="137" spans="1:10" ht="18" customHeight="1" x14ac:dyDescent="0.3">
      <c r="A137" s="82">
        <v>1945</v>
      </c>
      <c r="B137" s="93">
        <v>45947</v>
      </c>
      <c r="C137" s="83" t="s">
        <v>1147</v>
      </c>
      <c r="D137" s="113" t="s">
        <v>3965</v>
      </c>
      <c r="F137" s="120">
        <v>400000</v>
      </c>
      <c r="G137" s="85">
        <v>1</v>
      </c>
      <c r="I137" s="80">
        <v>400000</v>
      </c>
    </row>
    <row r="138" spans="1:10" ht="18" customHeight="1" x14ac:dyDescent="0.3">
      <c r="A138" s="82">
        <v>1946</v>
      </c>
      <c r="B138" s="93">
        <v>45947</v>
      </c>
      <c r="C138" s="83" t="s">
        <v>1147</v>
      </c>
      <c r="D138" s="113" t="s">
        <v>1717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1947</v>
      </c>
      <c r="B139" s="93">
        <v>45948</v>
      </c>
      <c r="C139" s="83" t="s">
        <v>1580</v>
      </c>
      <c r="D139" s="113" t="s">
        <v>3967</v>
      </c>
      <c r="J139" s="80">
        <v>-1000000</v>
      </c>
    </row>
    <row r="140" spans="1:10" ht="18" customHeight="1" x14ac:dyDescent="0.3">
      <c r="A140" s="82">
        <v>1948</v>
      </c>
      <c r="B140" s="93">
        <v>45948</v>
      </c>
      <c r="C140" s="83" t="s">
        <v>1790</v>
      </c>
      <c r="D140" s="113" t="s">
        <v>1829</v>
      </c>
      <c r="F140" s="120">
        <v>2500000</v>
      </c>
      <c r="G140" s="85">
        <v>1</v>
      </c>
      <c r="I140" s="80">
        <v>2500000</v>
      </c>
    </row>
    <row r="141" spans="1:10" ht="18" customHeight="1" x14ac:dyDescent="0.3">
      <c r="A141" s="82">
        <v>1949</v>
      </c>
      <c r="B141" s="93">
        <v>45948</v>
      </c>
      <c r="C141" s="83" t="s">
        <v>1977</v>
      </c>
      <c r="D141" s="113" t="s">
        <v>1203</v>
      </c>
      <c r="F141" s="120">
        <v>1200000</v>
      </c>
      <c r="G141" s="85">
        <v>1</v>
      </c>
      <c r="H141" s="126">
        <v>120000</v>
      </c>
      <c r="I141" s="80">
        <v>1320000</v>
      </c>
    </row>
    <row r="142" spans="1:10" ht="18" customHeight="1" x14ac:dyDescent="0.3">
      <c r="A142" s="82">
        <v>1950</v>
      </c>
      <c r="B142" s="93">
        <v>45948</v>
      </c>
      <c r="C142" s="83" t="s">
        <v>1977</v>
      </c>
      <c r="D142" s="113" t="s">
        <v>1125</v>
      </c>
      <c r="J142" s="80">
        <v>-1320000</v>
      </c>
    </row>
    <row r="143" spans="1:10" ht="18" customHeight="1" x14ac:dyDescent="0.3">
      <c r="A143" s="82">
        <v>1951</v>
      </c>
      <c r="B143" s="93">
        <v>45950</v>
      </c>
      <c r="C143" s="83" t="s">
        <v>1870</v>
      </c>
      <c r="D143" s="113" t="s">
        <v>1916</v>
      </c>
      <c r="F143" s="120">
        <v>1500000</v>
      </c>
      <c r="G143" s="85">
        <v>1</v>
      </c>
      <c r="H143" s="126">
        <v>150000</v>
      </c>
      <c r="I143" s="80">
        <v>1650000</v>
      </c>
    </row>
    <row r="144" spans="1:10" ht="18" customHeight="1" x14ac:dyDescent="0.3">
      <c r="A144" s="82">
        <v>1952</v>
      </c>
      <c r="B144" s="93">
        <v>45950</v>
      </c>
      <c r="C144" s="83" t="s">
        <v>3971</v>
      </c>
      <c r="D144" s="113" t="s">
        <v>1855</v>
      </c>
      <c r="F144" s="120">
        <v>150000</v>
      </c>
      <c r="G144" s="85">
        <v>1</v>
      </c>
      <c r="I144" s="80">
        <v>150000</v>
      </c>
    </row>
    <row r="145" spans="1:10" ht="18" customHeight="1" x14ac:dyDescent="0.3">
      <c r="A145" s="82">
        <v>1953</v>
      </c>
      <c r="B145" s="93">
        <v>45950</v>
      </c>
      <c r="C145" s="83" t="s">
        <v>3971</v>
      </c>
      <c r="D145" s="113" t="s">
        <v>1717</v>
      </c>
      <c r="F145" s="120">
        <v>150000</v>
      </c>
      <c r="G145" s="85">
        <v>1</v>
      </c>
      <c r="I145" s="80">
        <v>150000</v>
      </c>
    </row>
    <row r="146" spans="1:10" ht="18" customHeight="1" x14ac:dyDescent="0.3">
      <c r="A146" s="82">
        <v>1954</v>
      </c>
      <c r="B146" s="93">
        <v>45950</v>
      </c>
      <c r="C146" s="83" t="s">
        <v>2610</v>
      </c>
      <c r="D146" s="113" t="s">
        <v>1717</v>
      </c>
      <c r="F146" s="120">
        <v>200000</v>
      </c>
      <c r="G146" s="85">
        <v>1</v>
      </c>
      <c r="H146" s="126">
        <v>20000</v>
      </c>
      <c r="I146" s="80">
        <v>220000</v>
      </c>
    </row>
    <row r="147" spans="1:10" ht="18" customHeight="1" x14ac:dyDescent="0.3">
      <c r="A147" s="82">
        <v>1955</v>
      </c>
      <c r="B147" s="93">
        <v>45950</v>
      </c>
      <c r="C147" s="83" t="s">
        <v>1580</v>
      </c>
      <c r="D147" s="113" t="s">
        <v>3976</v>
      </c>
      <c r="F147" s="120">
        <v>100000</v>
      </c>
      <c r="G147" s="85">
        <v>1</v>
      </c>
      <c r="H147" s="126">
        <v>10000</v>
      </c>
      <c r="I147" s="80">
        <v>110000</v>
      </c>
    </row>
    <row r="148" spans="1:10" ht="18" customHeight="1" x14ac:dyDescent="0.3">
      <c r="A148" s="82">
        <v>1956</v>
      </c>
      <c r="B148" s="93">
        <v>45950</v>
      </c>
      <c r="C148" s="83" t="s">
        <v>3971</v>
      </c>
      <c r="D148" s="113" t="s">
        <v>1125</v>
      </c>
      <c r="J148" s="80">
        <v>-300000</v>
      </c>
    </row>
    <row r="149" spans="1:10" ht="18" customHeight="1" x14ac:dyDescent="0.3">
      <c r="A149" s="82">
        <v>1957</v>
      </c>
      <c r="B149" s="93">
        <v>45950</v>
      </c>
      <c r="C149" s="83" t="s">
        <v>1870</v>
      </c>
      <c r="D149" s="113" t="s">
        <v>1125</v>
      </c>
      <c r="J149" s="80">
        <v>-1650000</v>
      </c>
    </row>
    <row r="150" spans="1:10" ht="18" customHeight="1" x14ac:dyDescent="0.3">
      <c r="A150" s="82">
        <v>1958</v>
      </c>
      <c r="B150" s="93">
        <v>45950</v>
      </c>
      <c r="C150" s="83" t="s">
        <v>3915</v>
      </c>
      <c r="D150" s="113" t="s">
        <v>1125</v>
      </c>
      <c r="J150" s="80">
        <v>-1320000</v>
      </c>
    </row>
    <row r="151" spans="1:10" ht="18" customHeight="1" x14ac:dyDescent="0.3">
      <c r="A151" s="82">
        <v>1959</v>
      </c>
      <c r="B151" s="93">
        <v>45950</v>
      </c>
      <c r="C151" s="83" t="s">
        <v>2410</v>
      </c>
      <c r="D151" s="113" t="s">
        <v>2197</v>
      </c>
      <c r="F151" s="120">
        <v>1100000</v>
      </c>
      <c r="G151" s="85">
        <v>1</v>
      </c>
      <c r="H151" s="126">
        <v>110000</v>
      </c>
      <c r="I151" s="80">
        <v>1210000</v>
      </c>
    </row>
    <row r="152" spans="1:10" ht="18" customHeight="1" x14ac:dyDescent="0.3">
      <c r="A152" s="82">
        <v>1960</v>
      </c>
      <c r="B152" s="93">
        <v>45950</v>
      </c>
      <c r="C152" s="83" t="s">
        <v>3980</v>
      </c>
      <c r="D152" s="113" t="s">
        <v>3979</v>
      </c>
      <c r="F152" s="120">
        <v>835000</v>
      </c>
      <c r="G152" s="85">
        <v>1</v>
      </c>
      <c r="I152" s="80">
        <v>835000</v>
      </c>
    </row>
    <row r="153" spans="1:10" ht="18" customHeight="1" x14ac:dyDescent="0.3">
      <c r="A153" s="82">
        <v>1961</v>
      </c>
      <c r="B153" s="93">
        <v>45950</v>
      </c>
      <c r="C153" s="83" t="s">
        <v>1399</v>
      </c>
      <c r="D153" s="113" t="s">
        <v>1743</v>
      </c>
      <c r="F153" s="120">
        <v>450000</v>
      </c>
      <c r="G153" s="85">
        <v>1</v>
      </c>
      <c r="I153" s="80">
        <v>450000</v>
      </c>
    </row>
    <row r="154" spans="1:10" ht="18" customHeight="1" x14ac:dyDescent="0.3">
      <c r="A154" s="82">
        <v>1962</v>
      </c>
      <c r="B154" s="93">
        <v>45950</v>
      </c>
      <c r="C154" s="83" t="s">
        <v>1399</v>
      </c>
      <c r="D154" s="113" t="s">
        <v>1266</v>
      </c>
      <c r="F154" s="120">
        <v>50000</v>
      </c>
      <c r="G154" s="85">
        <v>1</v>
      </c>
      <c r="I154" s="80">
        <v>50000</v>
      </c>
    </row>
    <row r="155" spans="1:10" ht="18" customHeight="1" x14ac:dyDescent="0.3">
      <c r="A155" s="82">
        <v>1963</v>
      </c>
      <c r="B155" s="93">
        <v>45951</v>
      </c>
      <c r="C155" s="83" t="s">
        <v>1580</v>
      </c>
      <c r="D155" s="113" t="s">
        <v>1125</v>
      </c>
      <c r="J155" s="80">
        <v>-500000</v>
      </c>
    </row>
    <row r="156" spans="1:10" ht="18" customHeight="1" x14ac:dyDescent="0.3">
      <c r="A156" s="82">
        <v>1964</v>
      </c>
      <c r="B156" s="93">
        <v>45951</v>
      </c>
      <c r="C156" s="83" t="s">
        <v>1494</v>
      </c>
      <c r="D156" s="113" t="s">
        <v>1125</v>
      </c>
      <c r="J156" s="80">
        <v>-700000</v>
      </c>
    </row>
    <row r="157" spans="1:10" ht="18" customHeight="1" x14ac:dyDescent="0.3">
      <c r="A157" s="82">
        <v>1965</v>
      </c>
      <c r="B157" s="93">
        <v>45951</v>
      </c>
      <c r="C157" s="83" t="s">
        <v>1449</v>
      </c>
      <c r="D157" s="113" t="s">
        <v>3983</v>
      </c>
      <c r="J157" s="80">
        <v>-1376500</v>
      </c>
    </row>
    <row r="158" spans="1:10" ht="18" customHeight="1" x14ac:dyDescent="0.3">
      <c r="A158" s="82">
        <v>1966</v>
      </c>
      <c r="B158" s="93">
        <v>45951</v>
      </c>
      <c r="C158" s="83" t="s">
        <v>1473</v>
      </c>
      <c r="D158" s="113" t="s">
        <v>1859</v>
      </c>
      <c r="F158" s="120">
        <v>1100000</v>
      </c>
      <c r="G158" s="85">
        <v>1</v>
      </c>
      <c r="I158" s="80">
        <v>1100000</v>
      </c>
    </row>
    <row r="159" spans="1:10" ht="18" customHeight="1" x14ac:dyDescent="0.3">
      <c r="A159" s="82">
        <v>1967</v>
      </c>
      <c r="B159" s="93">
        <v>45951</v>
      </c>
      <c r="C159" s="83" t="s">
        <v>3397</v>
      </c>
      <c r="D159" s="113" t="s">
        <v>1859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1968</v>
      </c>
      <c r="B160" s="93">
        <v>45951</v>
      </c>
      <c r="C160" s="83" t="s">
        <v>987</v>
      </c>
      <c r="D160" s="113" t="s">
        <v>2027</v>
      </c>
      <c r="F160" s="120">
        <v>1500000</v>
      </c>
      <c r="G160" s="85">
        <v>1</v>
      </c>
      <c r="H160" s="126">
        <v>150000</v>
      </c>
      <c r="I160" s="80">
        <v>1650000</v>
      </c>
    </row>
    <row r="161" spans="1:10" ht="18" customHeight="1" x14ac:dyDescent="0.3">
      <c r="A161" s="82">
        <v>1969</v>
      </c>
      <c r="B161" s="93">
        <v>45951</v>
      </c>
      <c r="C161" s="83" t="s">
        <v>3201</v>
      </c>
      <c r="D161" s="113" t="s">
        <v>1581</v>
      </c>
      <c r="F161" s="120">
        <v>1100000</v>
      </c>
      <c r="G161" s="85">
        <v>1</v>
      </c>
      <c r="I161" s="80">
        <v>1100000</v>
      </c>
    </row>
    <row r="162" spans="1:10" ht="18" customHeight="1" x14ac:dyDescent="0.3">
      <c r="A162" s="82">
        <v>1970</v>
      </c>
      <c r="B162" s="93">
        <v>45951</v>
      </c>
      <c r="C162" s="83" t="s">
        <v>1747</v>
      </c>
      <c r="D162" s="113" t="s">
        <v>3990</v>
      </c>
      <c r="F162" s="120">
        <v>1800000</v>
      </c>
      <c r="G162" s="85">
        <v>1</v>
      </c>
      <c r="H162" s="126">
        <v>180000</v>
      </c>
      <c r="I162" s="80">
        <v>1980000</v>
      </c>
    </row>
    <row r="163" spans="1:10" ht="18" customHeight="1" x14ac:dyDescent="0.3">
      <c r="A163" s="82">
        <v>1971</v>
      </c>
      <c r="B163" s="93">
        <v>45951</v>
      </c>
      <c r="C163" s="83" t="s">
        <v>1449</v>
      </c>
      <c r="D163" s="113" t="s">
        <v>1203</v>
      </c>
      <c r="F163" s="120">
        <v>1200000</v>
      </c>
      <c r="G163" s="85">
        <v>1</v>
      </c>
      <c r="H163" s="126">
        <v>120000</v>
      </c>
      <c r="I163" s="80">
        <v>1320000</v>
      </c>
    </row>
    <row r="164" spans="1:10" ht="18" customHeight="1" x14ac:dyDescent="0.3">
      <c r="A164" s="82">
        <v>1972</v>
      </c>
      <c r="B164" s="93">
        <v>45951</v>
      </c>
      <c r="C164" s="83" t="s">
        <v>3932</v>
      </c>
      <c r="D164" s="113" t="s">
        <v>1203</v>
      </c>
      <c r="F164" s="120">
        <v>1200000</v>
      </c>
      <c r="G164" s="85">
        <v>1</v>
      </c>
      <c r="I164" s="80">
        <v>1200000</v>
      </c>
    </row>
    <row r="165" spans="1:10" ht="18" customHeight="1" x14ac:dyDescent="0.3">
      <c r="A165" s="82">
        <v>1973</v>
      </c>
      <c r="B165" s="93">
        <v>45951</v>
      </c>
      <c r="C165" s="83" t="s">
        <v>3932</v>
      </c>
      <c r="D165" s="113" t="s">
        <v>1496</v>
      </c>
      <c r="F165" s="120">
        <v>350000</v>
      </c>
      <c r="G165" s="85">
        <v>1</v>
      </c>
      <c r="I165" s="80">
        <v>350000</v>
      </c>
    </row>
    <row r="166" spans="1:10" ht="18" customHeight="1" x14ac:dyDescent="0.3">
      <c r="A166" s="82">
        <v>1974</v>
      </c>
      <c r="B166" s="93">
        <v>45951</v>
      </c>
      <c r="C166" s="83" t="s">
        <v>3932</v>
      </c>
      <c r="D166" s="113" t="s">
        <v>1519</v>
      </c>
      <c r="F166" s="120">
        <v>20000</v>
      </c>
      <c r="G166" s="85">
        <v>1</v>
      </c>
      <c r="I166" s="80">
        <v>20000</v>
      </c>
    </row>
    <row r="167" spans="1:10" ht="18" customHeight="1" x14ac:dyDescent="0.3">
      <c r="A167" s="82">
        <v>1975</v>
      </c>
      <c r="B167" s="93">
        <v>45951</v>
      </c>
      <c r="C167" s="83" t="s">
        <v>1399</v>
      </c>
      <c r="D167" s="113" t="s">
        <v>1743</v>
      </c>
      <c r="F167" s="120">
        <v>1100000</v>
      </c>
      <c r="G167" s="85">
        <v>1</v>
      </c>
      <c r="I167" s="80">
        <v>1100000</v>
      </c>
    </row>
    <row r="168" spans="1:10" ht="18" customHeight="1" x14ac:dyDescent="0.3">
      <c r="A168" s="82">
        <v>1976</v>
      </c>
      <c r="B168" s="93">
        <v>45951</v>
      </c>
      <c r="C168" s="83" t="s">
        <v>1867</v>
      </c>
      <c r="D168" s="113" t="s">
        <v>1203</v>
      </c>
      <c r="F168" s="120">
        <v>1300000</v>
      </c>
      <c r="G168" s="85">
        <v>1</v>
      </c>
      <c r="I168" s="80">
        <v>1300000</v>
      </c>
    </row>
    <row r="169" spans="1:10" ht="18" customHeight="1" x14ac:dyDescent="0.3">
      <c r="A169" s="82">
        <v>1977</v>
      </c>
      <c r="B169" s="93">
        <v>45951</v>
      </c>
      <c r="C169" s="83" t="s">
        <v>3980</v>
      </c>
      <c r="D169" s="113" t="s">
        <v>1125</v>
      </c>
      <c r="J169" s="80">
        <v>-835000</v>
      </c>
    </row>
    <row r="170" spans="1:10" ht="18" customHeight="1" x14ac:dyDescent="0.3">
      <c r="A170" s="82">
        <v>1978</v>
      </c>
      <c r="B170" s="93">
        <v>45951</v>
      </c>
      <c r="C170" s="83" t="s">
        <v>1449</v>
      </c>
      <c r="D170" s="113" t="s">
        <v>1125</v>
      </c>
      <c r="J170" s="80">
        <v>-1320000</v>
      </c>
    </row>
    <row r="171" spans="1:10" ht="18" customHeight="1" x14ac:dyDescent="0.3">
      <c r="A171" s="82">
        <v>1979</v>
      </c>
      <c r="B171" s="93">
        <v>45951</v>
      </c>
      <c r="C171" s="83" t="s">
        <v>4004</v>
      </c>
      <c r="D171" s="113" t="s">
        <v>1743</v>
      </c>
      <c r="F171" s="120">
        <v>650000</v>
      </c>
      <c r="G171" s="85">
        <v>1</v>
      </c>
      <c r="I171" s="80">
        <v>650000</v>
      </c>
    </row>
    <row r="172" spans="1:10" ht="18" customHeight="1" x14ac:dyDescent="0.3">
      <c r="A172" s="82">
        <v>1980</v>
      </c>
      <c r="B172" s="93">
        <v>45952</v>
      </c>
      <c r="C172" s="83" t="s">
        <v>4006</v>
      </c>
      <c r="D172" s="113" t="s">
        <v>2027</v>
      </c>
      <c r="F172" s="120">
        <v>1500000</v>
      </c>
      <c r="G172" s="85">
        <v>1</v>
      </c>
      <c r="I172" s="80">
        <v>1500000</v>
      </c>
    </row>
    <row r="173" spans="1:10" ht="18" customHeight="1" x14ac:dyDescent="0.3">
      <c r="A173" s="82">
        <v>1981</v>
      </c>
      <c r="B173" s="93">
        <v>45952</v>
      </c>
      <c r="C173" s="83" t="s">
        <v>1541</v>
      </c>
      <c r="D173" s="113" t="s">
        <v>1205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1982</v>
      </c>
      <c r="B174" s="93">
        <v>45952</v>
      </c>
      <c r="C174" s="83" t="s">
        <v>2558</v>
      </c>
      <c r="D174" s="113" t="s">
        <v>2178</v>
      </c>
      <c r="F174" s="120">
        <v>1500000</v>
      </c>
      <c r="G174" s="85">
        <v>1</v>
      </c>
      <c r="I174" s="80">
        <v>1500000</v>
      </c>
    </row>
    <row r="175" spans="1:10" ht="18" customHeight="1" x14ac:dyDescent="0.3">
      <c r="A175" s="82">
        <v>1983</v>
      </c>
      <c r="B175" s="93">
        <v>45952</v>
      </c>
      <c r="C175" s="83" t="s">
        <v>3151</v>
      </c>
      <c r="D175" s="113" t="s">
        <v>1203</v>
      </c>
      <c r="F175" s="120">
        <v>800000</v>
      </c>
      <c r="G175" s="85">
        <v>1</v>
      </c>
      <c r="I175" s="80">
        <v>800000</v>
      </c>
    </row>
    <row r="176" spans="1:10" ht="18" customHeight="1" x14ac:dyDescent="0.3">
      <c r="A176" s="82">
        <v>1984</v>
      </c>
      <c r="B176" s="93">
        <v>45952</v>
      </c>
      <c r="C176" s="83" t="s">
        <v>1722</v>
      </c>
      <c r="D176" s="113" t="s">
        <v>2178</v>
      </c>
      <c r="F176" s="120">
        <v>1500000</v>
      </c>
      <c r="G176" s="85">
        <v>1</v>
      </c>
      <c r="I176" s="80">
        <v>1500000</v>
      </c>
    </row>
    <row r="177" spans="1:10" ht="18" customHeight="1" x14ac:dyDescent="0.3">
      <c r="A177" s="82">
        <v>1985</v>
      </c>
      <c r="B177" s="93">
        <v>45952</v>
      </c>
      <c r="C177" s="83" t="s">
        <v>1722</v>
      </c>
      <c r="D177" s="113" t="s">
        <v>2919</v>
      </c>
      <c r="F177" s="120">
        <v>350000</v>
      </c>
      <c r="G177" s="85">
        <v>1</v>
      </c>
      <c r="I177" s="80">
        <v>350000</v>
      </c>
    </row>
    <row r="178" spans="1:10" ht="18" customHeight="1" x14ac:dyDescent="0.3">
      <c r="A178" s="82">
        <v>1986</v>
      </c>
      <c r="B178" s="93">
        <v>45952</v>
      </c>
      <c r="C178" s="83" t="s">
        <v>1147</v>
      </c>
      <c r="D178" s="113" t="s">
        <v>2194</v>
      </c>
      <c r="F178" s="120">
        <v>600000</v>
      </c>
      <c r="G178" s="85">
        <v>1</v>
      </c>
      <c r="I178" s="80">
        <v>600000</v>
      </c>
    </row>
    <row r="179" spans="1:10" ht="18" customHeight="1" x14ac:dyDescent="0.3">
      <c r="A179" s="82">
        <v>1987</v>
      </c>
      <c r="B179" s="93">
        <v>45952</v>
      </c>
      <c r="C179" s="83" t="s">
        <v>1147</v>
      </c>
      <c r="D179" s="113" t="s">
        <v>2192</v>
      </c>
      <c r="F179" s="120">
        <v>10000</v>
      </c>
      <c r="G179" s="85">
        <v>2</v>
      </c>
      <c r="I179" s="80">
        <v>20000</v>
      </c>
    </row>
    <row r="180" spans="1:10" ht="18" customHeight="1" x14ac:dyDescent="0.3">
      <c r="A180" s="82">
        <v>1988</v>
      </c>
      <c r="B180" s="93">
        <v>45952</v>
      </c>
      <c r="C180" s="83" t="s">
        <v>1147</v>
      </c>
      <c r="D180" s="113" t="s">
        <v>3965</v>
      </c>
      <c r="F180" s="120">
        <v>400000</v>
      </c>
      <c r="G180" s="85">
        <v>1</v>
      </c>
      <c r="I180" s="80">
        <v>400000</v>
      </c>
    </row>
    <row r="181" spans="1:10" ht="18" customHeight="1" x14ac:dyDescent="0.3">
      <c r="A181" s="82">
        <v>1989</v>
      </c>
      <c r="B181" s="93">
        <v>45952</v>
      </c>
      <c r="C181" s="83" t="s">
        <v>1147</v>
      </c>
      <c r="D181" s="113" t="s">
        <v>2191</v>
      </c>
      <c r="F181" s="120">
        <v>35000</v>
      </c>
      <c r="G181" s="85">
        <v>1</v>
      </c>
      <c r="I181" s="80">
        <v>35000</v>
      </c>
    </row>
    <row r="182" spans="1:10" ht="18" customHeight="1" x14ac:dyDescent="0.3">
      <c r="A182" s="82">
        <v>1990</v>
      </c>
      <c r="B182" s="93">
        <v>45952</v>
      </c>
      <c r="C182" s="83" t="s">
        <v>1147</v>
      </c>
      <c r="D182" s="113" t="s">
        <v>2190</v>
      </c>
      <c r="F182" s="120">
        <v>80000</v>
      </c>
      <c r="G182" s="85">
        <v>1</v>
      </c>
      <c r="I182" s="80">
        <v>80000</v>
      </c>
    </row>
    <row r="183" spans="1:10" ht="18" customHeight="1" x14ac:dyDescent="0.3">
      <c r="A183" s="82">
        <v>1991</v>
      </c>
      <c r="B183" s="93">
        <v>45952</v>
      </c>
      <c r="C183" s="83" t="s">
        <v>1467</v>
      </c>
      <c r="D183" s="113" t="s">
        <v>4020</v>
      </c>
      <c r="F183" s="120">
        <v>1300000</v>
      </c>
      <c r="G183" s="85">
        <v>1</v>
      </c>
      <c r="H183" s="126">
        <v>130000</v>
      </c>
      <c r="I183" s="80">
        <v>1430000</v>
      </c>
    </row>
    <row r="184" spans="1:10" ht="18" customHeight="1" x14ac:dyDescent="0.3">
      <c r="A184" s="82">
        <v>1992</v>
      </c>
      <c r="B184" s="93">
        <v>45952</v>
      </c>
      <c r="C184" s="83" t="s">
        <v>2410</v>
      </c>
      <c r="D184" s="113" t="s">
        <v>2197</v>
      </c>
      <c r="F184" s="120">
        <v>1100000</v>
      </c>
      <c r="G184" s="85">
        <v>1</v>
      </c>
      <c r="H184" s="126">
        <v>110000</v>
      </c>
      <c r="I184" s="80">
        <v>1210000</v>
      </c>
    </row>
    <row r="185" spans="1:10" ht="18" customHeight="1" x14ac:dyDescent="0.3">
      <c r="A185" s="82">
        <v>1993</v>
      </c>
      <c r="B185" s="93">
        <v>45952</v>
      </c>
      <c r="C185" s="83" t="s">
        <v>1577</v>
      </c>
      <c r="D185" s="113" t="s">
        <v>3042</v>
      </c>
      <c r="F185" s="120">
        <v>700000</v>
      </c>
      <c r="G185" s="85">
        <v>1</v>
      </c>
      <c r="H185" s="126">
        <v>70000</v>
      </c>
      <c r="I185" s="80">
        <v>770000</v>
      </c>
    </row>
    <row r="186" spans="1:10" ht="18" customHeight="1" x14ac:dyDescent="0.3">
      <c r="A186" s="82">
        <v>1994</v>
      </c>
      <c r="B186" s="93">
        <v>45952</v>
      </c>
      <c r="C186" s="83" t="s">
        <v>1870</v>
      </c>
      <c r="D186" s="113" t="s">
        <v>2188</v>
      </c>
      <c r="F186" s="120">
        <v>130000</v>
      </c>
      <c r="G186" s="85">
        <v>1</v>
      </c>
      <c r="H186" s="126">
        <v>13000</v>
      </c>
      <c r="I186" s="80">
        <v>143000</v>
      </c>
    </row>
    <row r="187" spans="1:10" ht="18" customHeight="1" x14ac:dyDescent="0.3">
      <c r="A187" s="82">
        <v>1995</v>
      </c>
      <c r="B187" s="93">
        <v>45953</v>
      </c>
      <c r="C187" s="83" t="s">
        <v>1399</v>
      </c>
      <c r="D187" s="113" t="s">
        <v>3124</v>
      </c>
      <c r="F187" s="120">
        <v>2500000</v>
      </c>
      <c r="G187" s="85">
        <v>1</v>
      </c>
      <c r="I187" s="80">
        <v>2500000</v>
      </c>
    </row>
    <row r="188" spans="1:10" ht="18" customHeight="1" x14ac:dyDescent="0.3">
      <c r="A188" s="82">
        <v>1996</v>
      </c>
      <c r="B188" s="93">
        <v>45953</v>
      </c>
      <c r="C188" s="83" t="s">
        <v>1598</v>
      </c>
      <c r="D188" s="113" t="s">
        <v>1738</v>
      </c>
      <c r="F188" s="120">
        <v>400000</v>
      </c>
      <c r="G188" s="85">
        <v>1</v>
      </c>
      <c r="I188" s="80">
        <v>400000</v>
      </c>
    </row>
    <row r="189" spans="1:10" ht="18" customHeight="1" x14ac:dyDescent="0.3">
      <c r="A189" s="82">
        <v>1997</v>
      </c>
      <c r="B189" s="93">
        <v>45953</v>
      </c>
      <c r="C189" s="83" t="s">
        <v>1444</v>
      </c>
      <c r="D189" s="113" t="s">
        <v>1973</v>
      </c>
      <c r="J189" s="80">
        <v>-300000</v>
      </c>
    </row>
    <row r="190" spans="1:10" ht="18" customHeight="1" x14ac:dyDescent="0.3">
      <c r="A190" s="82">
        <v>1998</v>
      </c>
      <c r="B190" s="93">
        <v>45953</v>
      </c>
      <c r="C190" s="83" t="s">
        <v>1444</v>
      </c>
      <c r="D190" s="113" t="s">
        <v>1973</v>
      </c>
      <c r="J190" s="80">
        <v>-300000</v>
      </c>
    </row>
    <row r="191" spans="1:10" ht="18" customHeight="1" x14ac:dyDescent="0.3">
      <c r="A191" s="82">
        <v>1999</v>
      </c>
      <c r="B191" s="93">
        <v>45953</v>
      </c>
      <c r="C191" s="83" t="s">
        <v>1444</v>
      </c>
      <c r="D191" s="113" t="s">
        <v>2158</v>
      </c>
      <c r="F191" s="120">
        <v>1100000</v>
      </c>
      <c r="G191" s="85">
        <v>1</v>
      </c>
      <c r="I191" s="80">
        <v>1100000</v>
      </c>
    </row>
    <row r="192" spans="1:10" ht="18" customHeight="1" x14ac:dyDescent="0.3">
      <c r="A192" s="82">
        <v>2000</v>
      </c>
      <c r="B192" s="93">
        <v>45953</v>
      </c>
      <c r="C192" s="83" t="s">
        <v>1444</v>
      </c>
      <c r="D192" s="113" t="s">
        <v>1985</v>
      </c>
      <c r="F192" s="120">
        <v>150000</v>
      </c>
      <c r="G192" s="85">
        <v>1</v>
      </c>
      <c r="I192" s="80">
        <v>150000</v>
      </c>
    </row>
    <row r="193" spans="1:10" ht="18" customHeight="1" x14ac:dyDescent="0.3">
      <c r="A193" s="82">
        <v>2001</v>
      </c>
      <c r="B193" s="93">
        <v>45953</v>
      </c>
      <c r="C193" s="83" t="s">
        <v>1007</v>
      </c>
      <c r="D193" s="113" t="s">
        <v>2137</v>
      </c>
      <c r="F193" s="120">
        <v>1150000</v>
      </c>
      <c r="G193" s="85">
        <v>1</v>
      </c>
      <c r="I193" s="80">
        <v>1150000</v>
      </c>
    </row>
    <row r="194" spans="1:10" ht="18" customHeight="1" x14ac:dyDescent="0.3">
      <c r="A194" s="82">
        <v>2002</v>
      </c>
      <c r="B194" s="93">
        <v>45953</v>
      </c>
      <c r="C194" s="83" t="s">
        <v>1577</v>
      </c>
      <c r="D194" s="113" t="s">
        <v>1203</v>
      </c>
      <c r="F194" s="120">
        <v>1200000</v>
      </c>
      <c r="G194" s="85">
        <v>1</v>
      </c>
      <c r="H194" s="126">
        <v>120000</v>
      </c>
      <c r="I194" s="80">
        <v>1320000</v>
      </c>
    </row>
    <row r="195" spans="1:10" ht="18" customHeight="1" x14ac:dyDescent="0.3">
      <c r="A195" s="82">
        <v>2003</v>
      </c>
      <c r="B195" s="93">
        <v>45953</v>
      </c>
      <c r="C195" s="83" t="s">
        <v>1577</v>
      </c>
      <c r="D195" s="113" t="s">
        <v>1519</v>
      </c>
      <c r="F195" s="120">
        <v>20000</v>
      </c>
      <c r="G195" s="85">
        <v>1</v>
      </c>
      <c r="H195" s="126">
        <v>2000</v>
      </c>
      <c r="I195" s="80">
        <v>22000</v>
      </c>
    </row>
    <row r="196" spans="1:10" ht="18" customHeight="1" x14ac:dyDescent="0.3">
      <c r="A196" s="82">
        <v>2004</v>
      </c>
      <c r="B196" s="93">
        <v>45953</v>
      </c>
      <c r="C196" s="83" t="s">
        <v>2113</v>
      </c>
      <c r="D196" s="113" t="s">
        <v>1125</v>
      </c>
      <c r="J196" s="80">
        <v>-2310000</v>
      </c>
    </row>
    <row r="197" spans="1:10" ht="18" customHeight="1" x14ac:dyDescent="0.3">
      <c r="A197" s="82">
        <v>2005</v>
      </c>
      <c r="B197" s="93">
        <v>45953</v>
      </c>
      <c r="C197" s="83" t="s">
        <v>3201</v>
      </c>
      <c r="D197" s="113" t="s">
        <v>1125</v>
      </c>
      <c r="J197" s="80">
        <v>-1100000</v>
      </c>
    </row>
    <row r="198" spans="1:10" ht="18" customHeight="1" x14ac:dyDescent="0.3">
      <c r="A198" s="82">
        <v>2006</v>
      </c>
      <c r="B198" s="93">
        <v>45953</v>
      </c>
      <c r="C198" s="83" t="s">
        <v>2610</v>
      </c>
      <c r="D198" s="113" t="s">
        <v>1125</v>
      </c>
      <c r="J198" s="80">
        <v>-220000</v>
      </c>
    </row>
    <row r="199" spans="1:10" ht="18" customHeight="1" x14ac:dyDescent="0.3">
      <c r="A199" s="82">
        <v>2007</v>
      </c>
      <c r="B199" s="93">
        <v>45953</v>
      </c>
      <c r="C199" s="83" t="s">
        <v>4004</v>
      </c>
      <c r="D199" s="113" t="s">
        <v>1125</v>
      </c>
      <c r="J199" s="80">
        <v>-650000</v>
      </c>
    </row>
    <row r="200" spans="1:10" ht="18" customHeight="1" x14ac:dyDescent="0.3">
      <c r="A200" s="82">
        <v>2008</v>
      </c>
      <c r="B200" s="93">
        <v>45953</v>
      </c>
      <c r="C200" s="83" t="s">
        <v>2410</v>
      </c>
      <c r="D200" s="113" t="s">
        <v>1125</v>
      </c>
      <c r="I200" s="126"/>
      <c r="J200" s="80">
        <v>-2420000</v>
      </c>
    </row>
    <row r="201" spans="1:10" ht="18" customHeight="1" x14ac:dyDescent="0.3">
      <c r="A201" s="82">
        <v>2009</v>
      </c>
      <c r="B201" s="93">
        <v>45953</v>
      </c>
      <c r="C201" s="83" t="s">
        <v>987</v>
      </c>
      <c r="D201" s="113" t="s">
        <v>1125</v>
      </c>
      <c r="I201" s="126"/>
      <c r="J201" s="80">
        <v>-1650000</v>
      </c>
    </row>
    <row r="202" spans="1:10" ht="18" customHeight="1" x14ac:dyDescent="0.3">
      <c r="A202" s="82">
        <v>2010</v>
      </c>
      <c r="B202" s="93">
        <v>45953</v>
      </c>
      <c r="C202" s="83" t="s">
        <v>3151</v>
      </c>
      <c r="D202" s="113" t="s">
        <v>1125</v>
      </c>
      <c r="J202" s="80">
        <v>-800000</v>
      </c>
    </row>
    <row r="203" spans="1:10" ht="18" customHeight="1" x14ac:dyDescent="0.3">
      <c r="A203" s="82">
        <v>2011</v>
      </c>
      <c r="B203" s="93">
        <v>45953</v>
      </c>
      <c r="C203" s="83" t="s">
        <v>2558</v>
      </c>
      <c r="D203" s="113" t="s">
        <v>1125</v>
      </c>
      <c r="J203" s="80">
        <v>-1500000</v>
      </c>
    </row>
    <row r="204" spans="1:10" ht="18" customHeight="1" x14ac:dyDescent="0.3">
      <c r="A204" s="82">
        <v>2012</v>
      </c>
      <c r="B204" s="93">
        <v>45953</v>
      </c>
      <c r="C204" s="83" t="s">
        <v>3397</v>
      </c>
      <c r="D204" s="113" t="s">
        <v>1125</v>
      </c>
      <c r="J204" s="80">
        <v>-1100000</v>
      </c>
    </row>
    <row r="205" spans="1:10" ht="18" customHeight="1" x14ac:dyDescent="0.3">
      <c r="A205" s="82">
        <v>2013</v>
      </c>
      <c r="B205" s="93">
        <v>45953</v>
      </c>
      <c r="C205" s="83" t="s">
        <v>4006</v>
      </c>
      <c r="D205" s="113" t="s">
        <v>1125</v>
      </c>
      <c r="J205" s="80">
        <v>-1500000</v>
      </c>
    </row>
    <row r="206" spans="1:10" ht="18" customHeight="1" x14ac:dyDescent="0.3">
      <c r="A206" s="82">
        <v>2014</v>
      </c>
      <c r="B206" s="93">
        <v>45953</v>
      </c>
      <c r="C206" s="83" t="s">
        <v>1399</v>
      </c>
      <c r="D206" s="113" t="s">
        <v>1203</v>
      </c>
      <c r="F206" s="120">
        <v>1200000</v>
      </c>
      <c r="G206" s="85">
        <v>1</v>
      </c>
      <c r="I206" s="80">
        <v>1200000</v>
      </c>
    </row>
    <row r="207" spans="1:10" ht="18" customHeight="1" x14ac:dyDescent="0.3">
      <c r="A207" s="82">
        <v>2015</v>
      </c>
      <c r="B207" s="93">
        <v>45953</v>
      </c>
      <c r="C207" s="83" t="s">
        <v>1399</v>
      </c>
      <c r="D207" s="113" t="s">
        <v>2840</v>
      </c>
      <c r="F207" s="120">
        <v>129000</v>
      </c>
      <c r="G207" s="85">
        <v>1</v>
      </c>
      <c r="I207" s="80">
        <v>129000</v>
      </c>
    </row>
    <row r="208" spans="1:10" ht="18" customHeight="1" x14ac:dyDescent="0.3">
      <c r="A208" s="82">
        <v>2016</v>
      </c>
      <c r="B208" s="93">
        <v>45954</v>
      </c>
      <c r="C208" s="83" t="s">
        <v>1931</v>
      </c>
      <c r="D208" s="113" t="s">
        <v>1125</v>
      </c>
      <c r="J208" s="80">
        <v>-1100000</v>
      </c>
    </row>
    <row r="209" spans="1:10" ht="18" customHeight="1" x14ac:dyDescent="0.3">
      <c r="A209" s="82">
        <v>2017</v>
      </c>
      <c r="B209" s="93">
        <v>45954</v>
      </c>
      <c r="C209" s="83" t="s">
        <v>1598</v>
      </c>
      <c r="D209" s="113" t="s">
        <v>1125</v>
      </c>
      <c r="J209" s="80">
        <v>-400000</v>
      </c>
    </row>
    <row r="210" spans="1:10" ht="18" customHeight="1" x14ac:dyDescent="0.3">
      <c r="A210" s="82">
        <v>2018</v>
      </c>
      <c r="B210" s="93">
        <v>45954</v>
      </c>
      <c r="C210" s="83" t="s">
        <v>1007</v>
      </c>
      <c r="D210" s="113" t="s">
        <v>1125</v>
      </c>
      <c r="J210" s="80">
        <v>-1150000</v>
      </c>
    </row>
    <row r="211" spans="1:10" ht="18" customHeight="1" x14ac:dyDescent="0.3">
      <c r="A211" s="82">
        <v>2019</v>
      </c>
      <c r="B211" s="93">
        <v>45954</v>
      </c>
      <c r="C211" s="83" t="s">
        <v>2704</v>
      </c>
      <c r="D211" s="113" t="s">
        <v>2201</v>
      </c>
      <c r="F211" s="120">
        <v>100000</v>
      </c>
      <c r="G211" s="85">
        <v>1</v>
      </c>
      <c r="H211" s="126">
        <v>10000</v>
      </c>
      <c r="I211" s="80">
        <v>110000</v>
      </c>
    </row>
    <row r="212" spans="1:10" ht="18" customHeight="1" x14ac:dyDescent="0.3">
      <c r="A212" s="82">
        <v>2020</v>
      </c>
      <c r="B212" s="93">
        <v>45954</v>
      </c>
      <c r="C212" s="83" t="s">
        <v>1494</v>
      </c>
      <c r="D212" s="113" t="s">
        <v>3464</v>
      </c>
      <c r="F212" s="120">
        <v>600000</v>
      </c>
      <c r="G212" s="85">
        <v>1</v>
      </c>
      <c r="I212" s="80">
        <v>600000</v>
      </c>
    </row>
    <row r="213" spans="1:10" ht="18" customHeight="1" x14ac:dyDescent="0.3">
      <c r="A213" s="82">
        <v>2021</v>
      </c>
      <c r="B213" s="93">
        <v>45954</v>
      </c>
      <c r="C213" s="83" t="s">
        <v>2704</v>
      </c>
      <c r="D213" s="113" t="s">
        <v>1125</v>
      </c>
      <c r="J213" s="80">
        <v>-110000</v>
      </c>
    </row>
    <row r="214" spans="1:10" ht="18" customHeight="1" x14ac:dyDescent="0.3">
      <c r="A214" s="82">
        <v>2022</v>
      </c>
      <c r="B214" s="93">
        <v>45954</v>
      </c>
      <c r="C214" s="83" t="s">
        <v>1870</v>
      </c>
      <c r="D214" s="113" t="s">
        <v>1125</v>
      </c>
      <c r="J214" s="80">
        <v>-143000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2322</v>
      </c>
      <c r="C1" s="453" t="s">
        <v>2524</v>
      </c>
      <c r="D1" s="450" t="s">
        <v>2553</v>
      </c>
      <c r="E1" s="450" t="s">
        <v>36</v>
      </c>
      <c r="F1" s="450" t="s">
        <v>2708</v>
      </c>
      <c r="G1" s="450"/>
      <c r="H1" s="450" t="s">
        <v>2709</v>
      </c>
      <c r="I1" s="450"/>
      <c r="J1" s="450" t="s">
        <v>2710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2973</v>
      </c>
      <c r="D48" s="252" t="s">
        <v>2974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3052</v>
      </c>
      <c r="D49" s="252" t="s">
        <v>3053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2974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3056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3054</v>
      </c>
      <c r="D52" s="252" t="s">
        <v>3055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3056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3057</v>
      </c>
      <c r="D54" s="252" t="s">
        <v>3058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2552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/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3671</v>
      </c>
      <c r="B1" s="283" t="s">
        <v>49</v>
      </c>
      <c r="C1" s="299" t="s">
        <v>2832</v>
      </c>
      <c r="D1" s="283" t="s">
        <v>2831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5550000</v>
      </c>
      <c r="D2" s="269">
        <f t="shared" ref="D2:D65" si="0">RANK(C2,C:C,0)</f>
        <v>2</v>
      </c>
    </row>
    <row r="3" spans="1:6" x14ac:dyDescent="0.3">
      <c r="B3" s="58" t="s">
        <v>1279</v>
      </c>
      <c r="C3" s="301">
        <f>SUMIF(BTS_매출관리!C:C,B3,BTS_매출관리!I:I)</f>
        <v>5400000</v>
      </c>
      <c r="D3" s="58">
        <f t="shared" si="0"/>
        <v>3</v>
      </c>
    </row>
    <row r="4" spans="1:6" x14ac:dyDescent="0.3">
      <c r="B4" s="58" t="s">
        <v>1302</v>
      </c>
      <c r="C4" s="301">
        <f>SUMIF(BTS_매출관리!C:C,B4,BTS_매출관리!I:I)</f>
        <v>9479000</v>
      </c>
      <c r="D4" s="58">
        <f t="shared" si="0"/>
        <v>1</v>
      </c>
    </row>
    <row r="5" spans="1:6" x14ac:dyDescent="0.3">
      <c r="B5" s="58" t="s">
        <v>2215</v>
      </c>
      <c r="C5" s="301">
        <f>SUMIF(BTS_매출관리!C:C,B5,BTS_매출관리!I:I)</f>
        <v>2970000</v>
      </c>
      <c r="D5" s="58">
        <f t="shared" si="0"/>
        <v>6</v>
      </c>
    </row>
    <row r="6" spans="1:6" x14ac:dyDescent="0.3">
      <c r="B6" s="269" t="s">
        <v>1324</v>
      </c>
      <c r="C6" s="268">
        <f>SUMIF(BTS_매출관리!C:C,B6,BTS_매출관리!I:I)</f>
        <v>2895000</v>
      </c>
      <c r="D6" s="269">
        <f t="shared" si="0"/>
        <v>7</v>
      </c>
    </row>
    <row r="7" spans="1:6" x14ac:dyDescent="0.3">
      <c r="B7" s="58" t="s">
        <v>1336</v>
      </c>
      <c r="C7" s="301">
        <f>SUMIF(BTS_매출관리!C:C,B7,BTS_매출관리!I:I)</f>
        <v>4155000</v>
      </c>
      <c r="D7" s="58">
        <f t="shared" si="0"/>
        <v>4</v>
      </c>
    </row>
    <row r="8" spans="1:6" x14ac:dyDescent="0.3">
      <c r="B8" s="58" t="s">
        <v>1290</v>
      </c>
      <c r="C8" s="301">
        <f>SUMIF(BTS_매출관리!C:C,B8,BTS_매출관리!I:I)</f>
        <v>3685000</v>
      </c>
      <c r="D8" s="58">
        <f t="shared" si="0"/>
        <v>5</v>
      </c>
    </row>
    <row r="9" spans="1:6" x14ac:dyDescent="0.3">
      <c r="B9" s="269" t="s">
        <v>1281</v>
      </c>
      <c r="C9" s="268">
        <f>SUMIF(BTS_매출관리!C:C,B9,BTS_매출관리!I:I)</f>
        <v>2310000</v>
      </c>
      <c r="D9" s="269">
        <f t="shared" si="0"/>
        <v>15</v>
      </c>
    </row>
    <row r="10" spans="1:6" x14ac:dyDescent="0.3">
      <c r="B10" s="58" t="s">
        <v>1313</v>
      </c>
      <c r="C10" s="301">
        <f>SUMIF(BTS_매출관리!C:C,B10,BTS_매출관리!I:I)</f>
        <v>2400000</v>
      </c>
      <c r="D10" s="58">
        <f t="shared" si="0"/>
        <v>13</v>
      </c>
    </row>
    <row r="11" spans="1:6" x14ac:dyDescent="0.3">
      <c r="B11" s="58" t="s">
        <v>1035</v>
      </c>
      <c r="C11" s="301">
        <f>SUMIF(BTS_매출관리!C:C,B11,BTS_매출관리!I:I)</f>
        <v>1980000</v>
      </c>
      <c r="D11" s="58">
        <f t="shared" si="0"/>
        <v>18</v>
      </c>
    </row>
    <row r="12" spans="1:6" x14ac:dyDescent="0.3">
      <c r="B12" s="269" t="s">
        <v>1094</v>
      </c>
      <c r="C12" s="268">
        <f>SUMIF(BTS_매출관리!C:C,B12,BTS_매출관리!I:I)</f>
        <v>1873000</v>
      </c>
      <c r="D12" s="269">
        <f t="shared" si="0"/>
        <v>20</v>
      </c>
      <c r="F12" t="str">
        <f>IF(D12 &lt; 10,,"")</f>
        <v/>
      </c>
    </row>
    <row r="13" spans="1:6" x14ac:dyDescent="0.3">
      <c r="B13" s="58" t="s">
        <v>1159</v>
      </c>
      <c r="C13" s="301">
        <f>SUMIF(BTS_매출관리!C:C,B13,BTS_매출관리!I:I)</f>
        <v>1943000</v>
      </c>
      <c r="D13" s="58">
        <f t="shared" si="0"/>
        <v>19</v>
      </c>
      <c r="F13" t="str">
        <f>IF(D13 &lt; 10,,"")</f>
        <v/>
      </c>
    </row>
    <row r="14" spans="1:6" x14ac:dyDescent="0.3">
      <c r="B14" s="269" t="s">
        <v>1191</v>
      </c>
      <c r="C14" s="268">
        <f>SUMIF(BTS_매출관리!C:C,B14,BTS_매출관리!I:I)</f>
        <v>1750000</v>
      </c>
      <c r="D14" s="269">
        <f t="shared" si="0"/>
        <v>21</v>
      </c>
      <c r="F14" t="str">
        <f>IF(D14 &lt; 10,,"")</f>
        <v/>
      </c>
    </row>
    <row r="15" spans="1:6" x14ac:dyDescent="0.3">
      <c r="B15" s="269" t="s">
        <v>1342</v>
      </c>
      <c r="C15" s="268">
        <f>SUMIF(BTS_매출관리!C:C,B15,BTS_매출관리!I:I)</f>
        <v>1650000</v>
      </c>
      <c r="D15" s="269">
        <f t="shared" si="0"/>
        <v>22</v>
      </c>
    </row>
    <row r="16" spans="1:6" x14ac:dyDescent="0.3">
      <c r="B16" s="269" t="s">
        <v>1374</v>
      </c>
      <c r="C16" s="268">
        <f>SUMIF(BTS_매출관리!C:C,B16,BTS_매출관리!I:I)</f>
        <v>1550000</v>
      </c>
      <c r="D16" s="269">
        <f t="shared" si="0"/>
        <v>24</v>
      </c>
    </row>
    <row r="17" spans="2:18" x14ac:dyDescent="0.3">
      <c r="B17" s="269" t="s">
        <v>3401</v>
      </c>
      <c r="C17" s="268">
        <f>SUMIF(BTS_매출관리!C:C,B17,BTS_매출관리!I:I)</f>
        <v>2650000</v>
      </c>
      <c r="D17" s="269">
        <f t="shared" si="0"/>
        <v>11</v>
      </c>
    </row>
    <row r="18" spans="2:18" x14ac:dyDescent="0.3">
      <c r="B18" s="58" t="s">
        <v>1330</v>
      </c>
      <c r="C18" s="301">
        <f>SUMIF(BTS_매출관리!C:C,B18,BTS_매출관리!I:I)</f>
        <v>1500000</v>
      </c>
      <c r="D18" s="58">
        <f t="shared" si="0"/>
        <v>25</v>
      </c>
    </row>
    <row r="19" spans="2:18" x14ac:dyDescent="0.3">
      <c r="B19" s="269" t="s">
        <v>1268</v>
      </c>
      <c r="C19" s="268">
        <f>SUMIF(BTS_매출관리!C:C,B19,BTS_매출관리!I:I)</f>
        <v>1429000</v>
      </c>
      <c r="D19" s="269">
        <f t="shared" si="0"/>
        <v>27</v>
      </c>
    </row>
    <row r="20" spans="2:18" x14ac:dyDescent="0.3">
      <c r="B20" s="58" t="s">
        <v>1334</v>
      </c>
      <c r="C20" s="301">
        <f>SUMIF(BTS_매출관리!C:C,B20,BTS_매출관리!I:I)</f>
        <v>2696500</v>
      </c>
      <c r="D20" s="58">
        <f t="shared" si="0"/>
        <v>10</v>
      </c>
    </row>
    <row r="21" spans="2:18" x14ac:dyDescent="0.3">
      <c r="B21" s="58" t="s">
        <v>1349</v>
      </c>
      <c r="C21" s="301">
        <f>SUMIF(BTS_매출관리!C:C,B21,BTS_매출관리!I:I)</f>
        <v>1320000</v>
      </c>
      <c r="D21" s="58">
        <f t="shared" si="0"/>
        <v>29</v>
      </c>
      <c r="F21" t="s">
        <v>3697</v>
      </c>
    </row>
    <row r="22" spans="2:18" x14ac:dyDescent="0.3">
      <c r="B22" s="58" t="s">
        <v>1276</v>
      </c>
      <c r="C22" s="301">
        <f>SUMIF(BTS_매출관리!C:C,B22,BTS_매출관리!I:I)</f>
        <v>1320000</v>
      </c>
      <c r="D22" s="58">
        <f t="shared" si="0"/>
        <v>29</v>
      </c>
      <c r="F22" t="s">
        <v>3672</v>
      </c>
      <c r="G22" t="s">
        <v>3803</v>
      </c>
      <c r="I22" t="s">
        <v>3675</v>
      </c>
      <c r="J22" s="303" t="s">
        <v>3715</v>
      </c>
      <c r="O22" t="s">
        <v>3698</v>
      </c>
      <c r="P22">
        <v>2</v>
      </c>
      <c r="Q22" t="s">
        <v>3804</v>
      </c>
    </row>
    <row r="23" spans="2:18" x14ac:dyDescent="0.3">
      <c r="B23" s="58" t="s">
        <v>1058</v>
      </c>
      <c r="C23" s="301">
        <f>SUMIF(BTS_매출관리!C:C,B23,BTS_매출관리!I:I)</f>
        <v>2420000</v>
      </c>
      <c r="D23" s="58">
        <f t="shared" si="0"/>
        <v>12</v>
      </c>
      <c r="F23" t="s">
        <v>3673</v>
      </c>
      <c r="G23" t="s">
        <v>3803</v>
      </c>
      <c r="I23" t="s">
        <v>3677</v>
      </c>
      <c r="J23" s="303" t="s">
        <v>3715</v>
      </c>
      <c r="O23" t="s">
        <v>3699</v>
      </c>
      <c r="P23">
        <v>3</v>
      </c>
      <c r="Q23" t="s">
        <v>3804</v>
      </c>
    </row>
    <row r="24" spans="2:18" x14ac:dyDescent="0.3">
      <c r="B24" s="58" t="s">
        <v>1023</v>
      </c>
      <c r="C24" s="301">
        <f>SUMIF(BTS_매출관리!C:C,B24,BTS_매출관리!I:I)</f>
        <v>1200000</v>
      </c>
      <c r="D24" s="58">
        <f t="shared" si="0"/>
        <v>32</v>
      </c>
      <c r="F24" t="s">
        <v>3674</v>
      </c>
      <c r="G24" t="s">
        <v>3803</v>
      </c>
      <c r="I24" t="s">
        <v>3679</v>
      </c>
      <c r="J24" s="303" t="s">
        <v>3715</v>
      </c>
      <c r="O24" t="s">
        <v>3700</v>
      </c>
      <c r="P24">
        <v>2</v>
      </c>
      <c r="Q24" t="s">
        <v>3804</v>
      </c>
    </row>
    <row r="25" spans="2:18" x14ac:dyDescent="0.3">
      <c r="B25" s="58" t="s">
        <v>1148</v>
      </c>
      <c r="C25" s="301">
        <f>SUMIF(BTS_매출관리!C:C,B25,BTS_매출관리!I:I)</f>
        <v>2305000</v>
      </c>
      <c r="D25" s="58">
        <f t="shared" si="0"/>
        <v>16</v>
      </c>
      <c r="F25" t="s">
        <v>3676</v>
      </c>
      <c r="G25" t="s">
        <v>3715</v>
      </c>
      <c r="I25" t="s">
        <v>3682</v>
      </c>
      <c r="J25" s="303" t="s">
        <v>3803</v>
      </c>
      <c r="O25" t="s">
        <v>3701</v>
      </c>
      <c r="P25">
        <v>1</v>
      </c>
      <c r="R25" t="s">
        <v>3803</v>
      </c>
    </row>
    <row r="26" spans="2:18" x14ac:dyDescent="0.3">
      <c r="B26" s="58" t="s">
        <v>1488</v>
      </c>
      <c r="C26" s="301">
        <f>SUMIF(BTS_매출관리!C:C,B26,BTS_매출관리!I:I)</f>
        <v>1100000</v>
      </c>
      <c r="D26" s="58">
        <f t="shared" si="0"/>
        <v>35</v>
      </c>
      <c r="F26" t="s">
        <v>3678</v>
      </c>
      <c r="G26" t="s">
        <v>3803</v>
      </c>
      <c r="I26" t="s">
        <v>3695</v>
      </c>
      <c r="J26" s="303" t="s">
        <v>3734</v>
      </c>
      <c r="O26" t="s">
        <v>3702</v>
      </c>
      <c r="P26">
        <v>2</v>
      </c>
      <c r="Q26" t="s">
        <v>3716</v>
      </c>
    </row>
    <row r="27" spans="2:18" x14ac:dyDescent="0.3">
      <c r="B27" s="269" t="s">
        <v>1315</v>
      </c>
      <c r="C27" s="268">
        <f>SUMIF(BTS_매출관리!C:C,B27,BTS_매출관리!I:I)</f>
        <v>2400000</v>
      </c>
      <c r="D27" s="269">
        <f t="shared" si="0"/>
        <v>13</v>
      </c>
      <c r="F27" t="s">
        <v>3789</v>
      </c>
      <c r="G27" t="s">
        <v>3811</v>
      </c>
      <c r="I27" t="s">
        <v>2860</v>
      </c>
      <c r="J27" s="303" t="s">
        <v>3734</v>
      </c>
      <c r="O27" t="s">
        <v>3703</v>
      </c>
      <c r="P27">
        <v>1</v>
      </c>
      <c r="Q27" t="s">
        <v>3715</v>
      </c>
    </row>
    <row r="28" spans="2:18" x14ac:dyDescent="0.3">
      <c r="B28" s="58" t="s">
        <v>1341</v>
      </c>
      <c r="C28" s="301">
        <f>SUMIF(BTS_매출관리!C:C,B28,BTS_매출관리!I:I)</f>
        <v>2140000</v>
      </c>
      <c r="D28" s="58">
        <f t="shared" si="0"/>
        <v>17</v>
      </c>
      <c r="F28" t="s">
        <v>3681</v>
      </c>
      <c r="G28" t="s">
        <v>3809</v>
      </c>
      <c r="I28" t="s">
        <v>2258</v>
      </c>
      <c r="J28" s="303" t="s">
        <v>3734</v>
      </c>
      <c r="O28" t="s">
        <v>3704</v>
      </c>
      <c r="P28">
        <v>2</v>
      </c>
      <c r="R28" t="s">
        <v>3810</v>
      </c>
    </row>
    <row r="29" spans="2:18" x14ac:dyDescent="0.3">
      <c r="B29" s="58" t="s">
        <v>1287</v>
      </c>
      <c r="C29" s="301">
        <f>SUMIF(BTS_매출관리!C:C,B29,BTS_매출관리!I:I)</f>
        <v>986000</v>
      </c>
      <c r="D29" s="58">
        <f t="shared" si="0"/>
        <v>37</v>
      </c>
      <c r="F29" t="s">
        <v>3683</v>
      </c>
      <c r="G29" t="s">
        <v>3803</v>
      </c>
      <c r="O29" t="s">
        <v>3705</v>
      </c>
      <c r="P29">
        <v>2</v>
      </c>
      <c r="Q29" t="s">
        <v>3804</v>
      </c>
    </row>
    <row r="30" spans="2:18" x14ac:dyDescent="0.3">
      <c r="B30" s="58" t="s">
        <v>1353</v>
      </c>
      <c r="C30" s="301">
        <f>SUMIF(BTS_매출관리!C:C,B30,BTS_매출관리!I:I)</f>
        <v>2824000</v>
      </c>
      <c r="D30" s="58">
        <f t="shared" si="0"/>
        <v>8</v>
      </c>
      <c r="F30" t="s">
        <v>3684</v>
      </c>
      <c r="G30" t="s">
        <v>3809</v>
      </c>
      <c r="O30" t="s">
        <v>3706</v>
      </c>
      <c r="P30">
        <v>2</v>
      </c>
      <c r="Q30" t="s">
        <v>3733</v>
      </c>
    </row>
    <row r="31" spans="2:18" x14ac:dyDescent="0.3">
      <c r="B31" s="269" t="s">
        <v>1320</v>
      </c>
      <c r="C31" s="268">
        <f>SUMIF(BTS_매출관리!C:C,B31,BTS_매출관리!I:I)</f>
        <v>835000</v>
      </c>
      <c r="D31" s="269">
        <f t="shared" si="0"/>
        <v>38</v>
      </c>
      <c r="F31" t="s">
        <v>3685</v>
      </c>
      <c r="G31" t="s">
        <v>3803</v>
      </c>
      <c r="O31" t="s">
        <v>3707</v>
      </c>
      <c r="P31">
        <v>1</v>
      </c>
      <c r="R31" t="s">
        <v>3809</v>
      </c>
    </row>
    <row r="32" spans="2:18" x14ac:dyDescent="0.3">
      <c r="B32" s="58" t="s">
        <v>1326</v>
      </c>
      <c r="C32" s="301">
        <f>SUMIF(BTS_매출관리!C:C,B32,BTS_매출관리!I:I)</f>
        <v>1300000</v>
      </c>
      <c r="D32" s="58">
        <f t="shared" si="0"/>
        <v>31</v>
      </c>
      <c r="F32" t="s">
        <v>3686</v>
      </c>
      <c r="G32" t="s">
        <v>3803</v>
      </c>
      <c r="O32" t="s">
        <v>3708</v>
      </c>
      <c r="P32">
        <v>1</v>
      </c>
      <c r="R32" t="s">
        <v>3803</v>
      </c>
    </row>
    <row r="33" spans="2:17" x14ac:dyDescent="0.3">
      <c r="B33" s="269" t="s">
        <v>1890</v>
      </c>
      <c r="C33" s="268">
        <f>SUMIF(BTS_매출관리!C:C,B33,BTS_매출관리!I:I)</f>
        <v>650000</v>
      </c>
      <c r="D33" s="269">
        <f t="shared" si="0"/>
        <v>40</v>
      </c>
      <c r="F33" t="s">
        <v>3687</v>
      </c>
      <c r="G33" t="s">
        <v>3803</v>
      </c>
      <c r="O33" t="s">
        <v>3709</v>
      </c>
      <c r="P33">
        <v>1</v>
      </c>
      <c r="Q33" t="s">
        <v>3717</v>
      </c>
    </row>
    <row r="34" spans="2:17" x14ac:dyDescent="0.3">
      <c r="B34" s="58" t="s">
        <v>1173</v>
      </c>
      <c r="C34" s="301">
        <f>SUMIF(BTS_매출관리!C:C,B34,BTS_매출관리!I:I)</f>
        <v>650000</v>
      </c>
      <c r="D34" s="58">
        <f t="shared" si="0"/>
        <v>40</v>
      </c>
      <c r="F34" t="s">
        <v>3688</v>
      </c>
      <c r="G34" t="s">
        <v>3809</v>
      </c>
      <c r="O34" t="s">
        <v>3680</v>
      </c>
      <c r="P34">
        <v>2</v>
      </c>
      <c r="Q34" t="s">
        <v>3804</v>
      </c>
    </row>
    <row r="35" spans="2:17" x14ac:dyDescent="0.3">
      <c r="B35" s="58" t="s">
        <v>1274</v>
      </c>
      <c r="C35" s="301">
        <f>SUMIF(BTS_매출관리!C:C,B35,BTS_매출관리!I:I)</f>
        <v>2750000</v>
      </c>
      <c r="D35" s="58">
        <f t="shared" si="0"/>
        <v>9</v>
      </c>
      <c r="F35" t="s">
        <v>3689</v>
      </c>
      <c r="G35" t="s">
        <v>3809</v>
      </c>
      <c r="O35" t="s">
        <v>3710</v>
      </c>
      <c r="P35">
        <v>1</v>
      </c>
    </row>
    <row r="36" spans="2:17" x14ac:dyDescent="0.3">
      <c r="B36" s="58" t="s">
        <v>1298</v>
      </c>
      <c r="C36" s="301">
        <f>SUMIF(BTS_매출관리!C:C,B36,BTS_매출관리!I:I)</f>
        <v>600000</v>
      </c>
      <c r="D36" s="58">
        <f t="shared" si="0"/>
        <v>43</v>
      </c>
      <c r="F36" t="s">
        <v>3690</v>
      </c>
      <c r="G36" t="s">
        <v>3803</v>
      </c>
      <c r="O36" t="s">
        <v>3711</v>
      </c>
      <c r="P36">
        <v>1</v>
      </c>
      <c r="Q36" t="s">
        <v>3804</v>
      </c>
    </row>
    <row r="37" spans="2:17" x14ac:dyDescent="0.3">
      <c r="B37" s="269" t="s">
        <v>1295</v>
      </c>
      <c r="C37" s="268">
        <f>SUMIF(BTS_매출관리!C:C,B37,BTS_매출관리!I:I)</f>
        <v>540000</v>
      </c>
      <c r="D37" s="269">
        <f t="shared" si="0"/>
        <v>44</v>
      </c>
      <c r="F37" t="s">
        <v>3691</v>
      </c>
      <c r="G37" t="s">
        <v>3803</v>
      </c>
    </row>
    <row r="38" spans="2:17" x14ac:dyDescent="0.3">
      <c r="B38" s="269" t="s">
        <v>3268</v>
      </c>
      <c r="C38" s="268">
        <f>SUMIF(BTS_매출관리!C:C,B38,BTS_매출관리!I:I)</f>
        <v>200000</v>
      </c>
      <c r="D38" s="269">
        <f t="shared" si="0"/>
        <v>46</v>
      </c>
      <c r="F38" t="s">
        <v>3692</v>
      </c>
      <c r="G38" t="s">
        <v>3809</v>
      </c>
    </row>
    <row r="39" spans="2:17" x14ac:dyDescent="0.3">
      <c r="B39" s="269" t="s">
        <v>1319</v>
      </c>
      <c r="C39" s="268">
        <f>SUMIF(BTS_매출관리!C:C,B39,BTS_매출관리!I:I)</f>
        <v>220000</v>
      </c>
      <c r="D39" s="269">
        <f t="shared" si="0"/>
        <v>45</v>
      </c>
      <c r="F39" t="s">
        <v>3693</v>
      </c>
      <c r="G39" t="s">
        <v>3809</v>
      </c>
    </row>
    <row r="40" spans="2:17" x14ac:dyDescent="0.3">
      <c r="B40" s="58" t="s">
        <v>1289</v>
      </c>
      <c r="C40" s="301">
        <f>SUMIF(BTS_매출관리!C:C,B40,BTS_매출관리!I:I)</f>
        <v>1400000</v>
      </c>
      <c r="D40" s="58">
        <f t="shared" si="0"/>
        <v>28</v>
      </c>
      <c r="F40" t="s">
        <v>3694</v>
      </c>
      <c r="G40" t="s">
        <v>3809</v>
      </c>
    </row>
    <row r="41" spans="2:17" x14ac:dyDescent="0.3">
      <c r="B41" s="269" t="s">
        <v>2487</v>
      </c>
      <c r="C41" s="268">
        <f>SUMIF(BTS_매출관리!C:C,B41,BTS_매출관리!I:I)</f>
        <v>150000</v>
      </c>
      <c r="D41" s="269">
        <f t="shared" si="0"/>
        <v>47</v>
      </c>
      <c r="F41" t="s">
        <v>3696</v>
      </c>
      <c r="G41" t="s">
        <v>3803</v>
      </c>
    </row>
    <row r="42" spans="2:17" x14ac:dyDescent="0.3">
      <c r="B42" s="58" t="s">
        <v>980</v>
      </c>
      <c r="C42" s="301">
        <f>SUMIF(BTS_매출관리!C:C,B42,BTS_매출관리!I:I)</f>
        <v>143000</v>
      </c>
      <c r="D42" s="58">
        <f t="shared" si="0"/>
        <v>48</v>
      </c>
      <c r="F42" t="s">
        <v>1328</v>
      </c>
      <c r="G42" t="s">
        <v>3809</v>
      </c>
    </row>
    <row r="43" spans="2:17" x14ac:dyDescent="0.3">
      <c r="B43" s="269" t="s">
        <v>1355</v>
      </c>
      <c r="C43" s="268">
        <f>SUMIF(BTS_매출관리!C:C,B43,BTS_매출관리!I:I)</f>
        <v>143000</v>
      </c>
      <c r="D43" s="269">
        <f t="shared" si="0"/>
        <v>48</v>
      </c>
      <c r="F43" t="s">
        <v>3790</v>
      </c>
      <c r="G43" t="s">
        <v>3803</v>
      </c>
    </row>
    <row r="44" spans="2:17" x14ac:dyDescent="0.3">
      <c r="B44" s="58" t="s">
        <v>1333</v>
      </c>
      <c r="C44" s="301">
        <f>SUMIF(BTS_매출관리!C:C,B44,BTS_매출관리!I:I)</f>
        <v>1200000</v>
      </c>
      <c r="D44" s="58">
        <f t="shared" si="0"/>
        <v>32</v>
      </c>
      <c r="F44" t="s">
        <v>3791</v>
      </c>
      <c r="G44" t="s">
        <v>3803</v>
      </c>
    </row>
    <row r="45" spans="2:17" x14ac:dyDescent="0.3">
      <c r="B45" s="58" t="s">
        <v>1784</v>
      </c>
      <c r="C45" s="301">
        <f>SUMIF(BTS_매출관리!C:C,B45,BTS_매출관리!I:I)</f>
        <v>0</v>
      </c>
      <c r="D45" s="58">
        <f t="shared" si="0"/>
        <v>51</v>
      </c>
      <c r="F45" t="s">
        <v>3792</v>
      </c>
      <c r="G45" t="s">
        <v>3803</v>
      </c>
      <c r="M45">
        <v>17</v>
      </c>
    </row>
    <row r="46" spans="2:17" x14ac:dyDescent="0.3">
      <c r="B46" s="58" t="s">
        <v>1671</v>
      </c>
      <c r="C46" s="301">
        <f>SUMIF(BTS_매출관리!C:C,B46,BTS_매출관리!I:I)</f>
        <v>0</v>
      </c>
      <c r="D46" s="58">
        <f t="shared" si="0"/>
        <v>51</v>
      </c>
      <c r="F46" t="s">
        <v>3805</v>
      </c>
      <c r="G46" t="s">
        <v>3803</v>
      </c>
    </row>
    <row r="47" spans="2:17" x14ac:dyDescent="0.3">
      <c r="B47" s="58" t="s">
        <v>1018</v>
      </c>
      <c r="C47" s="301">
        <f>SUMIF(BTS_매출관리!C:C,B47,BTS_매출관리!I:I)</f>
        <v>0</v>
      </c>
      <c r="D47" s="58">
        <f t="shared" si="0"/>
        <v>51</v>
      </c>
      <c r="F47" s="58" t="s">
        <v>1035</v>
      </c>
      <c r="G47" t="s">
        <v>3803</v>
      </c>
      <c r="K47" t="s">
        <v>3803</v>
      </c>
      <c r="L47">
        <f>COUNTIF(G22:G49,"스팸")</f>
        <v>17</v>
      </c>
    </row>
    <row r="48" spans="2:17" x14ac:dyDescent="0.3">
      <c r="B48" s="58" t="s">
        <v>2472</v>
      </c>
      <c r="C48" s="301">
        <f>SUMIF(BTS_매출관리!C:C,B48,BTS_매출관리!I:I)</f>
        <v>0</v>
      </c>
      <c r="D48" s="58">
        <f t="shared" si="0"/>
        <v>51</v>
      </c>
      <c r="F48" s="58" t="s">
        <v>1357</v>
      </c>
      <c r="G48" t="s">
        <v>3809</v>
      </c>
      <c r="K48" t="s">
        <v>3809</v>
      </c>
      <c r="L48">
        <f>COUNTIF(G22:G49,"반반")</f>
        <v>10</v>
      </c>
    </row>
    <row r="49" spans="2:7" x14ac:dyDescent="0.3">
      <c r="B49" s="58" t="s">
        <v>1317</v>
      </c>
      <c r="C49" s="301">
        <f>SUMIF(BTS_매출관리!C:C,B49,BTS_매출관리!I:I)</f>
        <v>0</v>
      </c>
      <c r="D49" s="58">
        <f t="shared" si="0"/>
        <v>51</v>
      </c>
      <c r="F49" t="s">
        <v>1321</v>
      </c>
      <c r="G49" t="s">
        <v>3809</v>
      </c>
    </row>
    <row r="50" spans="2:7" x14ac:dyDescent="0.3">
      <c r="B50" s="58" t="s">
        <v>2361</v>
      </c>
      <c r="C50" s="301">
        <f>SUMIF(BTS_매출관리!C:C,B50,BTS_매출관리!I:I)</f>
        <v>1650000</v>
      </c>
      <c r="D50" s="58">
        <f t="shared" si="0"/>
        <v>22</v>
      </c>
    </row>
    <row r="51" spans="2:7" x14ac:dyDescent="0.3">
      <c r="B51" s="58" t="s">
        <v>1307</v>
      </c>
      <c r="C51" s="301">
        <f>SUMIF(BTS_매출관리!C:C,B51,BTS_매출관리!I:I)</f>
        <v>0</v>
      </c>
      <c r="D51" s="58">
        <f t="shared" si="0"/>
        <v>51</v>
      </c>
    </row>
    <row r="52" spans="2:7" x14ac:dyDescent="0.3">
      <c r="B52" s="47" t="s">
        <v>1346</v>
      </c>
      <c r="C52" s="302">
        <f>SUMIF(BTS_매출관리!C:C,B52,BTS_매출관리!I:I)</f>
        <v>0</v>
      </c>
      <c r="D52" s="47">
        <f t="shared" si="0"/>
        <v>51</v>
      </c>
    </row>
    <row r="53" spans="2:7" x14ac:dyDescent="0.3">
      <c r="B53" s="47" t="s">
        <v>1271</v>
      </c>
      <c r="C53" s="302">
        <f>SUMIF(BTS_매출관리!C:C,B53,BTS_매출관리!I:I)</f>
        <v>0</v>
      </c>
      <c r="D53" s="47">
        <f t="shared" si="0"/>
        <v>51</v>
      </c>
    </row>
    <row r="54" spans="2:7" x14ac:dyDescent="0.3">
      <c r="B54" s="47" t="s">
        <v>2916</v>
      </c>
      <c r="C54" s="302">
        <f>SUMIF(BTS_매출관리!C:C,B54,BTS_매출관리!I:I)</f>
        <v>0</v>
      </c>
      <c r="D54" s="47">
        <f t="shared" si="0"/>
        <v>51</v>
      </c>
    </row>
    <row r="55" spans="2:7" x14ac:dyDescent="0.3">
      <c r="B55" s="47" t="s">
        <v>1617</v>
      </c>
      <c r="C55" s="302">
        <f>SUMIF(BTS_매출관리!C:C,B55,BTS_매출관리!I:I)</f>
        <v>0</v>
      </c>
      <c r="D55" s="47">
        <f t="shared" si="0"/>
        <v>51</v>
      </c>
    </row>
    <row r="56" spans="2:7" x14ac:dyDescent="0.3">
      <c r="B56" s="47" t="s">
        <v>1345</v>
      </c>
      <c r="C56" s="302">
        <f>SUMIF(BTS_매출관리!C:C,B56,BTS_매출관리!I:I)</f>
        <v>0</v>
      </c>
      <c r="D56" s="47">
        <f t="shared" si="0"/>
        <v>51</v>
      </c>
    </row>
    <row r="57" spans="2:7" x14ac:dyDescent="0.3">
      <c r="B57" s="47" t="s">
        <v>2561</v>
      </c>
      <c r="C57" s="302">
        <f>SUMIF(BTS_매출관리!C:C,B57,BTS_매출관리!I:I)</f>
        <v>1500000</v>
      </c>
      <c r="D57" s="47">
        <f t="shared" si="0"/>
        <v>25</v>
      </c>
    </row>
    <row r="58" spans="2:7" x14ac:dyDescent="0.3">
      <c r="B58" s="47" t="s">
        <v>1288</v>
      </c>
      <c r="C58" s="302">
        <f>SUMIF(BTS_매출관리!C:C,B58,BTS_매출관리!I:I)</f>
        <v>0</v>
      </c>
      <c r="D58" s="47">
        <f t="shared" si="0"/>
        <v>51</v>
      </c>
    </row>
    <row r="59" spans="2:7" x14ac:dyDescent="0.3">
      <c r="B59" s="47" t="s">
        <v>1357</v>
      </c>
      <c r="C59" s="302">
        <f>SUMIF(BTS_매출관리!C:C,B59,BTS_매출관리!I:I)</f>
        <v>0</v>
      </c>
      <c r="D59" s="47">
        <f t="shared" si="0"/>
        <v>51</v>
      </c>
    </row>
    <row r="60" spans="2:7" x14ac:dyDescent="0.3">
      <c r="B60" t="s">
        <v>983</v>
      </c>
      <c r="C60" s="300">
        <f>SUMIF(BTS_매출관리!C:C,B60,BTS_매출관리!I:I)</f>
        <v>0</v>
      </c>
      <c r="D60" s="47">
        <f t="shared" si="0"/>
        <v>51</v>
      </c>
    </row>
    <row r="61" spans="2:7" x14ac:dyDescent="0.3">
      <c r="B61" s="47" t="s">
        <v>1303</v>
      </c>
      <c r="C61" s="302">
        <f>SUMIF(BTS_매출관리!C:C,B61,BTS_매출관리!I:I)</f>
        <v>0</v>
      </c>
      <c r="D61" s="47">
        <f t="shared" si="0"/>
        <v>51</v>
      </c>
    </row>
    <row r="62" spans="2:7" x14ac:dyDescent="0.3">
      <c r="B62" s="47" t="s">
        <v>1284</v>
      </c>
      <c r="C62" s="302">
        <f>SUMIF(BTS_매출관리!C:C,B62,BTS_매출관리!I:I)</f>
        <v>0</v>
      </c>
      <c r="D62" s="47">
        <f t="shared" si="0"/>
        <v>51</v>
      </c>
    </row>
    <row r="63" spans="2:7" x14ac:dyDescent="0.3">
      <c r="B63" s="47" t="s">
        <v>1299</v>
      </c>
      <c r="C63" s="302">
        <f>SUMIF(BTS_매출관리!C:C,B63,BTS_매출관리!I:I)</f>
        <v>0</v>
      </c>
      <c r="D63" s="47">
        <f t="shared" si="0"/>
        <v>51</v>
      </c>
    </row>
    <row r="64" spans="2:7" x14ac:dyDescent="0.3">
      <c r="B64" s="47" t="s">
        <v>2865</v>
      </c>
      <c r="C64" s="302">
        <f>SUMIF(BTS_매출관리!C:C,B64,BTS_매출관리!I:I)</f>
        <v>0</v>
      </c>
      <c r="D64" s="47">
        <f t="shared" si="0"/>
        <v>51</v>
      </c>
    </row>
    <row r="65" spans="2:4" x14ac:dyDescent="0.3">
      <c r="B65" s="47" t="s">
        <v>1296</v>
      </c>
      <c r="C65" s="302">
        <f>SUMIF(BTS_매출관리!C:C,B65,BTS_매출관리!I:I)</f>
        <v>0</v>
      </c>
      <c r="D65" s="47">
        <f t="shared" si="0"/>
        <v>51</v>
      </c>
    </row>
    <row r="66" spans="2:4" x14ac:dyDescent="0.3">
      <c r="B66" s="47" t="s">
        <v>2784</v>
      </c>
      <c r="C66" s="302">
        <f>SUMIF(BTS_매출관리!C:C,B66,BTS_매출관리!I:I)</f>
        <v>0</v>
      </c>
      <c r="D66" s="47">
        <f t="shared" ref="D66:D129" si="1">RANK(C66,C:C,0)</f>
        <v>51</v>
      </c>
    </row>
    <row r="67" spans="2:4" x14ac:dyDescent="0.3">
      <c r="B67" s="47" t="s">
        <v>1356</v>
      </c>
      <c r="C67" s="302">
        <f>SUMIF(BTS_매출관리!C:C,B67,BTS_매출관리!I:I)</f>
        <v>0</v>
      </c>
      <c r="D67" s="47">
        <f t="shared" si="1"/>
        <v>51</v>
      </c>
    </row>
    <row r="68" spans="2:4" x14ac:dyDescent="0.3">
      <c r="B68" s="47" t="s">
        <v>1359</v>
      </c>
      <c r="C68" s="302">
        <f>SUMIF(BTS_매출관리!C:C,B68,BTS_매출관리!I:I)</f>
        <v>0</v>
      </c>
      <c r="D68" s="47">
        <f t="shared" si="1"/>
        <v>51</v>
      </c>
    </row>
    <row r="69" spans="2:4" x14ac:dyDescent="0.3">
      <c r="B69" s="47" t="s">
        <v>3289</v>
      </c>
      <c r="C69" s="302">
        <f>SUMIF(BTS_매출관리!C:C,B69,BTS_매출관리!I:I)</f>
        <v>0</v>
      </c>
      <c r="D69" s="47">
        <f t="shared" si="1"/>
        <v>51</v>
      </c>
    </row>
    <row r="70" spans="2:4" x14ac:dyDescent="0.3">
      <c r="B70" t="s">
        <v>2860</v>
      </c>
      <c r="C70" s="52">
        <f>SUMIF(BTS_매출관리!C:C,B70,BTS_매출관리!I:I)</f>
        <v>0</v>
      </c>
      <c r="D70">
        <f t="shared" si="1"/>
        <v>51</v>
      </c>
    </row>
    <row r="71" spans="2:4" x14ac:dyDescent="0.3">
      <c r="B71" t="s">
        <v>2283</v>
      </c>
      <c r="C71" s="52">
        <f>SUMIF(BTS_매출관리!C:C,B71,BTS_매출관리!I:I)</f>
        <v>0</v>
      </c>
      <c r="D71">
        <f t="shared" si="1"/>
        <v>51</v>
      </c>
    </row>
    <row r="72" spans="2:4" x14ac:dyDescent="0.3">
      <c r="B72" t="s">
        <v>1351</v>
      </c>
      <c r="C72" s="52">
        <f>SUMIF(BTS_매출관리!C:C,B72,BTS_매출관리!I:I)</f>
        <v>0</v>
      </c>
      <c r="D72">
        <f t="shared" si="1"/>
        <v>51</v>
      </c>
    </row>
    <row r="73" spans="2:4" x14ac:dyDescent="0.3">
      <c r="B73" t="s">
        <v>1321</v>
      </c>
      <c r="C73" s="52">
        <f>SUMIF(BTS_매출관리!C:C,B73,BTS_매출관리!I:I)</f>
        <v>0</v>
      </c>
      <c r="D73">
        <f t="shared" si="1"/>
        <v>51</v>
      </c>
    </row>
    <row r="74" spans="2:4" x14ac:dyDescent="0.3">
      <c r="B74" t="s">
        <v>3120</v>
      </c>
      <c r="C74" s="52">
        <f>SUMIF(BTS_매출관리!C:C,B74,BTS_매출관리!I:I)</f>
        <v>0</v>
      </c>
      <c r="D74">
        <f t="shared" si="1"/>
        <v>51</v>
      </c>
    </row>
    <row r="75" spans="2:4" x14ac:dyDescent="0.3">
      <c r="B75" t="s">
        <v>2375</v>
      </c>
      <c r="C75" s="52">
        <f>SUMIF(BTS_매출관리!C:C,B75,BTS_매출관리!I:I)</f>
        <v>0</v>
      </c>
      <c r="D75">
        <f t="shared" si="1"/>
        <v>51</v>
      </c>
    </row>
    <row r="76" spans="2:4" x14ac:dyDescent="0.3">
      <c r="B76" t="s">
        <v>1611</v>
      </c>
      <c r="C76" s="300">
        <f>SUMIF(BTS_매출관리!C:C,B76,BTS_매출관리!I:I)</f>
        <v>0</v>
      </c>
      <c r="D76">
        <f t="shared" si="1"/>
        <v>51</v>
      </c>
    </row>
    <row r="77" spans="2:4" x14ac:dyDescent="0.3">
      <c r="B77" t="s">
        <v>2757</v>
      </c>
      <c r="C77" s="52">
        <f>SUMIF(BTS_매출관리!C:C,B77,BTS_매출관리!I:I)</f>
        <v>0</v>
      </c>
      <c r="D77">
        <f t="shared" si="1"/>
        <v>51</v>
      </c>
    </row>
    <row r="78" spans="2:4" x14ac:dyDescent="0.3">
      <c r="B78" t="s">
        <v>1571</v>
      </c>
      <c r="C78" s="300">
        <f>SUMIF(BTS_매출관리!C:C,B78,BTS_매출관리!I:I)</f>
        <v>0</v>
      </c>
      <c r="D78">
        <f t="shared" si="1"/>
        <v>51</v>
      </c>
    </row>
    <row r="79" spans="2:4" x14ac:dyDescent="0.3">
      <c r="B79" t="s">
        <v>3543</v>
      </c>
      <c r="C79" s="52">
        <f>SUMIF(BTS_매출관리!C:C,B79,BTS_매출관리!I:I)</f>
        <v>0</v>
      </c>
      <c r="D79">
        <f t="shared" si="1"/>
        <v>51</v>
      </c>
    </row>
    <row r="80" spans="2:4" x14ac:dyDescent="0.3">
      <c r="B80" t="s">
        <v>1328</v>
      </c>
      <c r="C80" s="52">
        <f>SUMIF(BTS_매출관리!C:C,B80,BTS_매출관리!I:I)</f>
        <v>0</v>
      </c>
      <c r="D80">
        <f t="shared" si="1"/>
        <v>51</v>
      </c>
    </row>
    <row r="81" spans="2:4" x14ac:dyDescent="0.3">
      <c r="B81" t="s">
        <v>1904</v>
      </c>
      <c r="C81" s="300">
        <f>SUMIF(BTS_매출관리!C:C,B81,BTS_매출관리!I:I)</f>
        <v>0</v>
      </c>
      <c r="D81">
        <f t="shared" si="1"/>
        <v>51</v>
      </c>
    </row>
    <row r="82" spans="2:4" x14ac:dyDescent="0.3">
      <c r="B82" t="s">
        <v>2258</v>
      </c>
      <c r="C82" s="52">
        <f>SUMIF(BTS_매출관리!C:C,B82,BTS_매출관리!I:I)</f>
        <v>0</v>
      </c>
      <c r="D82">
        <f t="shared" si="1"/>
        <v>51</v>
      </c>
    </row>
    <row r="83" spans="2:4" x14ac:dyDescent="0.3">
      <c r="B83" t="s">
        <v>3634</v>
      </c>
      <c r="C83" s="52">
        <f>SUMIF(BTS_매출관리!C:C,B83,BTS_매출관리!I:I)</f>
        <v>0</v>
      </c>
      <c r="D83">
        <f t="shared" si="1"/>
        <v>51</v>
      </c>
    </row>
    <row r="84" spans="2:4" x14ac:dyDescent="0.3">
      <c r="B84" t="s">
        <v>1283</v>
      </c>
      <c r="C84" s="300">
        <f>SUMIF(BTS_매출관리!C:C,B84,BTS_매출관리!I:I)</f>
        <v>0</v>
      </c>
      <c r="D84">
        <f t="shared" si="1"/>
        <v>51</v>
      </c>
    </row>
    <row r="85" spans="2:4" x14ac:dyDescent="0.3">
      <c r="B85" t="s">
        <v>2869</v>
      </c>
      <c r="C85" s="52">
        <f>SUMIF(BTS_매출관리!C:C,B85,BTS_매출관리!I:I)</f>
        <v>0</v>
      </c>
      <c r="D85">
        <f t="shared" si="1"/>
        <v>51</v>
      </c>
    </row>
    <row r="86" spans="2:4" x14ac:dyDescent="0.3">
      <c r="B86" t="s">
        <v>2365</v>
      </c>
      <c r="C86" s="52">
        <f>SUMIF(BTS_매출관리!C:C,B86,BTS_매출관리!I:I)</f>
        <v>0</v>
      </c>
      <c r="D86">
        <f t="shared" si="1"/>
        <v>51</v>
      </c>
    </row>
    <row r="87" spans="2:4" x14ac:dyDescent="0.3">
      <c r="B87" t="s">
        <v>1339</v>
      </c>
      <c r="C87" s="52">
        <f>SUMIF(BTS_매출관리!C:C,B87,BTS_매출관리!I:I)</f>
        <v>0</v>
      </c>
      <c r="D87">
        <f t="shared" si="1"/>
        <v>51</v>
      </c>
    </row>
    <row r="88" spans="2:4" x14ac:dyDescent="0.3">
      <c r="B88" t="s">
        <v>2890</v>
      </c>
      <c r="C88" s="52">
        <f>SUMIF(BTS_매출관리!C:C,B88,BTS_매출관리!I:I)</f>
        <v>0</v>
      </c>
      <c r="D88">
        <f t="shared" si="1"/>
        <v>51</v>
      </c>
    </row>
    <row r="89" spans="2:4" x14ac:dyDescent="0.3">
      <c r="B89" t="s">
        <v>1305</v>
      </c>
      <c r="C89" s="300">
        <f>SUMIF(BTS_매출관리!C:C,B89,BTS_매출관리!I:I)</f>
        <v>0</v>
      </c>
      <c r="D89">
        <f t="shared" si="1"/>
        <v>51</v>
      </c>
    </row>
    <row r="90" spans="2:4" x14ac:dyDescent="0.3">
      <c r="B90" t="s">
        <v>1228</v>
      </c>
      <c r="C90" s="52">
        <f>SUMIF(BTS_매출관리!C:C,B90,BTS_매출관리!I:I)</f>
        <v>0</v>
      </c>
      <c r="D90">
        <f t="shared" si="1"/>
        <v>51</v>
      </c>
    </row>
    <row r="91" spans="2:4" x14ac:dyDescent="0.3">
      <c r="B91" t="s">
        <v>1292</v>
      </c>
      <c r="C91" s="300">
        <f>SUMIF(BTS_매출관리!C:C,B91,BTS_매출관리!I:I)</f>
        <v>0</v>
      </c>
      <c r="D91">
        <f t="shared" si="1"/>
        <v>51</v>
      </c>
    </row>
    <row r="92" spans="2:4" x14ac:dyDescent="0.3">
      <c r="B92" t="s">
        <v>2307</v>
      </c>
      <c r="C92" s="52">
        <f>SUMIF(BTS_매출관리!C:C,B92,BTS_매출관리!I:I)</f>
        <v>0</v>
      </c>
      <c r="D92">
        <f t="shared" si="1"/>
        <v>51</v>
      </c>
    </row>
    <row r="93" spans="2:4" x14ac:dyDescent="0.3">
      <c r="B93" t="s">
        <v>2017</v>
      </c>
      <c r="C93" s="52">
        <f>SUMIF(BTS_매출관리!C:C,B93,BTS_매출관리!I:I)</f>
        <v>0</v>
      </c>
      <c r="D93">
        <f t="shared" si="1"/>
        <v>51</v>
      </c>
    </row>
    <row r="94" spans="2:4" x14ac:dyDescent="0.3">
      <c r="B94" t="s">
        <v>1275</v>
      </c>
      <c r="C94" s="300">
        <f>SUMIF(BTS_매출관리!C:C,B94,BTS_매출관리!I:I)</f>
        <v>0</v>
      </c>
      <c r="D94">
        <f t="shared" si="1"/>
        <v>51</v>
      </c>
    </row>
    <row r="95" spans="2:4" x14ac:dyDescent="0.3">
      <c r="B95" t="s">
        <v>2789</v>
      </c>
      <c r="C95" s="52">
        <f>SUMIF(BTS_매출관리!C:C,B95,BTS_매출관리!I:I)</f>
        <v>0</v>
      </c>
      <c r="D95">
        <f t="shared" si="1"/>
        <v>51</v>
      </c>
    </row>
    <row r="96" spans="2:4" x14ac:dyDescent="0.3">
      <c r="B96" t="s">
        <v>1294</v>
      </c>
      <c r="C96" s="300">
        <f>SUMIF(BTS_매출관리!C:C,B96,BTS_매출관리!I:I)</f>
        <v>0</v>
      </c>
      <c r="D96">
        <f t="shared" si="1"/>
        <v>51</v>
      </c>
    </row>
    <row r="97" spans="2:4" x14ac:dyDescent="0.3">
      <c r="B97" t="s">
        <v>2762</v>
      </c>
      <c r="C97" s="52">
        <f>SUMIF(BTS_매출관리!C:C,B97,BTS_매출관리!I:I)</f>
        <v>0</v>
      </c>
      <c r="D97">
        <f t="shared" si="1"/>
        <v>51</v>
      </c>
    </row>
    <row r="98" spans="2:4" x14ac:dyDescent="0.3">
      <c r="B98" t="s">
        <v>2704</v>
      </c>
      <c r="C98" s="52">
        <f>SUMIF(BTS_매출관리!C:C,B98,BTS_매출관리!I:I)</f>
        <v>110000</v>
      </c>
      <c r="D98">
        <f t="shared" si="1"/>
        <v>50</v>
      </c>
    </row>
    <row r="99" spans="2:4" x14ac:dyDescent="0.3">
      <c r="B99" t="s">
        <v>2896</v>
      </c>
      <c r="C99" s="52">
        <f>SUMIF(BTS_매출관리!C:C,B99,BTS_매출관리!I:I)</f>
        <v>0</v>
      </c>
      <c r="D99">
        <f t="shared" si="1"/>
        <v>51</v>
      </c>
    </row>
    <row r="100" spans="2:4" x14ac:dyDescent="0.3">
      <c r="B100" t="s">
        <v>1007</v>
      </c>
      <c r="C100" s="52">
        <f>SUMIF(BTS_매출관리!C:C,B100,BTS_매출관리!I:I)</f>
        <v>1150000</v>
      </c>
      <c r="D100">
        <f t="shared" si="1"/>
        <v>34</v>
      </c>
    </row>
    <row r="101" spans="2:4" x14ac:dyDescent="0.3">
      <c r="B101" t="s">
        <v>2742</v>
      </c>
      <c r="C101" s="52">
        <f>SUMIF(BTS_매출관리!C:C,B101,BTS_매출관리!I:I)</f>
        <v>0</v>
      </c>
      <c r="D101">
        <f t="shared" si="1"/>
        <v>51</v>
      </c>
    </row>
    <row r="102" spans="2:4" x14ac:dyDescent="0.3">
      <c r="B102" t="s">
        <v>2095</v>
      </c>
      <c r="C102" s="52">
        <f>SUMIF(BTS_매출관리!C:C,B102,BTS_매출관리!I:I)</f>
        <v>0</v>
      </c>
      <c r="D102">
        <f t="shared" si="1"/>
        <v>51</v>
      </c>
    </row>
    <row r="103" spans="2:4" x14ac:dyDescent="0.3">
      <c r="B103" t="s">
        <v>1285</v>
      </c>
      <c r="C103" s="300">
        <f>SUMIF(BTS_매출관리!C:C,B103,BTS_매출관리!I:I)</f>
        <v>0</v>
      </c>
      <c r="D103">
        <f t="shared" si="1"/>
        <v>51</v>
      </c>
    </row>
    <row r="104" spans="2:4" x14ac:dyDescent="0.3">
      <c r="B104" t="s">
        <v>2769</v>
      </c>
      <c r="C104" s="52">
        <f>SUMIF(BTS_매출관리!C:C,B104,BTS_매출관리!I:I)</f>
        <v>0</v>
      </c>
      <c r="D104">
        <f t="shared" si="1"/>
        <v>51</v>
      </c>
    </row>
    <row r="105" spans="2:4" x14ac:dyDescent="0.3">
      <c r="B105" t="s">
        <v>2935</v>
      </c>
      <c r="C105" s="52">
        <f>SUMIF(BTS_매출관리!C:C,B105,BTS_매출관리!I:I)</f>
        <v>0</v>
      </c>
      <c r="D105">
        <f t="shared" si="1"/>
        <v>51</v>
      </c>
    </row>
    <row r="106" spans="2:4" x14ac:dyDescent="0.3">
      <c r="B106" t="s">
        <v>3029</v>
      </c>
      <c r="C106" s="52">
        <f>SUMIF(BTS_매출관리!C:C,B106,BTS_매출관리!I:I)</f>
        <v>0</v>
      </c>
      <c r="D106">
        <f t="shared" si="1"/>
        <v>51</v>
      </c>
    </row>
    <row r="107" spans="2:4" x14ac:dyDescent="0.3">
      <c r="B107" t="s">
        <v>1234</v>
      </c>
      <c r="C107" s="300">
        <f>SUMIF(BTS_매출관리!C:C,B107,BTS_매출관리!I:I)</f>
        <v>1100000</v>
      </c>
      <c r="D107">
        <f t="shared" si="1"/>
        <v>35</v>
      </c>
    </row>
    <row r="108" spans="2:4" x14ac:dyDescent="0.3">
      <c r="B108" t="s">
        <v>2942</v>
      </c>
      <c r="C108" s="52">
        <f>SUMIF(BTS_매출관리!C:C,B108,BTS_매출관리!I:I)</f>
        <v>0</v>
      </c>
      <c r="D108">
        <f t="shared" si="1"/>
        <v>51</v>
      </c>
    </row>
    <row r="109" spans="2:4" x14ac:dyDescent="0.3">
      <c r="B109" t="s">
        <v>2133</v>
      </c>
      <c r="C109" s="52">
        <f>SUMIF(BTS_매출관리!C:C,B109,BTS_매출관리!I:I)</f>
        <v>0</v>
      </c>
      <c r="D109">
        <f t="shared" si="1"/>
        <v>51</v>
      </c>
    </row>
    <row r="110" spans="2:4" x14ac:dyDescent="0.3">
      <c r="B110" t="s">
        <v>2148</v>
      </c>
      <c r="C110" s="52">
        <f>SUMIF(BTS_매출관리!C:C,B110,BTS_매출관리!I:I)</f>
        <v>0</v>
      </c>
      <c r="D110">
        <f t="shared" si="1"/>
        <v>51</v>
      </c>
    </row>
    <row r="111" spans="2:4" x14ac:dyDescent="0.3">
      <c r="B111" t="s">
        <v>2039</v>
      </c>
      <c r="C111" s="52">
        <f>SUMIF(BTS_매출관리!C:C,B111,BTS_매출관리!I:I)</f>
        <v>0</v>
      </c>
      <c r="D111">
        <f t="shared" si="1"/>
        <v>51</v>
      </c>
    </row>
    <row r="112" spans="2:4" x14ac:dyDescent="0.3">
      <c r="B112" t="s">
        <v>1238</v>
      </c>
      <c r="C112" s="52">
        <f>SUMIF(BTS_매출관리!C:C,B112,BTS_매출관리!I:I)</f>
        <v>0</v>
      </c>
      <c r="D112">
        <f t="shared" si="1"/>
        <v>51</v>
      </c>
    </row>
    <row r="113" spans="2:4" x14ac:dyDescent="0.3">
      <c r="B113" t="s">
        <v>1329</v>
      </c>
      <c r="C113" s="52">
        <f>SUMIF(BTS_매출관리!C:C,B113,BTS_매출관리!I:I)</f>
        <v>0</v>
      </c>
      <c r="D113">
        <f t="shared" si="1"/>
        <v>51</v>
      </c>
    </row>
    <row r="114" spans="2:4" x14ac:dyDescent="0.3">
      <c r="B114" t="s">
        <v>1360</v>
      </c>
      <c r="C114" s="52">
        <f>SUMIF(BTS_매출관리!C:C,B114,BTS_매출관리!I:I)</f>
        <v>0</v>
      </c>
      <c r="D114">
        <f t="shared" si="1"/>
        <v>51</v>
      </c>
    </row>
    <row r="115" spans="2:4" x14ac:dyDescent="0.3">
      <c r="B115" t="s">
        <v>3187</v>
      </c>
      <c r="C115" s="52">
        <f>SUMIF(BTS_매출관리!C:C,B115,BTS_매출관리!I:I)</f>
        <v>0</v>
      </c>
      <c r="D115">
        <f t="shared" si="1"/>
        <v>51</v>
      </c>
    </row>
    <row r="116" spans="2:4" x14ac:dyDescent="0.3">
      <c r="B116" t="s">
        <v>1658</v>
      </c>
      <c r="C116" s="52">
        <f>SUMIF(BTS_매출관리!C:C,B116,BTS_매출관리!I:I)</f>
        <v>0</v>
      </c>
      <c r="D116">
        <f t="shared" si="1"/>
        <v>51</v>
      </c>
    </row>
    <row r="117" spans="2:4" x14ac:dyDescent="0.3">
      <c r="B117" t="s">
        <v>1316</v>
      </c>
      <c r="C117" s="52">
        <f>SUMIF(BTS_매출관리!C:C,B117,BTS_매출관리!I:I)</f>
        <v>0</v>
      </c>
      <c r="D117">
        <f t="shared" si="1"/>
        <v>51</v>
      </c>
    </row>
    <row r="118" spans="2:4" x14ac:dyDescent="0.3">
      <c r="B118" t="s">
        <v>1278</v>
      </c>
      <c r="C118" s="300">
        <f>SUMIF(BTS_매출관리!C:C,B118,BTS_매출관리!I:I)</f>
        <v>0</v>
      </c>
      <c r="D118">
        <f t="shared" si="1"/>
        <v>51</v>
      </c>
    </row>
    <row r="119" spans="2:4" x14ac:dyDescent="0.3">
      <c r="B119" t="s">
        <v>2592</v>
      </c>
      <c r="C119" s="300">
        <f>SUMIF(BTS_매출관리!C:C,B119,BTS_매출관리!I:I)</f>
        <v>0</v>
      </c>
      <c r="D119">
        <f t="shared" si="1"/>
        <v>51</v>
      </c>
    </row>
    <row r="120" spans="2:4" x14ac:dyDescent="0.3">
      <c r="B120" t="s">
        <v>1308</v>
      </c>
      <c r="C120" s="300">
        <f>SUMIF(BTS_매출관리!C:C,B120,BTS_매출관리!I:I)</f>
        <v>0</v>
      </c>
      <c r="D120">
        <f t="shared" si="1"/>
        <v>51</v>
      </c>
    </row>
    <row r="121" spans="2:4" x14ac:dyDescent="0.3">
      <c r="B121" t="s">
        <v>3077</v>
      </c>
      <c r="C121" s="52">
        <f>SUMIF(BTS_매출관리!C:C,B121,BTS_매출관리!I:I)</f>
        <v>0</v>
      </c>
      <c r="D121">
        <f t="shared" si="1"/>
        <v>51</v>
      </c>
    </row>
    <row r="122" spans="2:4" x14ac:dyDescent="0.3">
      <c r="B122" t="s">
        <v>1348</v>
      </c>
      <c r="C122" s="52">
        <f>SUMIF(BTS_매출관리!C:C,B122,BTS_매출관리!I:I)</f>
        <v>0</v>
      </c>
      <c r="D122">
        <f t="shared" si="1"/>
        <v>51</v>
      </c>
    </row>
    <row r="123" spans="2:4" x14ac:dyDescent="0.3">
      <c r="B123" t="s">
        <v>1322</v>
      </c>
      <c r="C123" s="52">
        <f>SUMIF(BTS_매출관리!C:C,B123,BTS_매출관리!I:I)</f>
        <v>0</v>
      </c>
      <c r="D123">
        <f t="shared" si="1"/>
        <v>51</v>
      </c>
    </row>
    <row r="124" spans="2:4" x14ac:dyDescent="0.3">
      <c r="B124" t="s">
        <v>1156</v>
      </c>
      <c r="C124" s="52">
        <f>SUMIF(BTS_매출관리!C:C,B124,BTS_매출관리!I:I)</f>
        <v>0</v>
      </c>
      <c r="D124">
        <f t="shared" si="1"/>
        <v>51</v>
      </c>
    </row>
    <row r="125" spans="2:4" x14ac:dyDescent="0.3">
      <c r="B125" t="s">
        <v>2034</v>
      </c>
      <c r="C125" s="52">
        <f>SUMIF(BTS_매출관리!C:C,B125,BTS_매출관리!I:I)</f>
        <v>0</v>
      </c>
      <c r="D125">
        <f t="shared" si="1"/>
        <v>51</v>
      </c>
    </row>
    <row r="126" spans="2:4" x14ac:dyDescent="0.3">
      <c r="B126" t="s">
        <v>3461</v>
      </c>
      <c r="C126" s="52">
        <f>SUMIF(BTS_매출관리!C:C,B126,BTS_매출관리!I:I)</f>
        <v>0</v>
      </c>
      <c r="D126">
        <f t="shared" si="1"/>
        <v>51</v>
      </c>
    </row>
    <row r="127" spans="2:4" x14ac:dyDescent="0.3">
      <c r="B127" t="s">
        <v>2873</v>
      </c>
      <c r="C127" s="52">
        <f>SUMIF(BTS_매출관리!C:C,B127,BTS_매출관리!I:I)</f>
        <v>0</v>
      </c>
      <c r="D127">
        <f t="shared" si="1"/>
        <v>51</v>
      </c>
    </row>
    <row r="128" spans="2:4" x14ac:dyDescent="0.3">
      <c r="B128" t="s">
        <v>3021</v>
      </c>
      <c r="C128" s="52">
        <f>SUMIF(BTS_매출관리!C:C,B128,BTS_매출관리!I:I)</f>
        <v>0</v>
      </c>
      <c r="D128">
        <f t="shared" si="1"/>
        <v>51</v>
      </c>
    </row>
    <row r="129" spans="2:4" x14ac:dyDescent="0.3">
      <c r="B129" t="s">
        <v>3575</v>
      </c>
      <c r="C129" s="52">
        <f>SUMIF(BTS_매출관리!C:C,B129,BTS_매출관리!I:I)</f>
        <v>0</v>
      </c>
      <c r="D129">
        <f t="shared" si="1"/>
        <v>51</v>
      </c>
    </row>
    <row r="130" spans="2:4" x14ac:dyDescent="0.3">
      <c r="B130" t="s">
        <v>1323</v>
      </c>
      <c r="C130" s="52">
        <f>SUMIF(BTS_매출관리!C:C,B130,BTS_매출관리!I:I)</f>
        <v>0</v>
      </c>
      <c r="D130">
        <f t="shared" ref="D130:D193" si="2">RANK(C130,C:C,0)</f>
        <v>51</v>
      </c>
    </row>
    <row r="131" spans="2:4" x14ac:dyDescent="0.3">
      <c r="B131" t="s">
        <v>1188</v>
      </c>
      <c r="C131" s="52">
        <f>SUMIF(BTS_매출관리!C:C,B131,BTS_매출관리!I:I)</f>
        <v>0</v>
      </c>
      <c r="D131">
        <f t="shared" si="2"/>
        <v>51</v>
      </c>
    </row>
    <row r="132" spans="2:4" x14ac:dyDescent="0.3">
      <c r="B132" t="s">
        <v>2809</v>
      </c>
      <c r="C132" s="52">
        <f>SUMIF(BTS_매출관리!C:C,B132,BTS_매출관리!I:I)</f>
        <v>0</v>
      </c>
      <c r="D132">
        <f t="shared" si="2"/>
        <v>51</v>
      </c>
    </row>
    <row r="133" spans="2:4" x14ac:dyDescent="0.3">
      <c r="B133" t="s">
        <v>3209</v>
      </c>
      <c r="C133" s="52">
        <f>SUMIF(BTS_매출관리!C:C,B133,BTS_매출관리!I:I)</f>
        <v>0</v>
      </c>
      <c r="D133">
        <f t="shared" si="2"/>
        <v>51</v>
      </c>
    </row>
    <row r="134" spans="2:4" x14ac:dyDescent="0.3">
      <c r="B134" t="s">
        <v>2381</v>
      </c>
      <c r="C134" s="52">
        <f>SUMIF(BTS_매출관리!C:C,B134,BTS_매출관리!I:I)</f>
        <v>0</v>
      </c>
      <c r="D134">
        <f t="shared" si="2"/>
        <v>51</v>
      </c>
    </row>
    <row r="135" spans="2:4" x14ac:dyDescent="0.3">
      <c r="B135" t="s">
        <v>1301</v>
      </c>
      <c r="C135" s="300">
        <f>SUMIF(BTS_매출관리!C:C,B135,BTS_매출관리!I:I)</f>
        <v>0</v>
      </c>
      <c r="D135">
        <f t="shared" si="2"/>
        <v>51</v>
      </c>
    </row>
    <row r="136" spans="2:4" x14ac:dyDescent="0.3">
      <c r="B136" t="s">
        <v>2491</v>
      </c>
      <c r="C136" s="52">
        <f>SUMIF(BTS_매출관리!C:C,B136,BTS_매출관리!I:I)</f>
        <v>0</v>
      </c>
      <c r="D136">
        <f t="shared" si="2"/>
        <v>51</v>
      </c>
    </row>
    <row r="137" spans="2:4" x14ac:dyDescent="0.3">
      <c r="B137" t="s">
        <v>1297</v>
      </c>
      <c r="C137" s="300">
        <f>SUMIF(BTS_매출관리!C:C,B137,BTS_매출관리!I:I)</f>
        <v>0</v>
      </c>
      <c r="D137">
        <f t="shared" si="2"/>
        <v>51</v>
      </c>
    </row>
    <row r="138" spans="2:4" x14ac:dyDescent="0.3">
      <c r="B138" t="s">
        <v>2468</v>
      </c>
      <c r="C138" s="52">
        <f>SUMIF(BTS_매출관리!C:C,B138,BTS_매출관리!I:I)</f>
        <v>0</v>
      </c>
      <c r="D138">
        <f t="shared" si="2"/>
        <v>51</v>
      </c>
    </row>
    <row r="139" spans="2:4" x14ac:dyDescent="0.3">
      <c r="B139" t="s">
        <v>1314</v>
      </c>
      <c r="C139" s="300">
        <f>SUMIF(BTS_매출관리!C:C,B139,BTS_매출관리!I:I)</f>
        <v>0</v>
      </c>
      <c r="D139">
        <f t="shared" si="2"/>
        <v>51</v>
      </c>
    </row>
    <row r="140" spans="2:4" x14ac:dyDescent="0.3">
      <c r="B140" t="s">
        <v>1318</v>
      </c>
      <c r="C140" s="52">
        <f>SUMIF(BTS_매출관리!C:C,B140,BTS_매출관리!I:I)</f>
        <v>0</v>
      </c>
      <c r="D140">
        <f t="shared" si="2"/>
        <v>51</v>
      </c>
    </row>
    <row r="141" spans="2:4" x14ac:dyDescent="0.3">
      <c r="B141" t="s">
        <v>1344</v>
      </c>
      <c r="C141" s="52">
        <f>SUMIF(BTS_매출관리!C:C,B141,BTS_매출관리!I:I)</f>
        <v>0</v>
      </c>
      <c r="D141">
        <f t="shared" si="2"/>
        <v>51</v>
      </c>
    </row>
    <row r="142" spans="2:4" x14ac:dyDescent="0.3">
      <c r="B142" t="s">
        <v>1354</v>
      </c>
      <c r="C142" s="52">
        <f>SUMIF(BTS_매출관리!C:C,B142,BTS_매출관리!I:I)</f>
        <v>0</v>
      </c>
      <c r="D142">
        <f t="shared" si="2"/>
        <v>51</v>
      </c>
    </row>
    <row r="143" spans="2:4" x14ac:dyDescent="0.3">
      <c r="B143" t="s">
        <v>3151</v>
      </c>
      <c r="C143" s="52">
        <f>SUMIF(BTS_매출관리!C:C,B143,BTS_매출관리!I:I)</f>
        <v>800000</v>
      </c>
      <c r="D143">
        <f t="shared" si="2"/>
        <v>39</v>
      </c>
    </row>
    <row r="144" spans="2:4" x14ac:dyDescent="0.3">
      <c r="B144" t="s">
        <v>3457</v>
      </c>
      <c r="C144" s="52">
        <f>SUMIF(BTS_매출관리!C:C,B144,BTS_매출관리!I:I)</f>
        <v>0</v>
      </c>
      <c r="D144">
        <f t="shared" si="2"/>
        <v>51</v>
      </c>
    </row>
    <row r="145" spans="2:4" x14ac:dyDescent="0.3">
      <c r="B145" t="s">
        <v>2053</v>
      </c>
      <c r="C145" s="52">
        <f>SUMIF(BTS_매출관리!C:C,B145,BTS_매출관리!I:I)</f>
        <v>0</v>
      </c>
      <c r="D145">
        <f t="shared" si="2"/>
        <v>51</v>
      </c>
    </row>
    <row r="146" spans="2:4" x14ac:dyDescent="0.3">
      <c r="B146" t="s">
        <v>3450</v>
      </c>
      <c r="C146" s="52">
        <f>SUMIF(BTS_매출관리!C:C,B146,BTS_매출관리!I:I)</f>
        <v>0</v>
      </c>
      <c r="D146">
        <f t="shared" si="2"/>
        <v>51</v>
      </c>
    </row>
    <row r="147" spans="2:4" x14ac:dyDescent="0.3">
      <c r="B147" t="s">
        <v>3502</v>
      </c>
      <c r="C147" s="52">
        <f>SUMIF(BTS_매출관리!C:C,B147,BTS_매출관리!I:I)</f>
        <v>0</v>
      </c>
      <c r="D147">
        <f t="shared" si="2"/>
        <v>51</v>
      </c>
    </row>
    <row r="148" spans="2:4" x14ac:dyDescent="0.3">
      <c r="B148" t="s">
        <v>2964</v>
      </c>
      <c r="C148" s="52">
        <f>SUMIF(BTS_매출관리!C:C,B148,BTS_매출관리!I:I)</f>
        <v>0</v>
      </c>
      <c r="D148">
        <f t="shared" si="2"/>
        <v>51</v>
      </c>
    </row>
    <row r="149" spans="2:4" x14ac:dyDescent="0.3">
      <c r="B149" t="s">
        <v>3725</v>
      </c>
      <c r="C149" s="52">
        <f>SUMIF(BTS_매출관리!C:C,B149,BTS_매출관리!I:I)</f>
        <v>0</v>
      </c>
      <c r="D149">
        <f t="shared" si="2"/>
        <v>51</v>
      </c>
    </row>
    <row r="150" spans="2:4" x14ac:dyDescent="0.3">
      <c r="B150" t="s">
        <v>2633</v>
      </c>
      <c r="C150" s="52">
        <f>SUMIF(BTS_매출관리!C:C,B150,BTS_매출관리!I:I)</f>
        <v>0</v>
      </c>
      <c r="D150">
        <f t="shared" si="2"/>
        <v>51</v>
      </c>
    </row>
    <row r="151" spans="2:4" x14ac:dyDescent="0.3">
      <c r="B151" t="s">
        <v>2277</v>
      </c>
      <c r="C151" s="52">
        <f>SUMIF(BTS_매출관리!C:C,B151,BTS_매출관리!I:I)</f>
        <v>0</v>
      </c>
      <c r="D151">
        <f t="shared" si="2"/>
        <v>51</v>
      </c>
    </row>
    <row r="152" spans="2:4" x14ac:dyDescent="0.3">
      <c r="B152" t="s">
        <v>3348</v>
      </c>
      <c r="C152" s="52">
        <f>SUMIF(BTS_매출관리!C:C,B152,BTS_매출관리!I:I)</f>
        <v>0</v>
      </c>
      <c r="D152">
        <f t="shared" si="2"/>
        <v>51</v>
      </c>
    </row>
    <row r="153" spans="2:4" x14ac:dyDescent="0.3">
      <c r="B153" t="s">
        <v>1277</v>
      </c>
      <c r="C153" s="300">
        <f>SUMIF(BTS_매출관리!C:C,B153,BTS_매출관리!I:I)</f>
        <v>0</v>
      </c>
      <c r="D153">
        <f t="shared" si="2"/>
        <v>51</v>
      </c>
    </row>
    <row r="154" spans="2:4" x14ac:dyDescent="0.3">
      <c r="B154" t="s">
        <v>1310</v>
      </c>
      <c r="C154" s="300">
        <f>SUMIF(BTS_매출관리!C:C,B154,BTS_매출관리!I:I)</f>
        <v>0</v>
      </c>
      <c r="D154">
        <f t="shared" si="2"/>
        <v>51</v>
      </c>
    </row>
    <row r="155" spans="2:4" x14ac:dyDescent="0.3">
      <c r="B155" t="s">
        <v>3262</v>
      </c>
      <c r="C155" s="52">
        <f>SUMIF(BTS_매출관리!C:C,B155,BTS_매출관리!I:I)</f>
        <v>0</v>
      </c>
      <c r="D155">
        <f t="shared" si="2"/>
        <v>51</v>
      </c>
    </row>
    <row r="156" spans="2:4" x14ac:dyDescent="0.3">
      <c r="B156" t="s">
        <v>1838</v>
      </c>
      <c r="C156" s="52">
        <f>SUMIF(BTS_매출관리!C:C,B156,BTS_매출관리!I:I)</f>
        <v>0</v>
      </c>
      <c r="D156">
        <f t="shared" si="2"/>
        <v>51</v>
      </c>
    </row>
    <row r="157" spans="2:4" x14ac:dyDescent="0.3">
      <c r="B157" t="s">
        <v>2732</v>
      </c>
      <c r="C157" s="52">
        <f>SUMIF(BTS_매출관리!C:C,B157,BTS_매출관리!I:I)</f>
        <v>0</v>
      </c>
      <c r="D157">
        <f t="shared" si="2"/>
        <v>51</v>
      </c>
    </row>
    <row r="158" spans="2:4" x14ac:dyDescent="0.3">
      <c r="B158" t="s">
        <v>3183</v>
      </c>
      <c r="C158" s="52">
        <f>SUMIF(BTS_매출관리!C:C,B158,BTS_매출관리!I:I)</f>
        <v>0</v>
      </c>
      <c r="D158">
        <f t="shared" si="2"/>
        <v>51</v>
      </c>
    </row>
    <row r="159" spans="2:4" x14ac:dyDescent="0.3">
      <c r="B159" t="s">
        <v>1335</v>
      </c>
      <c r="C159" s="52">
        <f>SUMIF(BTS_매출관리!C:C,B159,BTS_매출관리!I:I)</f>
        <v>0</v>
      </c>
      <c r="D159">
        <f t="shared" si="2"/>
        <v>51</v>
      </c>
    </row>
    <row r="160" spans="2:4" x14ac:dyDescent="0.3">
      <c r="B160" t="s">
        <v>1291</v>
      </c>
      <c r="C160" s="52">
        <f>SUMIF(BTS_매출관리!C:C,B160,BTS_매출관리!I:I)</f>
        <v>0</v>
      </c>
      <c r="D160">
        <f t="shared" si="2"/>
        <v>51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51</v>
      </c>
    </row>
    <row r="162" spans="2:4" x14ac:dyDescent="0.3">
      <c r="B162" t="s">
        <v>1286</v>
      </c>
      <c r="C162" s="52">
        <f>SUMIF(BTS_매출관리!C:C,B162,BTS_매출관리!I:I)</f>
        <v>0</v>
      </c>
      <c r="D162">
        <f t="shared" si="2"/>
        <v>51</v>
      </c>
    </row>
    <row r="163" spans="2:4" x14ac:dyDescent="0.3">
      <c r="B163" t="s">
        <v>1293</v>
      </c>
      <c r="C163" s="52">
        <f>SUMIF(BTS_매출관리!C:C,B163,BTS_매출관리!I:I)</f>
        <v>0</v>
      </c>
      <c r="D163">
        <f t="shared" si="2"/>
        <v>51</v>
      </c>
    </row>
    <row r="164" spans="2:4" x14ac:dyDescent="0.3">
      <c r="B164" t="s">
        <v>1077</v>
      </c>
      <c r="C164" s="52">
        <f>SUMIF(BTS_매출관리!C:C,B164,BTS_매출관리!I:I)</f>
        <v>0</v>
      </c>
      <c r="D164">
        <f t="shared" si="2"/>
        <v>51</v>
      </c>
    </row>
    <row r="165" spans="2:4" x14ac:dyDescent="0.3">
      <c r="B165" t="s">
        <v>1300</v>
      </c>
      <c r="C165" s="52">
        <f>SUMIF(BTS_매출관리!C:C,B165,BTS_매출관리!I:I)</f>
        <v>0</v>
      </c>
      <c r="D165">
        <f t="shared" si="2"/>
        <v>51</v>
      </c>
    </row>
    <row r="166" spans="2:4" x14ac:dyDescent="0.3">
      <c r="B166" t="s">
        <v>1304</v>
      </c>
      <c r="C166" s="52">
        <f>SUMIF(BTS_매출관리!C:C,B166,BTS_매출관리!I:I)</f>
        <v>0</v>
      </c>
      <c r="D166">
        <f t="shared" si="2"/>
        <v>51</v>
      </c>
    </row>
    <row r="167" spans="2:4" x14ac:dyDescent="0.3">
      <c r="B167" t="s">
        <v>1012</v>
      </c>
      <c r="C167" s="52">
        <f>SUMIF(BTS_매출관리!C:C,B167,BTS_매출관리!I:I)</f>
        <v>0</v>
      </c>
      <c r="D167">
        <f t="shared" si="2"/>
        <v>51</v>
      </c>
    </row>
    <row r="168" spans="2:4" x14ac:dyDescent="0.3">
      <c r="B168" t="s">
        <v>1309</v>
      </c>
      <c r="C168" s="52">
        <f>SUMIF(BTS_매출관리!C:C,B168,BTS_매출관리!I:I)</f>
        <v>0</v>
      </c>
      <c r="D168">
        <f t="shared" si="2"/>
        <v>51</v>
      </c>
    </row>
    <row r="169" spans="2:4" x14ac:dyDescent="0.3">
      <c r="B169" t="s">
        <v>1311</v>
      </c>
      <c r="C169" s="52">
        <f>SUMIF(BTS_매출관리!C:C,B169,BTS_매출관리!I:I)</f>
        <v>0</v>
      </c>
      <c r="D169">
        <f t="shared" si="2"/>
        <v>51</v>
      </c>
    </row>
    <row r="170" spans="2:4" x14ac:dyDescent="0.3">
      <c r="B170" t="s">
        <v>1312</v>
      </c>
      <c r="C170" s="52">
        <f>SUMIF(BTS_매출관리!C:C,B170,BTS_매출관리!I:I)</f>
        <v>0</v>
      </c>
      <c r="D170">
        <f t="shared" si="2"/>
        <v>51</v>
      </c>
    </row>
    <row r="171" spans="2:4" x14ac:dyDescent="0.3">
      <c r="B171" t="s">
        <v>1089</v>
      </c>
      <c r="C171" s="52">
        <f>SUMIF(BTS_매출관리!C:C,B171,BTS_매출관리!I:I)</f>
        <v>0</v>
      </c>
      <c r="D171">
        <f t="shared" si="2"/>
        <v>51</v>
      </c>
    </row>
    <row r="172" spans="2:4" x14ac:dyDescent="0.3">
      <c r="B172" t="s">
        <v>997</v>
      </c>
      <c r="C172" s="52">
        <f>SUMIF(BTS_매출관리!C:C,B172,BTS_매출관리!I:I)</f>
        <v>0</v>
      </c>
      <c r="D172">
        <f t="shared" si="2"/>
        <v>51</v>
      </c>
    </row>
    <row r="173" spans="2:4" x14ac:dyDescent="0.3">
      <c r="B173" t="s">
        <v>1325</v>
      </c>
      <c r="C173" s="52">
        <f>SUMIF(BTS_매출관리!C:C,B173,BTS_매출관리!I:I)</f>
        <v>0</v>
      </c>
      <c r="D173">
        <f t="shared" si="2"/>
        <v>51</v>
      </c>
    </row>
    <row r="174" spans="2:4" x14ac:dyDescent="0.3">
      <c r="B174" t="s">
        <v>1327</v>
      </c>
      <c r="C174" s="52">
        <f>SUMIF(BTS_매출관리!C:C,B174,BTS_매출관리!I:I)</f>
        <v>0</v>
      </c>
      <c r="D174">
        <f t="shared" si="2"/>
        <v>51</v>
      </c>
    </row>
    <row r="175" spans="2:4" x14ac:dyDescent="0.3">
      <c r="B175" t="s">
        <v>1331</v>
      </c>
      <c r="C175" s="52">
        <f>SUMIF(BTS_매출관리!C:C,B175,BTS_매출관리!I:I)</f>
        <v>0</v>
      </c>
      <c r="D175">
        <f t="shared" si="2"/>
        <v>51</v>
      </c>
    </row>
    <row r="176" spans="2:4" x14ac:dyDescent="0.3">
      <c r="B176" t="s">
        <v>1337</v>
      </c>
      <c r="C176" s="52">
        <f>SUMIF(BTS_매출관리!C:C,B176,BTS_매출관리!I:I)</f>
        <v>0</v>
      </c>
      <c r="D176">
        <f t="shared" si="2"/>
        <v>51</v>
      </c>
    </row>
    <row r="177" spans="2:4" x14ac:dyDescent="0.3">
      <c r="B177" t="s">
        <v>1338</v>
      </c>
      <c r="C177" s="52">
        <f>SUMIF(BTS_매출관리!C:C,B177,BTS_매출관리!I:I)</f>
        <v>0</v>
      </c>
      <c r="D177">
        <f t="shared" si="2"/>
        <v>51</v>
      </c>
    </row>
    <row r="178" spans="2:4" x14ac:dyDescent="0.3">
      <c r="B178" t="s">
        <v>1340</v>
      </c>
      <c r="C178" s="52">
        <f>SUMIF(BTS_매출관리!C:C,B178,BTS_매출관리!I:I)</f>
        <v>650000</v>
      </c>
      <c r="D178">
        <f t="shared" si="2"/>
        <v>40</v>
      </c>
    </row>
    <row r="179" spans="2:4" x14ac:dyDescent="0.3">
      <c r="B179" t="s">
        <v>1343</v>
      </c>
      <c r="C179" s="52">
        <f>SUMIF(BTS_매출관리!C:C,B179,BTS_매출관리!I:I)</f>
        <v>0</v>
      </c>
      <c r="D179">
        <f t="shared" si="2"/>
        <v>51</v>
      </c>
    </row>
    <row r="180" spans="2:4" x14ac:dyDescent="0.3">
      <c r="B180" t="s">
        <v>1347</v>
      </c>
      <c r="C180" s="52">
        <f>SUMIF(BTS_매출관리!C:C,B180,BTS_매출관리!I:I)</f>
        <v>0</v>
      </c>
      <c r="D180">
        <f t="shared" si="2"/>
        <v>51</v>
      </c>
    </row>
    <row r="181" spans="2:4" x14ac:dyDescent="0.3">
      <c r="B181" t="s">
        <v>1350</v>
      </c>
      <c r="C181" s="52">
        <f>SUMIF(BTS_매출관리!C:C,B181,BTS_매출관리!I:I)</f>
        <v>0</v>
      </c>
      <c r="D181">
        <f t="shared" si="2"/>
        <v>51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51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51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 t="shared" si="2"/>
        <v>51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 t="shared" si="2"/>
        <v>51</v>
      </c>
    </row>
    <row r="186" spans="2:4" x14ac:dyDescent="0.3">
      <c r="B186" t="s">
        <v>2677</v>
      </c>
      <c r="C186" s="52">
        <f>SUMIF(BTS_매출관리!C:C,B186,BTS_매출관리!I:I)</f>
        <v>0</v>
      </c>
      <c r="D186">
        <f t="shared" si="2"/>
        <v>51</v>
      </c>
    </row>
    <row r="187" spans="2:4" x14ac:dyDescent="0.3">
      <c r="B187" t="s">
        <v>2930</v>
      </c>
      <c r="C187" s="52">
        <f>SUMIF(BTS_매출관리!C:C,B187,BTS_매출관리!I:I)</f>
        <v>0</v>
      </c>
      <c r="D187">
        <f t="shared" si="2"/>
        <v>51</v>
      </c>
    </row>
    <row r="188" spans="2:4" x14ac:dyDescent="0.3">
      <c r="C188" s="52">
        <f>SUMIF(BTS_매출관리!C:C,B188,BTS_매출관리!I:I)</f>
        <v>0</v>
      </c>
      <c r="D188">
        <f t="shared" si="2"/>
        <v>51</v>
      </c>
    </row>
    <row r="189" spans="2:4" x14ac:dyDescent="0.3">
      <c r="C189" s="52">
        <f>SUMIF(BTS_매출관리!C:C,B189,BTS_매출관리!I:I)</f>
        <v>0</v>
      </c>
      <c r="D189">
        <f t="shared" si="2"/>
        <v>51</v>
      </c>
    </row>
    <row r="190" spans="2:4" x14ac:dyDescent="0.3">
      <c r="C190" s="52">
        <f>SUMIF(BTS_매출관리!C:C,B190,BTS_매출관리!I:I)</f>
        <v>0</v>
      </c>
      <c r="D190">
        <f t="shared" si="2"/>
        <v>51</v>
      </c>
    </row>
    <row r="191" spans="2:4" x14ac:dyDescent="0.3">
      <c r="C191" s="52">
        <f>SUMIF(BTS_매출관리!C:C,B191,BTS_매출관리!I:I)</f>
        <v>0</v>
      </c>
      <c r="D191">
        <f t="shared" si="2"/>
        <v>51</v>
      </c>
    </row>
    <row r="192" spans="2:4" x14ac:dyDescent="0.3">
      <c r="C192" s="52">
        <f>SUMIF(BTS_매출관리!C:C,B192,BTS_매출관리!I:I)</f>
        <v>0</v>
      </c>
      <c r="D192">
        <f t="shared" si="2"/>
        <v>51</v>
      </c>
    </row>
    <row r="193" spans="3:4" x14ac:dyDescent="0.3">
      <c r="C193" s="52">
        <f>SUMIF(BTS_매출관리!C:C,B193,BTS_매출관리!I:I)</f>
        <v>0</v>
      </c>
      <c r="D193">
        <f t="shared" si="2"/>
        <v>51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51</v>
      </c>
    </row>
    <row r="195" spans="3:4" x14ac:dyDescent="0.3">
      <c r="C195" s="52">
        <f>SUMIF(BTS_매출관리!C:C,B195,BTS_매출관리!I:I)</f>
        <v>0</v>
      </c>
      <c r="D195">
        <f t="shared" si="3"/>
        <v>51</v>
      </c>
    </row>
    <row r="196" spans="3:4" x14ac:dyDescent="0.3">
      <c r="C196" s="52">
        <f>SUMIF(BTS_매출관리!C:C,B196,BTS_매출관리!I:I)</f>
        <v>0</v>
      </c>
      <c r="D196">
        <f t="shared" si="3"/>
        <v>51</v>
      </c>
    </row>
    <row r="197" spans="3:4" x14ac:dyDescent="0.3">
      <c r="C197" s="52">
        <f>SUMIF(BTS_매출관리!C:C,B197,BTS_매출관리!I:I)</f>
        <v>0</v>
      </c>
      <c r="D197">
        <f t="shared" si="3"/>
        <v>51</v>
      </c>
    </row>
    <row r="198" spans="3:4" x14ac:dyDescent="0.3">
      <c r="C198" s="52">
        <f>SUMIF(BTS_매출관리!C:C,B198,BTS_매출관리!I:I)</f>
        <v>0</v>
      </c>
      <c r="D198">
        <f t="shared" si="3"/>
        <v>51</v>
      </c>
    </row>
    <row r="199" spans="3:4" x14ac:dyDescent="0.3">
      <c r="C199" s="52">
        <f>SUMIF(BTS_매출관리!C:C,B199,BTS_매출관리!I:I)</f>
        <v>0</v>
      </c>
      <c r="D199">
        <f t="shared" si="3"/>
        <v>51</v>
      </c>
    </row>
    <row r="200" spans="3:4" x14ac:dyDescent="0.3">
      <c r="C200" s="52">
        <f>SUMIF(BTS_매출관리!C:C,B200,BTS_매출관리!I:I)</f>
        <v>0</v>
      </c>
      <c r="D200">
        <f t="shared" si="3"/>
        <v>51</v>
      </c>
    </row>
    <row r="201" spans="3:4" x14ac:dyDescent="0.3">
      <c r="C201" s="52">
        <f>SUMIF(BTS_매출관리!C:C,B201,BTS_매출관리!I:I)</f>
        <v>0</v>
      </c>
      <c r="D201">
        <f t="shared" si="3"/>
        <v>51</v>
      </c>
    </row>
    <row r="202" spans="3:4" x14ac:dyDescent="0.3">
      <c r="C202" s="52">
        <f>SUMIF(BTS_매출관리!C:C,B202,BTS_매출관리!I:I)</f>
        <v>0</v>
      </c>
      <c r="D202">
        <f t="shared" si="3"/>
        <v>51</v>
      </c>
    </row>
    <row r="203" spans="3:4" x14ac:dyDescent="0.3">
      <c r="C203" s="52">
        <f>SUMIF(BTS_매출관리!C:C,B203,BTS_매출관리!I:I)</f>
        <v>0</v>
      </c>
      <c r="D203">
        <f t="shared" si="3"/>
        <v>51</v>
      </c>
    </row>
    <row r="204" spans="3:4" x14ac:dyDescent="0.3">
      <c r="C204" s="52">
        <f>SUMIF(BTS_매출관리!C:C,B204,BTS_매출관리!I:I)</f>
        <v>0</v>
      </c>
      <c r="D204">
        <f t="shared" si="3"/>
        <v>51</v>
      </c>
    </row>
    <row r="205" spans="3:4" x14ac:dyDescent="0.3">
      <c r="C205" s="52">
        <f>SUMIF(BTS_매출관리!C:C,B205,BTS_매출관리!I:I)</f>
        <v>0</v>
      </c>
      <c r="D205">
        <f t="shared" si="3"/>
        <v>51</v>
      </c>
    </row>
    <row r="206" spans="3:4" x14ac:dyDescent="0.3">
      <c r="C206" s="52">
        <f>SUMIF(BTS_매출관리!C:C,B206,BTS_매출관리!I:I)</f>
        <v>0</v>
      </c>
      <c r="D206">
        <f t="shared" si="3"/>
        <v>51</v>
      </c>
    </row>
    <row r="207" spans="3:4" x14ac:dyDescent="0.3">
      <c r="C207" s="52">
        <f>SUMIF(BTS_매출관리!C:C,B207,BTS_매출관리!I:I)</f>
        <v>0</v>
      </c>
      <c r="D207">
        <f t="shared" si="3"/>
        <v>51</v>
      </c>
    </row>
    <row r="208" spans="3:4" x14ac:dyDescent="0.3">
      <c r="C208" s="52">
        <f>SUMIF(BTS_매출관리!C:C,B208,BTS_매출관리!I:I)</f>
        <v>0</v>
      </c>
      <c r="D208">
        <f t="shared" si="3"/>
        <v>51</v>
      </c>
    </row>
    <row r="209" spans="3:4" x14ac:dyDescent="0.3">
      <c r="C209" s="52">
        <f>SUMIF(BTS_매출관리!C:C,B209,BTS_매출관리!I:I)</f>
        <v>0</v>
      </c>
      <c r="D209">
        <f t="shared" si="3"/>
        <v>51</v>
      </c>
    </row>
    <row r="210" spans="3:4" x14ac:dyDescent="0.3">
      <c r="C210" s="52">
        <f>SUMIF(BTS_매출관리!C:C,B210,BTS_매출관리!I:I)</f>
        <v>0</v>
      </c>
      <c r="D210">
        <f t="shared" si="3"/>
        <v>51</v>
      </c>
    </row>
    <row r="211" spans="3:4" x14ac:dyDescent="0.3">
      <c r="C211" s="52">
        <f>SUMIF(BTS_매출관리!C:C,B211,BTS_매출관리!I:I)</f>
        <v>0</v>
      </c>
      <c r="D211">
        <f t="shared" si="3"/>
        <v>51</v>
      </c>
    </row>
    <row r="212" spans="3:4" x14ac:dyDescent="0.3">
      <c r="C212" s="52">
        <f>SUMIF(BTS_매출관리!C:C,B212,BTS_매출관리!I:I)</f>
        <v>0</v>
      </c>
      <c r="D212">
        <f t="shared" si="3"/>
        <v>51</v>
      </c>
    </row>
    <row r="213" spans="3:4" x14ac:dyDescent="0.3">
      <c r="C213" s="52">
        <f>SUMIF(BTS_매출관리!C:C,B213,BTS_매출관리!I:I)</f>
        <v>0</v>
      </c>
      <c r="D213">
        <f t="shared" si="3"/>
        <v>51</v>
      </c>
    </row>
    <row r="214" spans="3:4" x14ac:dyDescent="0.3">
      <c r="C214" s="52">
        <f>SUMIF(BTS_매출관리!C:C,B214,BTS_매출관리!I:I)</f>
        <v>0</v>
      </c>
      <c r="D214">
        <f t="shared" si="3"/>
        <v>51</v>
      </c>
    </row>
    <row r="215" spans="3:4" x14ac:dyDescent="0.3">
      <c r="C215" s="52">
        <f>SUMIF(BTS_매출관리!C:C,B215,BTS_매출관리!I:I)</f>
        <v>0</v>
      </c>
      <c r="D215">
        <f t="shared" si="3"/>
        <v>51</v>
      </c>
    </row>
    <row r="216" spans="3:4" x14ac:dyDescent="0.3">
      <c r="C216" s="52">
        <f>SUMIF(BTS_매출관리!C:C,B216,BTS_매출관리!I:I)</f>
        <v>0</v>
      </c>
      <c r="D216">
        <f t="shared" si="3"/>
        <v>51</v>
      </c>
    </row>
    <row r="217" spans="3:4" x14ac:dyDescent="0.3">
      <c r="C217" s="52">
        <f>SUMIF(BTS_매출관리!C:C,B217,BTS_매출관리!I:I)</f>
        <v>0</v>
      </c>
      <c r="D217">
        <f t="shared" si="3"/>
        <v>51</v>
      </c>
    </row>
    <row r="218" spans="3:4" x14ac:dyDescent="0.3">
      <c r="C218" s="52">
        <f>SUMIF(BTS_매출관리!C:C,B218,BTS_매출관리!I:I)</f>
        <v>0</v>
      </c>
      <c r="D218">
        <f t="shared" si="3"/>
        <v>51</v>
      </c>
    </row>
    <row r="219" spans="3:4" x14ac:dyDescent="0.3">
      <c r="C219" s="52">
        <f>SUMIF(BTS_매출관리!C:C,B219,BTS_매출관리!I:I)</f>
        <v>0</v>
      </c>
      <c r="D219">
        <f t="shared" si="3"/>
        <v>51</v>
      </c>
    </row>
    <row r="220" spans="3:4" x14ac:dyDescent="0.3">
      <c r="C220" s="52">
        <f>SUMIF(BTS_매출관리!C:C,B220,BTS_매출관리!I:I)</f>
        <v>0</v>
      </c>
      <c r="D220">
        <f t="shared" si="3"/>
        <v>51</v>
      </c>
    </row>
    <row r="221" spans="3:4" x14ac:dyDescent="0.3">
      <c r="C221" s="52">
        <f>SUMIF(BTS_매출관리!C:C,B221,BTS_매출관리!I:I)</f>
        <v>0</v>
      </c>
      <c r="D221">
        <f t="shared" si="3"/>
        <v>51</v>
      </c>
    </row>
    <row r="222" spans="3:4" x14ac:dyDescent="0.3">
      <c r="C222" s="52">
        <f>SUMIF(BTS_매출관리!C:C,B222,BTS_매출관리!I:I)</f>
        <v>0</v>
      </c>
      <c r="D222">
        <f t="shared" si="3"/>
        <v>51</v>
      </c>
    </row>
    <row r="223" spans="3:4" x14ac:dyDescent="0.3">
      <c r="C223" s="52">
        <f>SUMIF(BTS_매출관리!C:C,B223,BTS_매출관리!I:I)</f>
        <v>0</v>
      </c>
      <c r="D223">
        <f t="shared" si="3"/>
        <v>51</v>
      </c>
    </row>
    <row r="224" spans="3:4" x14ac:dyDescent="0.3">
      <c r="C224" s="52">
        <f>SUMIF(BTS_매출관리!C:C,B224,BTS_매출관리!I:I)</f>
        <v>0</v>
      </c>
      <c r="D224">
        <f t="shared" si="3"/>
        <v>51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2223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1167</v>
      </c>
      <c r="B3" s="37" t="s">
        <v>59</v>
      </c>
      <c r="C3" s="506" t="s">
        <v>1541</v>
      </c>
      <c r="D3" s="507"/>
      <c r="E3" s="507"/>
      <c r="F3" s="507"/>
      <c r="G3" s="507"/>
      <c r="H3" s="507"/>
      <c r="I3" s="507"/>
      <c r="J3" s="508"/>
      <c r="K3" s="388" t="s">
        <v>1168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1167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1168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68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1093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2623</v>
      </c>
      <c r="D425" t="s">
        <v>2624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2630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2631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2638</v>
      </c>
    </row>
    <row r="429" spans="1:4" x14ac:dyDescent="0.3">
      <c r="A429">
        <v>453</v>
      </c>
      <c r="B429" s="13">
        <v>45832</v>
      </c>
      <c r="C429" t="s">
        <v>2632</v>
      </c>
      <c r="D429" t="s">
        <v>2639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2640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2641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2648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2649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2650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2652</v>
      </c>
    </row>
    <row r="436" spans="1:4" x14ac:dyDescent="0.3">
      <c r="A436">
        <v>460</v>
      </c>
      <c r="B436" s="13">
        <v>45833</v>
      </c>
      <c r="C436" t="s">
        <v>2643</v>
      </c>
      <c r="D436" t="s">
        <v>2653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2655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2656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2661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2662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2665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2666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2668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2678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2681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2692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2693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2695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2696</v>
      </c>
    </row>
    <row r="450" spans="1:4" x14ac:dyDescent="0.3">
      <c r="A450">
        <v>474</v>
      </c>
      <c r="B450" s="13">
        <v>45835</v>
      </c>
      <c r="C450" t="s">
        <v>1722</v>
      </c>
      <c r="D450" t="s">
        <v>2698</v>
      </c>
    </row>
    <row r="451" spans="1:4" x14ac:dyDescent="0.3">
      <c r="A451">
        <v>475</v>
      </c>
      <c r="B451" s="13">
        <v>45835</v>
      </c>
      <c r="C451" t="s">
        <v>1473</v>
      </c>
      <c r="D451" t="s">
        <v>2699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2703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2711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2714</v>
      </c>
    </row>
    <row r="455" spans="1:4" x14ac:dyDescent="0.3">
      <c r="A455">
        <v>479</v>
      </c>
      <c r="B455" s="13">
        <v>45838</v>
      </c>
      <c r="C455" t="s">
        <v>2704</v>
      </c>
      <c r="D455" t="s">
        <v>2715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2716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2717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2718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2721</v>
      </c>
    </row>
    <row r="460" spans="1:4" x14ac:dyDescent="0.3">
      <c r="A460">
        <v>484</v>
      </c>
      <c r="B460" s="13">
        <v>45839</v>
      </c>
      <c r="C460" t="s">
        <v>2725</v>
      </c>
      <c r="D460" t="s">
        <v>2726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2727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2729</v>
      </c>
    </row>
    <row r="463" spans="1:4" x14ac:dyDescent="0.3">
      <c r="A463">
        <v>487</v>
      </c>
      <c r="B463" s="13">
        <v>45839</v>
      </c>
      <c r="C463" t="s">
        <v>2732</v>
      </c>
      <c r="D463" t="s">
        <v>2735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2736</v>
      </c>
    </row>
    <row r="465" spans="1:4" x14ac:dyDescent="0.3">
      <c r="A465">
        <v>489</v>
      </c>
      <c r="B465" s="13">
        <v>45840</v>
      </c>
      <c r="C465" t="s">
        <v>2740</v>
      </c>
      <c r="D465" t="s">
        <v>2741</v>
      </c>
    </row>
    <row r="466" spans="1:4" x14ac:dyDescent="0.3">
      <c r="A466">
        <v>490</v>
      </c>
      <c r="B466" s="13">
        <v>45840</v>
      </c>
      <c r="C466" t="s">
        <v>2742</v>
      </c>
      <c r="D466" t="s">
        <v>2746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2753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2754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2755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2756</v>
      </c>
    </row>
    <row r="471" spans="1:4" x14ac:dyDescent="0.3">
      <c r="A471">
        <v>495</v>
      </c>
      <c r="B471" s="13">
        <v>45841</v>
      </c>
      <c r="C471" t="s">
        <v>2762</v>
      </c>
      <c r="D471" t="s">
        <v>2765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2766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2767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2768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2773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2774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2776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2777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2779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2780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2781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2782</v>
      </c>
    </row>
    <row r="483" spans="1:4" x14ac:dyDescent="0.3">
      <c r="A483">
        <v>507</v>
      </c>
      <c r="B483" s="13">
        <v>45845</v>
      </c>
      <c r="C483" t="s">
        <v>2789</v>
      </c>
      <c r="D483" t="s">
        <v>2793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2794</v>
      </c>
    </row>
    <row r="485" spans="1:4" x14ac:dyDescent="0.3">
      <c r="A485">
        <v>509</v>
      </c>
      <c r="B485" s="13">
        <v>45845</v>
      </c>
      <c r="C485" t="s">
        <v>2783</v>
      </c>
      <c r="D485" t="s">
        <v>2795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2796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2797</v>
      </c>
    </row>
    <row r="488" spans="1:4" x14ac:dyDescent="0.3">
      <c r="A488">
        <v>512</v>
      </c>
      <c r="B488" s="13">
        <v>45845</v>
      </c>
      <c r="C488" t="s">
        <v>1444</v>
      </c>
      <c r="D488" t="s">
        <v>2798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2800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2803</v>
      </c>
    </row>
    <row r="491" spans="1:4" x14ac:dyDescent="0.3">
      <c r="A491">
        <v>515</v>
      </c>
      <c r="B491" s="13">
        <v>45846</v>
      </c>
      <c r="C491" t="s">
        <v>2789</v>
      </c>
      <c r="D491" t="s">
        <v>2806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2807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2808</v>
      </c>
    </row>
    <row r="494" spans="1:4" x14ac:dyDescent="0.3">
      <c r="A494">
        <v>518</v>
      </c>
      <c r="B494" s="13">
        <v>45846</v>
      </c>
      <c r="C494" t="s">
        <v>2809</v>
      </c>
      <c r="D494" t="s">
        <v>2813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2815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2816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2817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2818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2819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2821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2825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2826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2827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2828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2829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2830</v>
      </c>
    </row>
    <row r="507" spans="1:4" x14ac:dyDescent="0.3">
      <c r="A507">
        <v>531</v>
      </c>
      <c r="B507" s="13">
        <v>45848</v>
      </c>
      <c r="C507" t="s">
        <v>2725</v>
      </c>
      <c r="D507" t="s">
        <v>2835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2837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2838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2839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2841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2851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2852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2853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2854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2855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2856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2857</v>
      </c>
    </row>
    <row r="519" spans="1:4" x14ac:dyDescent="0.3">
      <c r="A519">
        <v>543</v>
      </c>
      <c r="B519" s="13">
        <v>45849</v>
      </c>
      <c r="C519" t="s">
        <v>2858</v>
      </c>
      <c r="D519" t="s">
        <v>2859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2862</v>
      </c>
    </row>
    <row r="521" spans="1:4" x14ac:dyDescent="0.3">
      <c r="A521">
        <v>545</v>
      </c>
      <c r="B521" s="13">
        <v>45850</v>
      </c>
      <c r="C521" t="s">
        <v>2725</v>
      </c>
      <c r="D521" t="s">
        <v>2864</v>
      </c>
    </row>
    <row r="522" spans="1:4" x14ac:dyDescent="0.3">
      <c r="A522">
        <v>546</v>
      </c>
      <c r="B522" s="13">
        <v>45852</v>
      </c>
      <c r="C522" t="s">
        <v>2869</v>
      </c>
      <c r="D522" t="s">
        <v>2872</v>
      </c>
    </row>
    <row r="523" spans="1:4" x14ac:dyDescent="0.3">
      <c r="A523">
        <v>547</v>
      </c>
      <c r="B523" s="13">
        <v>45852</v>
      </c>
      <c r="C523" t="s">
        <v>2873</v>
      </c>
      <c r="D523" t="s">
        <v>2877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2878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2879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2881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2882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2883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2894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2895</v>
      </c>
    </row>
    <row r="531" spans="1:4" x14ac:dyDescent="0.3">
      <c r="A531">
        <v>555</v>
      </c>
      <c r="B531" s="13">
        <v>45853</v>
      </c>
      <c r="C531" t="s">
        <v>2896</v>
      </c>
      <c r="D531" t="s">
        <v>2899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2900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2901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2902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2903</v>
      </c>
    </row>
    <row r="536" spans="1:4" x14ac:dyDescent="0.3">
      <c r="A536">
        <v>560</v>
      </c>
      <c r="B536" s="13">
        <v>45853</v>
      </c>
      <c r="C536" t="s">
        <v>2890</v>
      </c>
      <c r="D536" t="s">
        <v>2905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2906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2912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2914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2915</v>
      </c>
    </row>
    <row r="541" spans="1:4" x14ac:dyDescent="0.3">
      <c r="A541">
        <v>565</v>
      </c>
      <c r="B541" s="13">
        <v>45854</v>
      </c>
      <c r="C541" t="s">
        <v>2916</v>
      </c>
      <c r="D541" t="s">
        <v>2918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2925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2927</v>
      </c>
    </row>
    <row r="544" spans="1:4" x14ac:dyDescent="0.3">
      <c r="A544">
        <v>568</v>
      </c>
      <c r="B544" s="13">
        <v>45855</v>
      </c>
      <c r="C544" t="s">
        <v>2623</v>
      </c>
      <c r="D544" t="s">
        <v>2928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2929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2934</v>
      </c>
    </row>
    <row r="547" spans="1:4" x14ac:dyDescent="0.3">
      <c r="A547">
        <v>571</v>
      </c>
      <c r="B547" s="13">
        <v>45856</v>
      </c>
      <c r="C547" t="s">
        <v>2935</v>
      </c>
      <c r="D547" t="s">
        <v>2939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2941</v>
      </c>
    </row>
    <row r="549" spans="1:4" x14ac:dyDescent="0.3">
      <c r="A549">
        <v>573</v>
      </c>
      <c r="B549" s="13">
        <v>45856</v>
      </c>
      <c r="C549" t="s">
        <v>2942</v>
      </c>
      <c r="D549" t="s">
        <v>2944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2945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2946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2951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2953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2956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2957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2959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2960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2961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2962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2963</v>
      </c>
    </row>
    <row r="561" spans="1:4" x14ac:dyDescent="0.3">
      <c r="A561">
        <v>585</v>
      </c>
      <c r="B561" s="13">
        <v>45860</v>
      </c>
      <c r="C561" t="s">
        <v>2964</v>
      </c>
      <c r="D561" t="s">
        <v>2968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2969</v>
      </c>
    </row>
    <row r="563" spans="1:4" x14ac:dyDescent="0.3">
      <c r="A563">
        <v>587</v>
      </c>
      <c r="B563" s="13">
        <v>45860</v>
      </c>
      <c r="C563" t="s">
        <v>2890</v>
      </c>
      <c r="D563" t="s">
        <v>2970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2976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2977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2978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2979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2980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2981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2982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2989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2990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2991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2992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2993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2996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2997</v>
      </c>
    </row>
    <row r="578" spans="1:4" x14ac:dyDescent="0.3">
      <c r="A578">
        <v>602</v>
      </c>
      <c r="B578" s="13">
        <v>45862</v>
      </c>
      <c r="C578" t="s">
        <v>2998</v>
      </c>
      <c r="D578" t="s">
        <v>2999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3002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3005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3006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3007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3008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3010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3011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3012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3013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3014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3015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3016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3017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3018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3019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3020</v>
      </c>
    </row>
    <row r="595" spans="1:4" x14ac:dyDescent="0.3">
      <c r="A595">
        <v>619</v>
      </c>
      <c r="B595" s="13">
        <v>45866</v>
      </c>
      <c r="C595" t="s">
        <v>3021</v>
      </c>
      <c r="D595" t="s">
        <v>3024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3025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3026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3027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3028</v>
      </c>
    </row>
    <row r="600" spans="1:4" x14ac:dyDescent="0.3">
      <c r="A600">
        <v>624</v>
      </c>
      <c r="B600" s="13">
        <v>45866</v>
      </c>
      <c r="C600" t="s">
        <v>3029</v>
      </c>
      <c r="D600" t="s">
        <v>3034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3061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3062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3063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3064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3065</v>
      </c>
    </row>
    <row r="606" spans="1:4" x14ac:dyDescent="0.3">
      <c r="A606">
        <v>630</v>
      </c>
      <c r="B606" s="13">
        <v>45867</v>
      </c>
      <c r="C606" t="s">
        <v>2916</v>
      </c>
      <c r="D606" t="s">
        <v>3066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3067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3068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3071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3072</v>
      </c>
    </row>
    <row r="611" spans="1:4" x14ac:dyDescent="0.3">
      <c r="A611">
        <v>635</v>
      </c>
      <c r="B611" s="13">
        <v>45868</v>
      </c>
      <c r="C611" t="s">
        <v>2789</v>
      </c>
      <c r="D611" t="s">
        <v>3073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3075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3076</v>
      </c>
    </row>
    <row r="614" spans="1:4" x14ac:dyDescent="0.3">
      <c r="A614">
        <v>638</v>
      </c>
      <c r="B614" s="13">
        <v>45868</v>
      </c>
      <c r="C614" t="s">
        <v>3077</v>
      </c>
      <c r="D614" t="s">
        <v>3081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3082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3085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3086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3087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3088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3089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3092</v>
      </c>
    </row>
    <row r="622" spans="1:4" x14ac:dyDescent="0.3">
      <c r="A622">
        <v>646</v>
      </c>
      <c r="B622" s="13">
        <v>45870</v>
      </c>
      <c r="C622" t="s">
        <v>3093</v>
      </c>
      <c r="D622" t="s">
        <v>3094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3095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3096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3100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3101</v>
      </c>
    </row>
    <row r="627" spans="1:4" x14ac:dyDescent="0.3">
      <c r="A627">
        <v>651</v>
      </c>
      <c r="B627" s="13">
        <v>45873</v>
      </c>
      <c r="C627" t="s">
        <v>2873</v>
      </c>
      <c r="D627" t="s">
        <v>3102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3103</v>
      </c>
    </row>
    <row r="629" spans="1:4" x14ac:dyDescent="0.3">
      <c r="A629">
        <v>653</v>
      </c>
      <c r="B629" s="13">
        <v>45873</v>
      </c>
      <c r="C629" t="s">
        <v>2873</v>
      </c>
      <c r="D629" t="s">
        <v>3104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3105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3106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3107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3108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3109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3111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3112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3113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3114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3126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3127</v>
      </c>
    </row>
    <row r="641" spans="1:4" x14ac:dyDescent="0.3">
      <c r="A641">
        <v>665</v>
      </c>
      <c r="B641" s="13">
        <v>45875</v>
      </c>
      <c r="C641" t="s">
        <v>3120</v>
      </c>
      <c r="D641" t="s">
        <v>3132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3134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3135</v>
      </c>
    </row>
    <row r="644" spans="1:4" x14ac:dyDescent="0.3">
      <c r="A644">
        <v>668</v>
      </c>
      <c r="B644" s="13">
        <v>45875</v>
      </c>
      <c r="C644" t="s">
        <v>3136</v>
      </c>
      <c r="D644" t="s">
        <v>3137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3138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3140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3141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3145</v>
      </c>
    </row>
    <row r="649" spans="1:4" x14ac:dyDescent="0.3">
      <c r="A649">
        <v>673</v>
      </c>
      <c r="B649" s="13">
        <v>45876</v>
      </c>
      <c r="C649" t="s">
        <v>2783</v>
      </c>
      <c r="D649" t="s">
        <v>3146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3147</v>
      </c>
    </row>
    <row r="651" spans="1:4" x14ac:dyDescent="0.3">
      <c r="A651">
        <v>675</v>
      </c>
      <c r="B651" s="13">
        <v>45877</v>
      </c>
      <c r="C651" t="s">
        <v>3149</v>
      </c>
      <c r="D651" t="s">
        <v>3150</v>
      </c>
    </row>
    <row r="652" spans="1:4" x14ac:dyDescent="0.3">
      <c r="A652">
        <v>676</v>
      </c>
      <c r="B652" s="13">
        <v>45877</v>
      </c>
      <c r="C652" t="s">
        <v>3151</v>
      </c>
      <c r="D652" t="s">
        <v>3155</v>
      </c>
    </row>
    <row r="653" spans="1:4" x14ac:dyDescent="0.3">
      <c r="A653">
        <v>677</v>
      </c>
      <c r="B653" s="13">
        <v>45877</v>
      </c>
      <c r="C653" t="s">
        <v>3149</v>
      </c>
      <c r="D653" t="s">
        <v>3156</v>
      </c>
    </row>
    <row r="654" spans="1:4" x14ac:dyDescent="0.3">
      <c r="A654">
        <v>678</v>
      </c>
      <c r="B654" s="13">
        <v>45877</v>
      </c>
      <c r="C654" t="s">
        <v>3151</v>
      </c>
      <c r="D654" t="s">
        <v>3157</v>
      </c>
    </row>
    <row r="655" spans="1:4" x14ac:dyDescent="0.3">
      <c r="A655">
        <v>679</v>
      </c>
      <c r="B655" s="13">
        <v>45877</v>
      </c>
      <c r="C655" t="s">
        <v>3149</v>
      </c>
      <c r="D655" t="s">
        <v>3158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3160</v>
      </c>
    </row>
    <row r="657" spans="1:4" x14ac:dyDescent="0.3">
      <c r="A657">
        <v>681</v>
      </c>
      <c r="B657" s="13">
        <v>45878</v>
      </c>
      <c r="C657" t="s">
        <v>3161</v>
      </c>
      <c r="D657" t="s">
        <v>3162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3163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3164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3165</v>
      </c>
    </row>
    <row r="661" spans="1:4" x14ac:dyDescent="0.3">
      <c r="A661">
        <v>685</v>
      </c>
      <c r="B661" t="s">
        <v>3167</v>
      </c>
      <c r="C661" t="s">
        <v>1494</v>
      </c>
      <c r="D661" t="s">
        <v>3168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3169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3170</v>
      </c>
    </row>
    <row r="664" spans="1:4" x14ac:dyDescent="0.3">
      <c r="A664">
        <v>688</v>
      </c>
      <c r="B664" s="13">
        <v>45880</v>
      </c>
      <c r="C664" t="s">
        <v>2916</v>
      </c>
      <c r="D664" t="s">
        <v>3171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3172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3173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3174</v>
      </c>
    </row>
    <row r="668" spans="1:4" x14ac:dyDescent="0.3">
      <c r="A668">
        <v>692</v>
      </c>
      <c r="B668" s="13">
        <v>45881</v>
      </c>
      <c r="C668" t="s">
        <v>2998</v>
      </c>
      <c r="D668" t="s">
        <v>3176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3178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3179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3180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3181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3182</v>
      </c>
    </row>
    <row r="674" spans="1:4" x14ac:dyDescent="0.3">
      <c r="A674">
        <v>698</v>
      </c>
      <c r="B674" s="13">
        <v>45882</v>
      </c>
      <c r="C674" t="s">
        <v>3186</v>
      </c>
      <c r="D674" t="s">
        <v>3190</v>
      </c>
    </row>
    <row r="675" spans="1:4" x14ac:dyDescent="0.3">
      <c r="A675">
        <v>699</v>
      </c>
      <c r="B675" s="13">
        <v>45882</v>
      </c>
      <c r="C675" t="s">
        <v>3183</v>
      </c>
      <c r="D675" t="s">
        <v>3192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3193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3195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3197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3198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3200</v>
      </c>
    </row>
    <row r="681" spans="1:4" x14ac:dyDescent="0.3">
      <c r="A681">
        <v>705</v>
      </c>
      <c r="B681" s="13">
        <v>45883</v>
      </c>
      <c r="C681" t="s">
        <v>3201</v>
      </c>
      <c r="D681" t="s">
        <v>3203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3204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3205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3207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3208</v>
      </c>
    </row>
    <row r="686" spans="1:4" x14ac:dyDescent="0.3">
      <c r="A686">
        <v>710</v>
      </c>
      <c r="B686" s="13">
        <v>45884</v>
      </c>
      <c r="C686" t="s">
        <v>3209</v>
      </c>
      <c r="D686" t="s">
        <v>3212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3213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3214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3218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3219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3220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3223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3224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3225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3227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3229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3231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3233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3234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3235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3236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3238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3240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3241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3242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3244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3245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3247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3248</v>
      </c>
    </row>
    <row r="710" spans="1:4" x14ac:dyDescent="0.3">
      <c r="A710">
        <v>734</v>
      </c>
      <c r="B710" s="13">
        <v>45890</v>
      </c>
      <c r="C710" t="s">
        <v>2916</v>
      </c>
      <c r="D710" t="s">
        <v>3249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3250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3251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3253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3256</v>
      </c>
    </row>
    <row r="715" spans="1:4" x14ac:dyDescent="0.3">
      <c r="A715">
        <v>739</v>
      </c>
      <c r="B715" s="13">
        <v>45890</v>
      </c>
      <c r="C715" t="s">
        <v>3120</v>
      </c>
      <c r="D715" t="s">
        <v>3257</v>
      </c>
    </row>
    <row r="716" spans="1:4" x14ac:dyDescent="0.3">
      <c r="A716">
        <v>740</v>
      </c>
      <c r="B716" s="13">
        <v>45891</v>
      </c>
      <c r="C716" t="s">
        <v>2858</v>
      </c>
      <c r="D716" t="s">
        <v>3259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3261</v>
      </c>
    </row>
    <row r="718" spans="1:4" x14ac:dyDescent="0.3">
      <c r="A718">
        <v>742</v>
      </c>
      <c r="B718" s="13">
        <v>45891</v>
      </c>
      <c r="C718" t="s">
        <v>3262</v>
      </c>
      <c r="D718" t="s">
        <v>3266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3267</v>
      </c>
    </row>
    <row r="720" spans="1:4" x14ac:dyDescent="0.3">
      <c r="A720">
        <v>744</v>
      </c>
      <c r="B720" s="13">
        <v>45891</v>
      </c>
      <c r="C720" t="s">
        <v>3268</v>
      </c>
      <c r="D720" t="s">
        <v>3271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3272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3277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3278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3279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3280</v>
      </c>
    </row>
    <row r="726" spans="1:4" x14ac:dyDescent="0.3">
      <c r="A726">
        <v>750</v>
      </c>
      <c r="B726" s="13">
        <v>45894</v>
      </c>
      <c r="C726" t="s">
        <v>3120</v>
      </c>
      <c r="D726" t="s">
        <v>3284</v>
      </c>
    </row>
    <row r="727" spans="1:4" x14ac:dyDescent="0.3">
      <c r="A727">
        <v>751</v>
      </c>
      <c r="B727" s="13">
        <v>45894</v>
      </c>
      <c r="C727" t="s">
        <v>2916</v>
      </c>
      <c r="D727" t="s">
        <v>3285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3286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3287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3288</v>
      </c>
    </row>
    <row r="731" spans="1:4" x14ac:dyDescent="0.3">
      <c r="A731">
        <v>755</v>
      </c>
      <c r="B731" s="13">
        <v>45894</v>
      </c>
      <c r="C731" t="s">
        <v>3289</v>
      </c>
      <c r="D731" t="s">
        <v>3293</v>
      </c>
    </row>
    <row r="732" spans="1:4" x14ac:dyDescent="0.3">
      <c r="A732">
        <v>756</v>
      </c>
      <c r="B732" s="13">
        <v>45894</v>
      </c>
      <c r="C732" t="s">
        <v>3289</v>
      </c>
      <c r="D732" t="s">
        <v>3294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3295</v>
      </c>
    </row>
    <row r="734" spans="1:4" x14ac:dyDescent="0.3">
      <c r="A734">
        <v>758</v>
      </c>
      <c r="B734" s="13">
        <v>45894</v>
      </c>
      <c r="C734" t="s">
        <v>2410</v>
      </c>
      <c r="D734" t="s">
        <v>3297</v>
      </c>
    </row>
    <row r="735" spans="1:4" x14ac:dyDescent="0.3">
      <c r="A735">
        <v>759</v>
      </c>
      <c r="B735" s="13">
        <v>45894</v>
      </c>
      <c r="C735" t="s">
        <v>2306</v>
      </c>
      <c r="D735" t="s">
        <v>3298</v>
      </c>
    </row>
    <row r="736" spans="1:4" x14ac:dyDescent="0.3">
      <c r="A736">
        <v>760</v>
      </c>
      <c r="B736" s="13">
        <v>45894</v>
      </c>
      <c r="C736" t="s">
        <v>1577</v>
      </c>
      <c r="D736" t="s">
        <v>3299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3300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3301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3305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3306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3307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3309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3310</v>
      </c>
    </row>
    <row r="744" spans="1:4" x14ac:dyDescent="0.3">
      <c r="A744">
        <v>768</v>
      </c>
      <c r="B744" s="13">
        <v>45895</v>
      </c>
      <c r="C744" t="s">
        <v>2858</v>
      </c>
      <c r="D744" t="s">
        <v>3313</v>
      </c>
    </row>
    <row r="745" spans="1:4" x14ac:dyDescent="0.3">
      <c r="A745">
        <v>769</v>
      </c>
      <c r="B745" s="13">
        <v>45895</v>
      </c>
      <c r="C745" t="s">
        <v>2858</v>
      </c>
      <c r="D745" t="s">
        <v>3314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3318</v>
      </c>
    </row>
    <row r="747" spans="1:4" x14ac:dyDescent="0.3">
      <c r="A747">
        <v>771</v>
      </c>
      <c r="B747" s="13">
        <v>45896</v>
      </c>
      <c r="C747" t="s">
        <v>3115</v>
      </c>
      <c r="D747" t="s">
        <v>3320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3321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3322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3323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3331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3332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3333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3334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3335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3336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3337</v>
      </c>
    </row>
    <row r="758" spans="1:4" x14ac:dyDescent="0.3">
      <c r="A758">
        <v>782</v>
      </c>
      <c r="B758" s="13">
        <v>45898</v>
      </c>
      <c r="C758" t="s">
        <v>2998</v>
      </c>
      <c r="D758" t="s">
        <v>3341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3342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3343</v>
      </c>
    </row>
    <row r="761" spans="1:4" x14ac:dyDescent="0.3">
      <c r="A761">
        <v>785</v>
      </c>
      <c r="B761" s="13">
        <v>45898</v>
      </c>
      <c r="C761" t="s">
        <v>3201</v>
      </c>
      <c r="D761" t="s">
        <v>3344</v>
      </c>
    </row>
    <row r="762" spans="1:4" x14ac:dyDescent="0.3">
      <c r="A762">
        <v>786</v>
      </c>
      <c r="B762" s="13">
        <v>45899</v>
      </c>
      <c r="C762" t="s">
        <v>2869</v>
      </c>
      <c r="D762" t="s">
        <v>3345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3346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3353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3354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3355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3356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3357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3358</v>
      </c>
    </row>
    <row r="770" spans="1:4" x14ac:dyDescent="0.3">
      <c r="A770">
        <v>794</v>
      </c>
      <c r="B770" s="13">
        <v>45901</v>
      </c>
      <c r="C770" t="s">
        <v>2762</v>
      </c>
      <c r="D770" t="s">
        <v>3359</v>
      </c>
    </row>
    <row r="771" spans="1:4" x14ac:dyDescent="0.3">
      <c r="A771">
        <v>795</v>
      </c>
      <c r="B771" s="13">
        <v>45901</v>
      </c>
      <c r="C771" t="s">
        <v>3347</v>
      </c>
      <c r="D771" t="s">
        <v>3360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3361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3364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3365</v>
      </c>
    </row>
    <row r="775" spans="1:4" x14ac:dyDescent="0.3">
      <c r="A775">
        <v>799</v>
      </c>
      <c r="B775" s="13">
        <v>45902</v>
      </c>
      <c r="C775" t="s">
        <v>2998</v>
      </c>
      <c r="D775" t="s">
        <v>3366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3367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3368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3370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3371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3372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3373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3374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3376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3378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3381</v>
      </c>
    </row>
    <row r="786" spans="1:4" x14ac:dyDescent="0.3">
      <c r="A786">
        <v>810</v>
      </c>
      <c r="B786" s="13">
        <v>45903</v>
      </c>
      <c r="C786" t="s">
        <v>3289</v>
      </c>
      <c r="D786" t="s">
        <v>3382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3386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3387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3391</v>
      </c>
    </row>
    <row r="790" spans="1:4" x14ac:dyDescent="0.3">
      <c r="A790">
        <v>814</v>
      </c>
      <c r="B790" s="13">
        <v>45903</v>
      </c>
      <c r="C790" t="s">
        <v>3388</v>
      </c>
      <c r="D790" t="s">
        <v>3392</v>
      </c>
    </row>
    <row r="791" spans="1:4" x14ac:dyDescent="0.3">
      <c r="A791">
        <v>815</v>
      </c>
      <c r="B791" s="13">
        <v>45903</v>
      </c>
      <c r="C791" t="s">
        <v>1747</v>
      </c>
      <c r="D791" t="s">
        <v>3393</v>
      </c>
    </row>
    <row r="792" spans="1:4" x14ac:dyDescent="0.3">
      <c r="A792">
        <v>816</v>
      </c>
      <c r="B792" s="13">
        <v>45903</v>
      </c>
      <c r="C792" t="s">
        <v>2319</v>
      </c>
      <c r="D792" t="s">
        <v>3394</v>
      </c>
    </row>
    <row r="793" spans="1:4" x14ac:dyDescent="0.3">
      <c r="A793">
        <v>817</v>
      </c>
      <c r="B793" s="13">
        <v>45903</v>
      </c>
      <c r="C793" t="s">
        <v>1847</v>
      </c>
      <c r="D793" t="s">
        <v>3396</v>
      </c>
    </row>
    <row r="794" spans="1:4" x14ac:dyDescent="0.3">
      <c r="A794">
        <v>818</v>
      </c>
      <c r="B794" s="13">
        <v>45903</v>
      </c>
      <c r="C794" t="s">
        <v>1747</v>
      </c>
      <c r="D794" t="s">
        <v>3398</v>
      </c>
    </row>
    <row r="795" spans="1:4" x14ac:dyDescent="0.3">
      <c r="A795">
        <v>819</v>
      </c>
      <c r="B795" s="13">
        <v>45899</v>
      </c>
      <c r="C795" t="s">
        <v>1747</v>
      </c>
      <c r="D795" t="s">
        <v>3399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3408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3409</v>
      </c>
    </row>
    <row r="798" spans="1:4" x14ac:dyDescent="0.3">
      <c r="A798">
        <v>822</v>
      </c>
      <c r="B798" s="13">
        <v>45904</v>
      </c>
      <c r="C798" t="s">
        <v>2916</v>
      </c>
      <c r="D798" t="s">
        <v>3410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3411</v>
      </c>
    </row>
    <row r="800" spans="1:4" x14ac:dyDescent="0.3">
      <c r="A800">
        <v>824</v>
      </c>
      <c r="B800" s="13">
        <v>45904</v>
      </c>
      <c r="C800" t="s">
        <v>3404</v>
      </c>
      <c r="D800" t="s">
        <v>3412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3415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3416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3417</v>
      </c>
    </row>
    <row r="804" spans="1:4" x14ac:dyDescent="0.3">
      <c r="A804">
        <v>828</v>
      </c>
      <c r="B804" s="13">
        <v>45904</v>
      </c>
      <c r="C804" t="s">
        <v>3397</v>
      </c>
      <c r="D804" t="s">
        <v>3418</v>
      </c>
    </row>
    <row r="805" spans="1:4" x14ac:dyDescent="0.3">
      <c r="A805">
        <v>829</v>
      </c>
      <c r="B805" s="13">
        <v>45904</v>
      </c>
      <c r="C805" t="s">
        <v>3397</v>
      </c>
      <c r="D805" t="s">
        <v>3419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3420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3421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3422</v>
      </c>
    </row>
    <row r="809" spans="1:4" x14ac:dyDescent="0.3">
      <c r="A809">
        <v>833</v>
      </c>
      <c r="B809" s="13">
        <v>45904</v>
      </c>
      <c r="C809" t="s">
        <v>3404</v>
      </c>
      <c r="D809" t="s">
        <v>3423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3424</v>
      </c>
    </row>
    <row r="811" spans="1:4" x14ac:dyDescent="0.3">
      <c r="A811">
        <v>835</v>
      </c>
      <c r="B811" s="13">
        <v>45904</v>
      </c>
      <c r="C811" t="s">
        <v>2916</v>
      </c>
      <c r="D811" t="s">
        <v>3425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3426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3427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3434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3435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3437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3438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3440</v>
      </c>
    </row>
    <row r="819" spans="1:4" x14ac:dyDescent="0.3">
      <c r="A819">
        <v>843</v>
      </c>
      <c r="B819" s="13">
        <v>45905</v>
      </c>
      <c r="C819" t="s">
        <v>3149</v>
      </c>
      <c r="D819" t="s">
        <v>3441</v>
      </c>
    </row>
    <row r="820" spans="1:4" x14ac:dyDescent="0.3">
      <c r="A820">
        <v>844</v>
      </c>
      <c r="B820" s="13">
        <v>45905</v>
      </c>
      <c r="C820" t="s">
        <v>3442</v>
      </c>
      <c r="D820" t="s">
        <v>3443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3444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3456</v>
      </c>
    </row>
    <row r="823" spans="1:4" x14ac:dyDescent="0.3">
      <c r="A823">
        <v>847</v>
      </c>
      <c r="B823" s="13">
        <v>45906</v>
      </c>
      <c r="C823" t="s">
        <v>3457</v>
      </c>
      <c r="D823" t="s">
        <v>3466</v>
      </c>
    </row>
    <row r="824" spans="1:4" x14ac:dyDescent="0.3">
      <c r="A824">
        <v>848</v>
      </c>
      <c r="B824" s="13">
        <v>45906</v>
      </c>
      <c r="C824" t="s">
        <v>2998</v>
      </c>
      <c r="D824" t="s">
        <v>3468</v>
      </c>
    </row>
    <row r="825" spans="1:4" x14ac:dyDescent="0.3">
      <c r="A825">
        <v>849</v>
      </c>
      <c r="B825" s="13">
        <v>45906</v>
      </c>
      <c r="C825" t="s">
        <v>3460</v>
      </c>
      <c r="D825" t="s">
        <v>3470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3472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3473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3474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3475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3478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3479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3480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3481</v>
      </c>
    </row>
    <row r="834" spans="1:4" x14ac:dyDescent="0.3">
      <c r="A834">
        <v>858</v>
      </c>
      <c r="B834" s="13">
        <v>45909</v>
      </c>
      <c r="C834" t="s">
        <v>2623</v>
      </c>
      <c r="D834" t="s">
        <v>3494</v>
      </c>
    </row>
    <row r="835" spans="1:4" x14ac:dyDescent="0.3">
      <c r="A835">
        <v>859</v>
      </c>
      <c r="B835" s="13">
        <v>45909</v>
      </c>
      <c r="C835" t="s">
        <v>2410</v>
      </c>
      <c r="D835" t="s">
        <v>3495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3496</v>
      </c>
    </row>
    <row r="837" spans="1:4" x14ac:dyDescent="0.3">
      <c r="A837">
        <v>861</v>
      </c>
      <c r="B837" s="13">
        <v>45909</v>
      </c>
      <c r="C837" t="s">
        <v>2467</v>
      </c>
      <c r="D837" t="s">
        <v>3497</v>
      </c>
    </row>
    <row r="838" spans="1:4" x14ac:dyDescent="0.3">
      <c r="A838">
        <v>862</v>
      </c>
      <c r="B838" s="13">
        <v>45909</v>
      </c>
      <c r="C838" t="s">
        <v>1867</v>
      </c>
      <c r="D838" t="s">
        <v>3498</v>
      </c>
    </row>
    <row r="839" spans="1:4" x14ac:dyDescent="0.3">
      <c r="A839">
        <v>863</v>
      </c>
      <c r="B839" s="13">
        <v>45910</v>
      </c>
      <c r="C839" t="s">
        <v>1449</v>
      </c>
      <c r="D839" t="s">
        <v>3499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3500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3501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3504</v>
      </c>
    </row>
    <row r="843" spans="1:4" x14ac:dyDescent="0.3">
      <c r="A843">
        <v>867</v>
      </c>
      <c r="B843" s="13">
        <v>45910</v>
      </c>
      <c r="C843" t="s">
        <v>3502</v>
      </c>
      <c r="D843" t="s">
        <v>3508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3509</v>
      </c>
    </row>
    <row r="845" spans="1:4" x14ac:dyDescent="0.3">
      <c r="A845">
        <v>869</v>
      </c>
      <c r="B845" s="13">
        <v>45910</v>
      </c>
      <c r="C845" t="s">
        <v>3388</v>
      </c>
      <c r="D845" t="s">
        <v>3510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3511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3512</v>
      </c>
    </row>
    <row r="848" spans="1:4" x14ac:dyDescent="0.3">
      <c r="A848">
        <v>872</v>
      </c>
      <c r="B848" s="13">
        <v>45910</v>
      </c>
      <c r="C848" t="s">
        <v>2783</v>
      </c>
      <c r="D848" t="s">
        <v>3513</v>
      </c>
    </row>
    <row r="849" spans="1:4" x14ac:dyDescent="0.3">
      <c r="A849">
        <v>873</v>
      </c>
      <c r="B849" s="13">
        <v>45910</v>
      </c>
      <c r="C849" t="s">
        <v>2783</v>
      </c>
      <c r="D849" t="s">
        <v>3514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3515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3516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3517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3523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3524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3525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3526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3527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3530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3531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3532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3533</v>
      </c>
    </row>
    <row r="862" spans="1:4" x14ac:dyDescent="0.3">
      <c r="A862">
        <v>886</v>
      </c>
      <c r="B862" s="13">
        <v>45911</v>
      </c>
      <c r="C862" t="s">
        <v>3115</v>
      </c>
      <c r="D862" t="s">
        <v>3534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3536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3537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3538</v>
      </c>
    </row>
    <row r="866" spans="1:4" x14ac:dyDescent="0.3">
      <c r="A866">
        <v>890</v>
      </c>
      <c r="B866" s="13">
        <v>45912</v>
      </c>
      <c r="C866" t="s">
        <v>2916</v>
      </c>
      <c r="D866" t="s">
        <v>3539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3541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3542</v>
      </c>
    </row>
    <row r="869" spans="1:4" x14ac:dyDescent="0.3">
      <c r="A869">
        <v>893</v>
      </c>
      <c r="B869" s="13">
        <v>45912</v>
      </c>
      <c r="C869" t="s">
        <v>3543</v>
      </c>
      <c r="D869" t="s">
        <v>3544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3547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3550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3551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3552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3553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3554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3555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3557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3559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3560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3562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3563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3564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3565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3566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3567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3568</v>
      </c>
    </row>
    <row r="887" spans="1:4" x14ac:dyDescent="0.3">
      <c r="A887">
        <v>911</v>
      </c>
      <c r="B887" s="13">
        <v>45917</v>
      </c>
      <c r="C887" t="s">
        <v>3574</v>
      </c>
      <c r="D887" t="s">
        <v>3581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3582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3583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3585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3586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3587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3588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3600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3601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3602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3603</v>
      </c>
    </row>
    <row r="898" spans="1:4" x14ac:dyDescent="0.3">
      <c r="A898">
        <v>922</v>
      </c>
      <c r="B898" s="13">
        <v>45918</v>
      </c>
      <c r="C898" t="s">
        <v>3120</v>
      </c>
      <c r="D898" t="s">
        <v>3605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3606</v>
      </c>
    </row>
    <row r="900" spans="1:4" x14ac:dyDescent="0.3">
      <c r="A900">
        <v>924</v>
      </c>
      <c r="B900" s="13">
        <v>45918</v>
      </c>
      <c r="C900" t="s">
        <v>3449</v>
      </c>
      <c r="D900" t="s">
        <v>3607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3608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3609</v>
      </c>
    </row>
    <row r="903" spans="1:4" x14ac:dyDescent="0.3">
      <c r="A903">
        <v>927</v>
      </c>
      <c r="B903" s="13">
        <v>45918</v>
      </c>
      <c r="C903" t="s">
        <v>2809</v>
      </c>
      <c r="D903" t="s">
        <v>3610</v>
      </c>
    </row>
    <row r="904" spans="1:4" x14ac:dyDescent="0.3">
      <c r="A904">
        <v>928</v>
      </c>
      <c r="B904" s="13">
        <v>45918</v>
      </c>
      <c r="C904" t="s">
        <v>3115</v>
      </c>
      <c r="D904" t="s">
        <v>3611</v>
      </c>
    </row>
    <row r="905" spans="1:4" x14ac:dyDescent="0.3">
      <c r="A905">
        <v>929</v>
      </c>
      <c r="B905" s="13">
        <v>45918</v>
      </c>
      <c r="C905" t="s">
        <v>2704</v>
      </c>
      <c r="D905" t="s">
        <v>3612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3613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3620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3621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3622</v>
      </c>
    </row>
    <row r="910" spans="1:4" x14ac:dyDescent="0.3">
      <c r="A910">
        <v>934</v>
      </c>
      <c r="B910" s="13">
        <v>45919</v>
      </c>
      <c r="C910" t="s">
        <v>2742</v>
      </c>
      <c r="D910" t="s">
        <v>3624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3632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3637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3638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3639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3640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3641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3642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3643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3647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3649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3650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3651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3652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3653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3654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3656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3658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3665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3667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3668</v>
      </c>
    </row>
    <row r="931" spans="1:4" x14ac:dyDescent="0.3">
      <c r="A931">
        <v>955</v>
      </c>
      <c r="B931" s="13">
        <v>45924</v>
      </c>
      <c r="C931" t="s">
        <v>2742</v>
      </c>
      <c r="D931" t="s">
        <v>3669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3670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3718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3719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3720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3721</v>
      </c>
    </row>
    <row r="937" spans="1:4" x14ac:dyDescent="0.3">
      <c r="A937">
        <v>961</v>
      </c>
      <c r="B937" s="13">
        <v>45926</v>
      </c>
      <c r="C937" t="s">
        <v>3722</v>
      </c>
      <c r="D937" t="s">
        <v>3724</v>
      </c>
    </row>
    <row r="938" spans="1:4" x14ac:dyDescent="0.3">
      <c r="A938">
        <v>962</v>
      </c>
      <c r="B938" s="13">
        <v>45927</v>
      </c>
      <c r="C938" t="s">
        <v>3725</v>
      </c>
      <c r="D938" t="s">
        <v>3729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3732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3737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3743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3745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3746</v>
      </c>
    </row>
    <row r="944" spans="1:4" x14ac:dyDescent="0.3">
      <c r="A944">
        <v>968</v>
      </c>
      <c r="B944" s="13">
        <v>45929</v>
      </c>
      <c r="C944" t="s">
        <v>2858</v>
      </c>
      <c r="D944" t="s">
        <v>3747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3748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3750</v>
      </c>
    </row>
    <row r="947" spans="1:4" x14ac:dyDescent="0.3">
      <c r="A947">
        <v>971</v>
      </c>
      <c r="B947" s="13">
        <v>45929</v>
      </c>
      <c r="C947" t="s">
        <v>3268</v>
      </c>
      <c r="D947" t="s">
        <v>3752</v>
      </c>
    </row>
    <row r="948" spans="1:4" x14ac:dyDescent="0.3">
      <c r="A948">
        <v>972</v>
      </c>
      <c r="B948" s="13">
        <v>45929</v>
      </c>
      <c r="C948" t="s">
        <v>3460</v>
      </c>
      <c r="D948" t="s">
        <v>3754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3755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3756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3757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3758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3759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3769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3770</v>
      </c>
    </row>
    <row r="956" spans="1:4" x14ac:dyDescent="0.3">
      <c r="A956">
        <v>980</v>
      </c>
      <c r="B956" s="13">
        <v>45930</v>
      </c>
      <c r="C956" t="s">
        <v>2623</v>
      </c>
      <c r="D956" t="s">
        <v>3772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3773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3774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3775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3776</v>
      </c>
    </row>
    <row r="961" spans="1:4" x14ac:dyDescent="0.3">
      <c r="A961">
        <v>985</v>
      </c>
      <c r="B961" s="13">
        <v>45930</v>
      </c>
      <c r="C961" t="s">
        <v>3762</v>
      </c>
      <c r="D961" t="s">
        <v>3777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3812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3813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3814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3815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3817</v>
      </c>
    </row>
    <row r="967" spans="1:4" x14ac:dyDescent="0.3">
      <c r="A967">
        <v>991</v>
      </c>
      <c r="B967" s="13">
        <v>45931</v>
      </c>
      <c r="C967" t="s">
        <v>3818</v>
      </c>
      <c r="D967" t="s">
        <v>3819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3824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3825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3830</v>
      </c>
    </row>
    <row r="971" spans="1:4" x14ac:dyDescent="0.3">
      <c r="A971">
        <v>995</v>
      </c>
      <c r="B971" s="13">
        <v>45932</v>
      </c>
      <c r="C971" t="s">
        <v>3821</v>
      </c>
      <c r="D971" t="s">
        <v>3832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3833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3839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3842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3843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3845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3846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3850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3856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3857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3858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3860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3861</v>
      </c>
    </row>
    <row r="984" spans="1:4" x14ac:dyDescent="0.3">
      <c r="A984">
        <v>1008</v>
      </c>
      <c r="B984" s="13">
        <v>45940</v>
      </c>
      <c r="C984" t="s">
        <v>3397</v>
      </c>
      <c r="D984" t="s">
        <v>3862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3863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3864</v>
      </c>
    </row>
    <row r="987" spans="1:4" x14ac:dyDescent="0.3">
      <c r="A987">
        <v>1011</v>
      </c>
      <c r="B987" s="13">
        <v>45940</v>
      </c>
      <c r="C987" t="s">
        <v>3818</v>
      </c>
      <c r="D987" t="s">
        <v>3865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3866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3867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3874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3875</v>
      </c>
    </row>
    <row r="992" spans="1:4" x14ac:dyDescent="0.3">
      <c r="A992">
        <v>1016</v>
      </c>
      <c r="B992" s="13">
        <v>45941</v>
      </c>
      <c r="C992" t="s">
        <v>2998</v>
      </c>
      <c r="D992" t="s">
        <v>3876</v>
      </c>
    </row>
    <row r="993" spans="1:4" x14ac:dyDescent="0.3">
      <c r="A993">
        <v>1017</v>
      </c>
      <c r="B993" s="13">
        <v>45941</v>
      </c>
      <c r="C993" t="s">
        <v>1722</v>
      </c>
      <c r="D993" t="s">
        <v>3877</v>
      </c>
    </row>
    <row r="994" spans="1:4" x14ac:dyDescent="0.3">
      <c r="A994">
        <v>1018</v>
      </c>
      <c r="B994" s="13">
        <v>45943</v>
      </c>
      <c r="C994" t="s">
        <v>1378</v>
      </c>
      <c r="D994" t="s">
        <v>3881</v>
      </c>
    </row>
    <row r="995" spans="1:4" x14ac:dyDescent="0.3">
      <c r="A995">
        <v>1019</v>
      </c>
      <c r="B995" s="13">
        <v>45943</v>
      </c>
      <c r="C995" t="s">
        <v>1399</v>
      </c>
      <c r="D995" t="s">
        <v>3883</v>
      </c>
    </row>
    <row r="996" spans="1:4" x14ac:dyDescent="0.3">
      <c r="A996">
        <v>1020</v>
      </c>
      <c r="B996" s="13">
        <v>45943</v>
      </c>
      <c r="C996" t="s">
        <v>1378</v>
      </c>
      <c r="D996" t="s">
        <v>3885</v>
      </c>
    </row>
    <row r="997" spans="1:4" x14ac:dyDescent="0.3">
      <c r="A997">
        <v>1021</v>
      </c>
      <c r="B997" s="13">
        <v>45943</v>
      </c>
      <c r="C997" t="s">
        <v>3886</v>
      </c>
      <c r="D997" t="s">
        <v>3889</v>
      </c>
    </row>
    <row r="998" spans="1:4" x14ac:dyDescent="0.3">
      <c r="A998">
        <v>1022</v>
      </c>
      <c r="B998" s="13">
        <v>45943</v>
      </c>
      <c r="C998" t="s">
        <v>1580</v>
      </c>
      <c r="D998" t="s">
        <v>3890</v>
      </c>
    </row>
    <row r="999" spans="1:4" x14ac:dyDescent="0.3">
      <c r="A999">
        <v>1023</v>
      </c>
      <c r="B999" s="13">
        <v>45943</v>
      </c>
      <c r="C999" t="s">
        <v>2618</v>
      </c>
      <c r="D999" t="s">
        <v>3891</v>
      </c>
    </row>
    <row r="1000" spans="1:4" x14ac:dyDescent="0.3">
      <c r="A1000">
        <v>1024</v>
      </c>
      <c r="B1000" s="13">
        <v>45943</v>
      </c>
      <c r="C1000" t="s">
        <v>3892</v>
      </c>
      <c r="D1000" t="s">
        <v>3893</v>
      </c>
    </row>
    <row r="1001" spans="1:4" x14ac:dyDescent="0.3">
      <c r="A1001">
        <v>1025</v>
      </c>
      <c r="B1001" s="13">
        <v>45943</v>
      </c>
      <c r="C1001" t="s">
        <v>3268</v>
      </c>
      <c r="D1001" t="s">
        <v>3894</v>
      </c>
    </row>
    <row r="1002" spans="1:4" x14ac:dyDescent="0.3">
      <c r="A1002">
        <v>1026</v>
      </c>
      <c r="B1002" s="13">
        <v>45943</v>
      </c>
      <c r="C1002" t="s">
        <v>1867</v>
      </c>
      <c r="D1002" t="s">
        <v>3908</v>
      </c>
    </row>
    <row r="1003" spans="1:4" x14ac:dyDescent="0.3">
      <c r="A1003">
        <v>1027</v>
      </c>
      <c r="B1003" s="13">
        <v>45943</v>
      </c>
      <c r="C1003" t="s">
        <v>1554</v>
      </c>
      <c r="D1003" t="s">
        <v>3909</v>
      </c>
    </row>
    <row r="1004" spans="1:4" x14ac:dyDescent="0.3">
      <c r="A1004">
        <v>1028</v>
      </c>
      <c r="B1004" s="13">
        <v>45944</v>
      </c>
      <c r="C1004" t="s">
        <v>1399</v>
      </c>
      <c r="D1004" t="s">
        <v>3912</v>
      </c>
    </row>
    <row r="1005" spans="1:4" x14ac:dyDescent="0.3">
      <c r="A1005">
        <v>1029</v>
      </c>
      <c r="B1005" s="13">
        <v>45944</v>
      </c>
      <c r="C1005" t="s">
        <v>1399</v>
      </c>
      <c r="D1005" t="s">
        <v>3914</v>
      </c>
    </row>
    <row r="1006" spans="1:4" x14ac:dyDescent="0.3">
      <c r="A1006">
        <v>1030</v>
      </c>
      <c r="B1006" s="13">
        <v>45944</v>
      </c>
      <c r="C1006" t="s">
        <v>3915</v>
      </c>
      <c r="D1006" t="s">
        <v>3918</v>
      </c>
    </row>
    <row r="1007" spans="1:4" x14ac:dyDescent="0.3">
      <c r="A1007">
        <v>1031</v>
      </c>
      <c r="B1007" s="13">
        <v>45944</v>
      </c>
      <c r="C1007" t="s">
        <v>1586</v>
      </c>
      <c r="D1007" t="s">
        <v>3919</v>
      </c>
    </row>
    <row r="1008" spans="1:4" x14ac:dyDescent="0.3">
      <c r="A1008">
        <v>1032</v>
      </c>
      <c r="B1008" s="13">
        <v>45944</v>
      </c>
      <c r="C1008" t="s">
        <v>1805</v>
      </c>
      <c r="D1008" t="s">
        <v>3920</v>
      </c>
    </row>
    <row r="1009" spans="1:4" x14ac:dyDescent="0.3">
      <c r="A1009">
        <v>1033</v>
      </c>
      <c r="B1009" s="13">
        <v>45944</v>
      </c>
      <c r="C1009" t="s">
        <v>1554</v>
      </c>
      <c r="D1009" t="s">
        <v>3921</v>
      </c>
    </row>
    <row r="1010" spans="1:4" x14ac:dyDescent="0.3">
      <c r="A1010">
        <v>1034</v>
      </c>
      <c r="B1010" s="13">
        <v>45944</v>
      </c>
      <c r="C1010" t="s">
        <v>1580</v>
      </c>
      <c r="D1010" t="s">
        <v>3922</v>
      </c>
    </row>
    <row r="1011" spans="1:4" x14ac:dyDescent="0.3">
      <c r="A1011">
        <v>1035</v>
      </c>
      <c r="B1011" s="13">
        <v>45944</v>
      </c>
      <c r="C1011" t="s">
        <v>3115</v>
      </c>
      <c r="D1011" t="s">
        <v>3924</v>
      </c>
    </row>
    <row r="1012" spans="1:4" x14ac:dyDescent="0.3">
      <c r="A1012">
        <v>1036</v>
      </c>
      <c r="B1012" s="13">
        <v>45945</v>
      </c>
      <c r="C1012" t="s">
        <v>1399</v>
      </c>
      <c r="D1012" t="s">
        <v>3927</v>
      </c>
    </row>
    <row r="1013" spans="1:4" x14ac:dyDescent="0.3">
      <c r="A1013">
        <v>1037</v>
      </c>
      <c r="B1013" s="13">
        <v>45945</v>
      </c>
      <c r="C1013" t="s">
        <v>1931</v>
      </c>
      <c r="D1013" t="s">
        <v>3928</v>
      </c>
    </row>
    <row r="1014" spans="1:4" x14ac:dyDescent="0.3">
      <c r="A1014">
        <v>1038</v>
      </c>
      <c r="B1014" s="13">
        <v>45945</v>
      </c>
      <c r="C1014" t="s">
        <v>1467</v>
      </c>
      <c r="D1014" t="s">
        <v>3930</v>
      </c>
    </row>
    <row r="1015" spans="1:4" x14ac:dyDescent="0.3">
      <c r="A1015">
        <v>1039</v>
      </c>
      <c r="B1015" s="13">
        <v>45945</v>
      </c>
      <c r="C1015" t="s">
        <v>2113</v>
      </c>
      <c r="D1015" t="s">
        <v>3931</v>
      </c>
    </row>
    <row r="1016" spans="1:4" x14ac:dyDescent="0.3">
      <c r="A1016">
        <v>1040</v>
      </c>
      <c r="B1016" s="13">
        <v>45945</v>
      </c>
      <c r="C1016" t="s">
        <v>3932</v>
      </c>
      <c r="D1016" t="s">
        <v>3936</v>
      </c>
    </row>
    <row r="1017" spans="1:4" x14ac:dyDescent="0.3">
      <c r="A1017">
        <v>1041</v>
      </c>
      <c r="B1017" s="13">
        <v>45945</v>
      </c>
      <c r="C1017" t="s">
        <v>1790</v>
      </c>
      <c r="D1017" t="s">
        <v>3937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3938</v>
      </c>
    </row>
    <row r="1019" spans="1:4" x14ac:dyDescent="0.3">
      <c r="A1019">
        <v>1043</v>
      </c>
      <c r="B1019" s="13">
        <v>45945</v>
      </c>
      <c r="C1019" t="s">
        <v>1494</v>
      </c>
      <c r="D1019" t="s">
        <v>3939</v>
      </c>
    </row>
    <row r="1020" spans="1:4" x14ac:dyDescent="0.3">
      <c r="A1020">
        <v>1044</v>
      </c>
      <c r="B1020" s="13">
        <v>45945</v>
      </c>
      <c r="C1020" t="s">
        <v>1449</v>
      </c>
      <c r="D1020" t="s">
        <v>3941</v>
      </c>
    </row>
    <row r="1021" spans="1:4" x14ac:dyDescent="0.3">
      <c r="A1021">
        <v>1045</v>
      </c>
      <c r="B1021" s="13">
        <v>45946</v>
      </c>
      <c r="C1021" t="s">
        <v>1977</v>
      </c>
      <c r="D1021" t="s">
        <v>3952</v>
      </c>
    </row>
    <row r="1022" spans="1:4" x14ac:dyDescent="0.3">
      <c r="A1022">
        <v>1046</v>
      </c>
      <c r="B1022" s="13">
        <v>45946</v>
      </c>
      <c r="C1022" t="s">
        <v>1473</v>
      </c>
      <c r="D1022" t="s">
        <v>3953</v>
      </c>
    </row>
    <row r="1023" spans="1:4" x14ac:dyDescent="0.3">
      <c r="A1023">
        <v>1047</v>
      </c>
      <c r="B1023" s="13">
        <v>45946</v>
      </c>
      <c r="C1023" t="s">
        <v>1485</v>
      </c>
      <c r="D1023" t="s">
        <v>3954</v>
      </c>
    </row>
    <row r="1024" spans="1:4" x14ac:dyDescent="0.3">
      <c r="A1024">
        <v>1048</v>
      </c>
      <c r="B1024" s="13">
        <v>45946</v>
      </c>
      <c r="C1024" t="s">
        <v>1598</v>
      </c>
      <c r="D1024" t="s">
        <v>3955</v>
      </c>
    </row>
    <row r="1025" spans="1:4" x14ac:dyDescent="0.3">
      <c r="A1025">
        <v>1049</v>
      </c>
      <c r="B1025" s="13">
        <v>45946</v>
      </c>
      <c r="C1025" t="s">
        <v>3946</v>
      </c>
      <c r="D1025" t="s">
        <v>3956</v>
      </c>
    </row>
    <row r="1026" spans="1:4" x14ac:dyDescent="0.3">
      <c r="A1026">
        <v>1050</v>
      </c>
      <c r="B1026" s="13">
        <v>45946</v>
      </c>
      <c r="C1026" t="s">
        <v>3818</v>
      </c>
      <c r="D1026" t="s">
        <v>3957</v>
      </c>
    </row>
    <row r="1027" spans="1:4" x14ac:dyDescent="0.3">
      <c r="A1027">
        <v>1051</v>
      </c>
      <c r="B1027" s="13">
        <v>45946</v>
      </c>
      <c r="C1027" t="s">
        <v>1790</v>
      </c>
      <c r="D1027" t="s">
        <v>3959</v>
      </c>
    </row>
    <row r="1028" spans="1:4" x14ac:dyDescent="0.3">
      <c r="A1028">
        <v>1052</v>
      </c>
      <c r="B1028" s="13">
        <v>45947</v>
      </c>
      <c r="C1028" t="s">
        <v>1469</v>
      </c>
      <c r="D1028" t="s">
        <v>3964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3966</v>
      </c>
    </row>
    <row r="1030" spans="1:4" x14ac:dyDescent="0.3">
      <c r="A1030">
        <v>1054</v>
      </c>
      <c r="B1030" s="13">
        <v>45948</v>
      </c>
      <c r="C1030" t="s">
        <v>1790</v>
      </c>
      <c r="D1030" t="s">
        <v>3968</v>
      </c>
    </row>
    <row r="1031" spans="1:4" x14ac:dyDescent="0.3">
      <c r="A1031">
        <v>1055</v>
      </c>
      <c r="B1031" s="13">
        <v>45948</v>
      </c>
      <c r="C1031" t="s">
        <v>1977</v>
      </c>
      <c r="D1031" t="s">
        <v>3969</v>
      </c>
    </row>
    <row r="1032" spans="1:4" x14ac:dyDescent="0.3">
      <c r="A1032">
        <v>1056</v>
      </c>
      <c r="B1032" s="13">
        <v>45950</v>
      </c>
      <c r="C1032" t="s">
        <v>1870</v>
      </c>
      <c r="D1032" t="s">
        <v>3970</v>
      </c>
    </row>
    <row r="1033" spans="1:4" x14ac:dyDescent="0.3">
      <c r="A1033">
        <v>1057</v>
      </c>
      <c r="B1033" s="13">
        <v>45950</v>
      </c>
      <c r="C1033" t="s">
        <v>3971</v>
      </c>
      <c r="D1033" t="s">
        <v>3974</v>
      </c>
    </row>
    <row r="1034" spans="1:4" x14ac:dyDescent="0.3">
      <c r="A1034">
        <v>1058</v>
      </c>
      <c r="B1034" s="13">
        <v>45950</v>
      </c>
      <c r="C1034" t="s">
        <v>2610</v>
      </c>
      <c r="D1034" t="s">
        <v>3975</v>
      </c>
    </row>
    <row r="1035" spans="1:4" x14ac:dyDescent="0.3">
      <c r="A1035">
        <v>1059</v>
      </c>
      <c r="B1035" s="13">
        <v>45950</v>
      </c>
      <c r="C1035" t="s">
        <v>1580</v>
      </c>
      <c r="D1035" t="s">
        <v>3977</v>
      </c>
    </row>
    <row r="1036" spans="1:4" x14ac:dyDescent="0.3">
      <c r="A1036">
        <v>1060</v>
      </c>
      <c r="B1036" s="13">
        <v>45950</v>
      </c>
      <c r="C1036" t="s">
        <v>2410</v>
      </c>
      <c r="D1036" t="s">
        <v>3978</v>
      </c>
    </row>
    <row r="1037" spans="1:4" x14ac:dyDescent="0.3">
      <c r="A1037">
        <v>1061</v>
      </c>
      <c r="B1037" s="13">
        <v>45950</v>
      </c>
      <c r="C1037" t="s">
        <v>3980</v>
      </c>
      <c r="D1037" t="s">
        <v>3981</v>
      </c>
    </row>
    <row r="1038" spans="1:4" x14ac:dyDescent="0.3">
      <c r="A1038">
        <v>1062</v>
      </c>
      <c r="B1038" s="13">
        <v>45950</v>
      </c>
      <c r="C1038" t="s">
        <v>1399</v>
      </c>
      <c r="D1038" t="s">
        <v>3982</v>
      </c>
    </row>
    <row r="1039" spans="1:4" x14ac:dyDescent="0.3">
      <c r="A1039">
        <v>1063</v>
      </c>
      <c r="B1039" s="13">
        <v>45951</v>
      </c>
      <c r="C1039" t="s">
        <v>1473</v>
      </c>
      <c r="D1039" t="s">
        <v>3984</v>
      </c>
    </row>
    <row r="1040" spans="1:4" x14ac:dyDescent="0.3">
      <c r="A1040">
        <v>1064</v>
      </c>
      <c r="B1040" s="13">
        <v>45951</v>
      </c>
      <c r="C1040" t="s">
        <v>3397</v>
      </c>
      <c r="D1040" t="s">
        <v>3985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3986</v>
      </c>
    </row>
    <row r="1042" spans="1:4" x14ac:dyDescent="0.3">
      <c r="A1042">
        <v>1066</v>
      </c>
      <c r="B1042" s="13">
        <v>45951</v>
      </c>
      <c r="C1042" t="s">
        <v>3201</v>
      </c>
      <c r="D1042" t="s">
        <v>3988</v>
      </c>
    </row>
    <row r="1043" spans="1:4" x14ac:dyDescent="0.3">
      <c r="A1043">
        <v>1067</v>
      </c>
      <c r="B1043" s="13">
        <v>45951</v>
      </c>
      <c r="C1043" t="s">
        <v>1747</v>
      </c>
      <c r="D1043" t="s">
        <v>3991</v>
      </c>
    </row>
    <row r="1044" spans="1:4" x14ac:dyDescent="0.3">
      <c r="A1044">
        <v>1068</v>
      </c>
      <c r="B1044" s="13">
        <v>45951</v>
      </c>
      <c r="C1044" t="s">
        <v>1747</v>
      </c>
      <c r="D1044" t="s">
        <v>3992</v>
      </c>
    </row>
    <row r="1045" spans="1:4" x14ac:dyDescent="0.3">
      <c r="A1045">
        <v>1069</v>
      </c>
      <c r="B1045" s="13">
        <v>45951</v>
      </c>
      <c r="C1045" t="s">
        <v>1449</v>
      </c>
      <c r="D1045" t="s">
        <v>3993</v>
      </c>
    </row>
    <row r="1046" spans="1:4" x14ac:dyDescent="0.3">
      <c r="A1046">
        <v>1070</v>
      </c>
      <c r="B1046" s="13">
        <v>45951</v>
      </c>
      <c r="C1046" t="s">
        <v>3932</v>
      </c>
      <c r="D1046" t="s">
        <v>3994</v>
      </c>
    </row>
    <row r="1047" spans="1:4" x14ac:dyDescent="0.3">
      <c r="A1047">
        <v>1071</v>
      </c>
      <c r="B1047" s="13">
        <v>45951</v>
      </c>
      <c r="C1047" t="s">
        <v>1399</v>
      </c>
      <c r="D1047" t="s">
        <v>3998</v>
      </c>
    </row>
    <row r="1048" spans="1:4" x14ac:dyDescent="0.3">
      <c r="A1048">
        <v>1072</v>
      </c>
      <c r="B1048" s="13">
        <v>45951</v>
      </c>
      <c r="C1048" t="s">
        <v>1867</v>
      </c>
      <c r="D1048" t="s">
        <v>4003</v>
      </c>
    </row>
    <row r="1049" spans="1:4" x14ac:dyDescent="0.3">
      <c r="A1049">
        <v>1073</v>
      </c>
      <c r="B1049" s="13">
        <v>45951</v>
      </c>
      <c r="C1049" t="s">
        <v>4004</v>
      </c>
      <c r="D1049" t="s">
        <v>4005</v>
      </c>
    </row>
    <row r="1050" spans="1:4" x14ac:dyDescent="0.3">
      <c r="A1050">
        <v>1074</v>
      </c>
      <c r="B1050" s="13">
        <v>45952</v>
      </c>
      <c r="C1050" t="s">
        <v>4006</v>
      </c>
      <c r="D1050" t="s">
        <v>4012</v>
      </c>
    </row>
    <row r="1051" spans="1:4" x14ac:dyDescent="0.3">
      <c r="A1051">
        <v>1075</v>
      </c>
      <c r="B1051" s="13">
        <v>45952</v>
      </c>
      <c r="C1051" t="s">
        <v>1541</v>
      </c>
      <c r="D1051" t="s">
        <v>4013</v>
      </c>
    </row>
    <row r="1052" spans="1:4" x14ac:dyDescent="0.3">
      <c r="A1052">
        <v>1076</v>
      </c>
      <c r="B1052" s="13">
        <v>45952</v>
      </c>
      <c r="C1052" t="s">
        <v>2558</v>
      </c>
      <c r="D1052" t="s">
        <v>4014</v>
      </c>
    </row>
    <row r="1053" spans="1:4" x14ac:dyDescent="0.3">
      <c r="A1053">
        <v>1077</v>
      </c>
      <c r="B1053" s="13">
        <v>45952</v>
      </c>
      <c r="C1053" t="s">
        <v>3151</v>
      </c>
      <c r="D1053" t="s">
        <v>4015</v>
      </c>
    </row>
    <row r="1054" spans="1:4" x14ac:dyDescent="0.3">
      <c r="A1054">
        <v>1078</v>
      </c>
      <c r="B1054" s="13">
        <v>45952</v>
      </c>
      <c r="C1054" t="s">
        <v>1722</v>
      </c>
      <c r="D1054" t="s">
        <v>4017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4018</v>
      </c>
    </row>
    <row r="1056" spans="1:4" x14ac:dyDescent="0.3">
      <c r="A1056">
        <v>1080</v>
      </c>
      <c r="B1056" s="13">
        <v>45952</v>
      </c>
      <c r="C1056" t="s">
        <v>1467</v>
      </c>
      <c r="D1056" t="s">
        <v>4022</v>
      </c>
    </row>
    <row r="1057" spans="1:4" x14ac:dyDescent="0.3">
      <c r="A1057">
        <v>1081</v>
      </c>
      <c r="B1057" s="13">
        <v>45952</v>
      </c>
      <c r="C1057" t="s">
        <v>2410</v>
      </c>
      <c r="D1057" t="s">
        <v>4023</v>
      </c>
    </row>
    <row r="1058" spans="1:4" x14ac:dyDescent="0.3">
      <c r="A1058">
        <v>1082</v>
      </c>
      <c r="B1058" s="13">
        <v>45952</v>
      </c>
      <c r="C1058" t="s">
        <v>1577</v>
      </c>
      <c r="D1058" t="s">
        <v>4024</v>
      </c>
    </row>
    <row r="1059" spans="1:4" x14ac:dyDescent="0.3">
      <c r="A1059">
        <v>1083</v>
      </c>
      <c r="B1059" s="13">
        <v>45952</v>
      </c>
      <c r="C1059" t="s">
        <v>1870</v>
      </c>
      <c r="D1059" t="s">
        <v>4025</v>
      </c>
    </row>
    <row r="1060" spans="1:4" x14ac:dyDescent="0.3">
      <c r="A1060">
        <v>1084</v>
      </c>
      <c r="B1060" s="13">
        <v>45953</v>
      </c>
      <c r="C1060" t="s">
        <v>1399</v>
      </c>
      <c r="D1060" t="s">
        <v>4026</v>
      </c>
    </row>
    <row r="1061" spans="1:4" x14ac:dyDescent="0.3">
      <c r="A1061">
        <v>1085</v>
      </c>
      <c r="B1061" s="13">
        <v>45953</v>
      </c>
      <c r="C1061" t="s">
        <v>1598</v>
      </c>
      <c r="D1061" t="s">
        <v>4027</v>
      </c>
    </row>
    <row r="1062" spans="1:4" x14ac:dyDescent="0.3">
      <c r="A1062">
        <v>1086</v>
      </c>
      <c r="B1062" s="13">
        <v>45953</v>
      </c>
      <c r="C1062" t="s">
        <v>1444</v>
      </c>
      <c r="D1062" t="s">
        <v>4028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4030</v>
      </c>
    </row>
    <row r="1064" spans="1:4" x14ac:dyDescent="0.3">
      <c r="A1064">
        <v>1088</v>
      </c>
      <c r="B1064" s="13">
        <v>45953</v>
      </c>
      <c r="C1064" t="s">
        <v>1577</v>
      </c>
      <c r="D1064" t="s">
        <v>4031</v>
      </c>
    </row>
    <row r="1065" spans="1:4" x14ac:dyDescent="0.3">
      <c r="A1065">
        <v>1089</v>
      </c>
      <c r="B1065" s="13">
        <v>45953</v>
      </c>
      <c r="C1065" t="s">
        <v>1399</v>
      </c>
      <c r="D1065" t="s">
        <v>4040</v>
      </c>
    </row>
    <row r="1066" spans="1:4" x14ac:dyDescent="0.3">
      <c r="A1066">
        <v>1090</v>
      </c>
      <c r="B1066" s="13">
        <v>45954</v>
      </c>
      <c r="C1066" t="s">
        <v>2704</v>
      </c>
      <c r="D1066" t="s">
        <v>4047</v>
      </c>
    </row>
    <row r="1067" spans="1:4" x14ac:dyDescent="0.3">
      <c r="A1067">
        <v>1091</v>
      </c>
      <c r="B1067" s="13">
        <v>45954</v>
      </c>
      <c r="C1067" t="s">
        <v>1494</v>
      </c>
      <c r="D1067" t="s">
        <v>4048</v>
      </c>
    </row>
    <row r="1068" spans="1:4" x14ac:dyDescent="0.3">
      <c r="A1068">
        <v>1092</v>
      </c>
      <c r="B1068" s="13">
        <v>45954</v>
      </c>
      <c r="C1068" t="s">
        <v>1399</v>
      </c>
      <c r="D1068" t="s">
        <v>4050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195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SUMIF(주문_리스트!C:C,거래처!$B2,주문_리스트!K:K)+SUMIF(주문_리스트!C:C,거래처!B2,주문_리스트!L:L)-1543201</f>
        <v>2749999.6000000015</v>
      </c>
      <c r="I2" s="194"/>
    </row>
    <row r="3" spans="1:1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3644</v>
      </c>
      <c r="E4" t="s">
        <v>3645</v>
      </c>
      <c r="F4" t="s">
        <v>963</v>
      </c>
      <c r="G4" t="s">
        <v>3646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SUMIF(주문_리스트!C:C,거래처!B10,주문_리스트!K:K)+SUMIF(주문_리스트!C:C,거래처!B10,주문_리스트!L:L)</f>
        <v>5400000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34</v>
      </c>
      <c r="G11" t="s">
        <v>3950</v>
      </c>
      <c r="H11" s="194">
        <f>SUMIF(주문_리스트!C:C,거래처!B11,주문_리스트!K:K)+SUMIF(주문_리스트!C:C,거래처!B11,주문_리스트!L:L)+60000</f>
        <v>0</v>
      </c>
      <c r="J11" t="s">
        <v>4032</v>
      </c>
      <c r="K11">
        <v>232</v>
      </c>
    </row>
    <row r="12" spans="1:1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3325</v>
      </c>
      <c r="F13" t="s">
        <v>32</v>
      </c>
      <c r="G13" t="s">
        <v>3315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2503</v>
      </c>
      <c r="E14" t="s">
        <v>3799</v>
      </c>
      <c r="F14" t="s">
        <v>3794</v>
      </c>
      <c r="G14" t="s">
        <v>3800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14878000.199999999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11845000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J21" t="s">
        <v>4032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3389</v>
      </c>
      <c r="E24" t="s">
        <v>3390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3521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3455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SUMIF(주문_리스트!C:C,거래처!B31,주문_리스트!K:K)+SUMIF(주문_리스트!C:C,거래처!B31,주문_리스트!L:L)-1200000</f>
        <v>2400000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1299</v>
      </c>
      <c r="C33" t="s">
        <v>3326</v>
      </c>
      <c r="E33" t="s">
        <v>3327</v>
      </c>
      <c r="F33" t="s">
        <v>3328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3619</v>
      </c>
      <c r="J33" t="s">
        <v>3619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3091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11029000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3808</v>
      </c>
      <c r="F38" t="s">
        <v>32</v>
      </c>
      <c r="G38" t="s">
        <v>1564</v>
      </c>
      <c r="H38" s="194">
        <f>SUMIF(주문_리스트!C:C,거래처!B38,주문_리스트!K:K)+SUMIF(주문_리스트!C:C,거래처!B38,주문_리스트!L:L)</f>
        <v>1979999.9000000004</v>
      </c>
    </row>
    <row r="39" spans="1:10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SUMIF(주문_리스트!C:C,거래처!B39,주문_리스트!K:K)+SUMIF(주문_리스트!C:C,거래처!B39,주문_리스트!L:L)-2200000</f>
        <v>0</v>
      </c>
      <c r="I39" s="52" t="s">
        <v>3761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SUMIF(주문_리스트!C:C,거래처!B43,주문_리스트!K:K)+SUMIF(주문_리스트!C:C,거래처!B43,주문_리스트!L:L)-1600000</f>
        <v>0</v>
      </c>
      <c r="I43" s="52" t="s">
        <v>3521</v>
      </c>
    </row>
    <row r="44" spans="1:10" x14ac:dyDescent="0.3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  <c r="I50" s="52" t="s">
        <v>3868</v>
      </c>
    </row>
    <row r="51" spans="1:11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1300000</v>
      </c>
    </row>
    <row r="54" spans="1:11" x14ac:dyDescent="0.3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SUMIF(주문_리스트!C:C,거래처!B54,주문_리스트!K:K)+SUMIF(주문_리스트!C:C,거래처!B54,주문_리스트!L:L)-4015000</f>
        <v>2305000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4032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SUMIF(주문_리스트!C:C,거래처!B61,주문_리스트!K:K)+SUMIF(주문_리스트!C:C,거래처!B61,주문_리스트!L:L)</f>
        <v>0</v>
      </c>
      <c r="I61" s="52" t="s">
        <v>3999</v>
      </c>
      <c r="J61" t="s">
        <v>3999</v>
      </c>
    </row>
    <row r="62" spans="1:11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3878</v>
      </c>
      <c r="H65" s="194">
        <f>SUMIF(주문_리스트!C:C,거래처!B65,주문_리스트!K:K)+SUMIF(주문_리스트!C:C,거래처!B65,주문_리스트!L:L)</f>
        <v>0</v>
      </c>
      <c r="J65" t="s">
        <v>3897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600000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1500000</v>
      </c>
    </row>
    <row r="73" spans="1:10" x14ac:dyDescent="0.3">
      <c r="A73" s="47">
        <v>72</v>
      </c>
      <c r="B73" t="s">
        <v>1488</v>
      </c>
      <c r="C73" t="s">
        <v>1489</v>
      </c>
      <c r="E73" t="s">
        <v>3793</v>
      </c>
      <c r="F73" t="s">
        <v>3794</v>
      </c>
      <c r="G73" t="s">
        <v>3795</v>
      </c>
      <c r="H73" s="194">
        <f>SUMIF(주문_리스트!C:C,거래처!B73,주문_리스트!K:K)+SUMIF(주문_리스트!C:C,거래처!B73,주문_리스트!L:L)-3100000+1500000</f>
        <v>1100000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3853</v>
      </c>
      <c r="H74" s="194">
        <f>SUMIF(주문_리스트!C:C,거래처!B74,주문_리스트!K:K)+SUMIF(주문_리스트!C:C,거래처!B74,주문_리스트!L:L)-1500000</f>
        <v>1550000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1200000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3999</v>
      </c>
      <c r="J77" t="s">
        <v>3999</v>
      </c>
    </row>
    <row r="78" spans="1:10" x14ac:dyDescent="0.3">
      <c r="A78" s="47">
        <v>77</v>
      </c>
      <c r="B78" t="s">
        <v>1335</v>
      </c>
      <c r="C78" t="s">
        <v>3405</v>
      </c>
      <c r="E78" t="s">
        <v>3406</v>
      </c>
      <c r="F78" t="s">
        <v>963</v>
      </c>
      <c r="G78" t="s">
        <v>3407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4155000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3379</v>
      </c>
      <c r="E82" t="s">
        <v>3380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3090</v>
      </c>
      <c r="K82" t="s">
        <v>3400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4032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3806</v>
      </c>
      <c r="F84" t="s">
        <v>3794</v>
      </c>
      <c r="G84" t="s">
        <v>3807</v>
      </c>
      <c r="H84" s="194">
        <f>SUMIF(주문_리스트!C:C,거래처!B84,주문_리스트!K:K)+SUMIF(주문_리스트!C:C,거래처!B84,주문_리스트!L:L)-1100000</f>
        <v>2140000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SUMIF(주문_리스트!C:C,거래처!B88,주문_리스트!K:K)+SUMIF(주문_리스트!C:C,거래처!B88,주문_리스트!L:L)-3130000</f>
        <v>0</v>
      </c>
      <c r="I88" s="52" t="s">
        <v>3761</v>
      </c>
    </row>
    <row r="89" spans="1:1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SUMIF(주문_리스트!C:C,거래처!B91,주문_리스트!K:K)+SUMIF(주문_리스트!C:C,거래처!B91,주문_리스트!L:L)-700000</f>
        <v>0</v>
      </c>
      <c r="I91" s="52" t="s">
        <v>2947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SUMIF(주문_리스트!C:C,거래처!B92,주문_리스트!K:K)+SUMIF(주문_리스트!C:C,거래처!B92,주문_리스트!L:L)-2089000</f>
        <v>1320000.0999999996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1351</v>
      </c>
      <c r="C95" t="s">
        <v>1813</v>
      </c>
      <c r="E95" t="s">
        <v>3801</v>
      </c>
      <c r="F95" t="s">
        <v>3794</v>
      </c>
      <c r="G95" t="s">
        <v>3802</v>
      </c>
      <c r="H95" s="194">
        <f>SUMIF(주문_리스트!C:C,거래처!B95,주문_리스트!K:K)+SUMIF(주문_리스트!C:C,거래처!B95,주문_리스트!L:L)-715000</f>
        <v>0</v>
      </c>
      <c r="I95" s="52" t="s">
        <v>3569</v>
      </c>
    </row>
    <row r="96" spans="1:11" x14ac:dyDescent="0.3">
      <c r="A96" s="47">
        <v>95</v>
      </c>
      <c r="B96" t="s">
        <v>1352</v>
      </c>
      <c r="C96" t="s">
        <v>3597</v>
      </c>
      <c r="E96" t="s">
        <v>3598</v>
      </c>
      <c r="F96" t="s">
        <v>963</v>
      </c>
      <c r="G96" t="s">
        <v>3599</v>
      </c>
      <c r="H96" s="194">
        <f>SUMIF(주문_리스트!C:C,거래처!B96,주문_리스트!K:K)+SUMIF(주문_리스트!C:C,거래처!B96,주문_리스트!L:L)</f>
        <v>0</v>
      </c>
    </row>
    <row r="97" spans="1:11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2967000</v>
      </c>
    </row>
    <row r="98" spans="1:11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3493</v>
      </c>
      <c r="H99" s="194">
        <f>SUMIF(주문_리스트!C:C,거래처!B99,주문_리스트!K:K)+SUMIF(주문_리스트!C:C,거래처!B99,주문_리스트!L:L)</f>
        <v>0</v>
      </c>
      <c r="K99">
        <v>0</v>
      </c>
    </row>
    <row r="100" spans="1:11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4032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142999.69999999925</v>
      </c>
    </row>
    <row r="102" spans="1:11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G102" t="s">
        <v>3951</v>
      </c>
      <c r="H102" s="194">
        <f>SUMIF(주문_리스트!C:C,거래처!B102,주문_리스트!K:K)+SUMIF(주문_리스트!C:C,거래처!B102,주문_리스트!L:L)</f>
        <v>0</v>
      </c>
      <c r="J102" t="s">
        <v>3899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3849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3128</v>
      </c>
      <c r="C107" t="s">
        <v>3129</v>
      </c>
      <c r="E107" t="s">
        <v>3130</v>
      </c>
      <c r="F107" t="s">
        <v>963</v>
      </c>
      <c r="G107" t="s">
        <v>3131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3895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0</v>
      </c>
      <c r="J109" t="s">
        <v>3901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3619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3903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2863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  <c r="J118" t="s">
        <v>3942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1838</v>
      </c>
      <c r="C126" t="s">
        <v>3097</v>
      </c>
      <c r="E126" t="s">
        <v>3098</v>
      </c>
      <c r="F126" t="s">
        <v>963</v>
      </c>
      <c r="G126" t="s">
        <v>3099</v>
      </c>
      <c r="H126" s="194">
        <v>0</v>
      </c>
    </row>
    <row r="127" spans="1:10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SUMIF(주문_리스트!C:C,거래처!B132,주문_리스트!K:K)+SUMIF(주문_리스트!C:C,거래처!B132,주문_리스트!L:L)</f>
        <v>0</v>
      </c>
      <c r="I132" s="52" t="s">
        <v>3521</v>
      </c>
    </row>
    <row r="133" spans="1:10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3304</v>
      </c>
    </row>
    <row r="135" spans="1:10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SUMIF(주문_리스트!C:C,거래처!B136,주문_리스트!K:K)+SUMIF(주문_리스트!C:C,거래처!B136,주문_리스트!L:L)</f>
        <v>0</v>
      </c>
      <c r="I136" s="52" t="s">
        <v>3619</v>
      </c>
      <c r="J136">
        <v>45</v>
      </c>
    </row>
    <row r="137" spans="1:10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2561</v>
      </c>
      <c r="C148" t="s">
        <v>2562</v>
      </c>
      <c r="E148" t="s">
        <v>3796</v>
      </c>
      <c r="F148" t="s">
        <v>3797</v>
      </c>
      <c r="G148" t="s">
        <v>3798</v>
      </c>
      <c r="H148" s="194">
        <f>SUMIF(주문_리스트!C:C,거래처!B148,주문_리스트!K:K)+SUMIF(주문_리스트!C:C,거래처!B148,주문_리스트!L:L)</f>
        <v>0</v>
      </c>
      <c r="K148" t="s">
        <v>4032</v>
      </c>
    </row>
    <row r="149" spans="1:11" x14ac:dyDescent="0.3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SUMIF(주문_리스트!C:C,거래처!B155,주문_리스트!K:K)+SUMIF(주문_리스트!C:C,거래처!B155,주문_리스트!L:L)</f>
        <v>0</v>
      </c>
      <c r="I155" s="52" t="s">
        <v>3083</v>
      </c>
    </row>
    <row r="156" spans="1:11" x14ac:dyDescent="0.3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3258</v>
      </c>
      <c r="H157" s="194">
        <f>SUMIF(주문_리스트!C:C,거래처!B157,주문_리스트!K:K)+SUMIF(주문_리스트!C:C,거래처!B157,주문_리스트!L:L)</f>
        <v>0</v>
      </c>
      <c r="I157" s="52" t="s">
        <v>3761</v>
      </c>
    </row>
    <row r="158" spans="1:11" x14ac:dyDescent="0.3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2947</v>
      </c>
    </row>
    <row r="165" spans="1:11" x14ac:dyDescent="0.3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SUMIF(주문_리스트!C:C,거래처!B166,주문_리스트!K:K)+SUMIF(주문_리스트!C:C,거래처!B166,주문_리스트!L:L)</f>
        <v>0</v>
      </c>
    </row>
    <row r="167" spans="1:11" x14ac:dyDescent="0.3">
      <c r="A167" s="47">
        <v>166</v>
      </c>
      <c r="B167" t="s">
        <v>3021</v>
      </c>
      <c r="C167" t="s">
        <v>3022</v>
      </c>
      <c r="E167" t="s">
        <v>3023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3029</v>
      </c>
      <c r="C168" t="s">
        <v>3030</v>
      </c>
      <c r="D168" t="s">
        <v>3031</v>
      </c>
      <c r="E168" t="s">
        <v>3032</v>
      </c>
      <c r="F168" t="s">
        <v>976</v>
      </c>
      <c r="G168" t="s">
        <v>3033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3077</v>
      </c>
      <c r="C169" t="s">
        <v>3078</v>
      </c>
      <c r="E169" t="s">
        <v>3079</v>
      </c>
      <c r="F169" t="s">
        <v>976</v>
      </c>
      <c r="G169" t="s">
        <v>3080</v>
      </c>
      <c r="H169" s="194">
        <f>SUMIF(주문_리스트!C:C,거래처!B169,주문_리스트!K:K)+SUMIF(주문_리스트!C:C,거래처!B169,주문_리스트!L:L)</f>
        <v>0</v>
      </c>
      <c r="I169" s="52" t="s">
        <v>3083</v>
      </c>
    </row>
    <row r="170" spans="1:11" x14ac:dyDescent="0.3">
      <c r="A170" s="47">
        <v>169</v>
      </c>
      <c r="B170" t="s">
        <v>3120</v>
      </c>
      <c r="C170" t="s">
        <v>3121</v>
      </c>
      <c r="E170" t="s">
        <v>3122</v>
      </c>
      <c r="F170" t="s">
        <v>963</v>
      </c>
      <c r="G170" t="s">
        <v>3123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3151</v>
      </c>
      <c r="C171" t="s">
        <v>3152</v>
      </c>
      <c r="E171" t="s">
        <v>3153</v>
      </c>
      <c r="F171" t="s">
        <v>976</v>
      </c>
      <c r="G171" t="s">
        <v>3154</v>
      </c>
      <c r="H171" s="194">
        <f>SUMIF(주문_리스트!C:C,거래처!B171,주문_리스트!K:K)+SUMIF(주문_리스트!C:C,거래처!B171,주문_리스트!L:L)</f>
        <v>0</v>
      </c>
      <c r="K171" t="s">
        <v>4032</v>
      </c>
    </row>
    <row r="172" spans="1:11" x14ac:dyDescent="0.3">
      <c r="A172" s="47">
        <v>171</v>
      </c>
      <c r="B172" t="s">
        <v>3183</v>
      </c>
      <c r="C172" t="s">
        <v>3184</v>
      </c>
      <c r="E172" t="s">
        <v>3185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3187</v>
      </c>
      <c r="C173" t="s">
        <v>3188</v>
      </c>
      <c r="E173" t="s">
        <v>3189</v>
      </c>
      <c r="F173" t="s">
        <v>32</v>
      </c>
      <c r="G173" t="s">
        <v>3194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3209</v>
      </c>
      <c r="C174" t="s">
        <v>3210</v>
      </c>
      <c r="E174" t="s">
        <v>3211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3262</v>
      </c>
      <c r="C175" t="s">
        <v>3263</v>
      </c>
      <c r="E175" t="s">
        <v>3264</v>
      </c>
      <c r="F175" t="s">
        <v>1181</v>
      </c>
      <c r="G175" t="s">
        <v>2792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3738</v>
      </c>
      <c r="C176" t="s">
        <v>3739</v>
      </c>
      <c r="E176" t="s">
        <v>3740</v>
      </c>
      <c r="F176" t="s">
        <v>3741</v>
      </c>
      <c r="G176" t="s">
        <v>3740</v>
      </c>
      <c r="H176" s="194">
        <f>SUMIF(주문_리스트!C:C,거래처!B176,주문_리스트!K:K)+SUMIF(주문_리스트!C:C,거래처!B176,주문_리스트!L:L)</f>
        <v>0</v>
      </c>
      <c r="J176" t="s">
        <v>3905</v>
      </c>
    </row>
    <row r="177" spans="1:11" x14ac:dyDescent="0.3">
      <c r="A177" s="47">
        <v>176</v>
      </c>
      <c r="B177" t="s">
        <v>3289</v>
      </c>
      <c r="C177" t="s">
        <v>3290</v>
      </c>
      <c r="E177" t="s">
        <v>3291</v>
      </c>
      <c r="F177" t="s">
        <v>976</v>
      </c>
      <c r="G177" t="s">
        <v>3292</v>
      </c>
      <c r="H177" s="194">
        <f>SUMIF(주문_리스트!C:C,거래처!B177,주문_리스트!K:K)+SUMIF(주문_리스트!C:C,거래처!B177,주문_리스트!L:L)</f>
        <v>0</v>
      </c>
      <c r="K177" t="s">
        <v>3400</v>
      </c>
    </row>
    <row r="178" spans="1:11" x14ac:dyDescent="0.3">
      <c r="A178" s="47">
        <v>177</v>
      </c>
      <c r="B178" t="s">
        <v>3348</v>
      </c>
      <c r="C178" t="s">
        <v>3349</v>
      </c>
      <c r="E178" t="s">
        <v>3350</v>
      </c>
      <c r="F178" t="s">
        <v>3351</v>
      </c>
      <c r="G178" t="s">
        <v>3352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3401</v>
      </c>
      <c r="C179" t="s">
        <v>3402</v>
      </c>
      <c r="E179" t="s">
        <v>3403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4032</v>
      </c>
    </row>
    <row r="180" spans="1:11" x14ac:dyDescent="0.3">
      <c r="A180" s="47">
        <v>179</v>
      </c>
      <c r="B180" t="s">
        <v>3450</v>
      </c>
      <c r="C180" t="s">
        <v>3451</v>
      </c>
      <c r="E180" t="s">
        <v>3452</v>
      </c>
      <c r="F180" t="s">
        <v>3453</v>
      </c>
      <c r="G180" t="s">
        <v>3454</v>
      </c>
      <c r="H180" s="194">
        <f>SUMIF(주문_리스트!C:C,거래처!B180,주문_리스트!K:K)+SUMIF(주문_리스트!C:C,거래처!B180,주문_리스트!L:L)</f>
        <v>0</v>
      </c>
      <c r="J180" t="s">
        <v>3619</v>
      </c>
    </row>
    <row r="181" spans="1:11" x14ac:dyDescent="0.3">
      <c r="A181" s="47">
        <v>180</v>
      </c>
      <c r="B181" t="s">
        <v>3457</v>
      </c>
      <c r="C181" t="s">
        <v>3458</v>
      </c>
      <c r="E181" t="s">
        <v>3459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3461</v>
      </c>
      <c r="C182" t="s">
        <v>3462</v>
      </c>
      <c r="E182" t="s">
        <v>3463</v>
      </c>
      <c r="F182" t="s">
        <v>1181</v>
      </c>
      <c r="G182" t="s">
        <v>2792</v>
      </c>
      <c r="H182" s="194">
        <f>SUMIF(주문_리스트!C:C,거래처!B182,주문_리스트!K:K)+SUMIF(주문_리스트!C:C,거래처!B182,주문_리스트!L:L)</f>
        <v>0</v>
      </c>
      <c r="J182" t="s">
        <v>3761</v>
      </c>
    </row>
    <row r="183" spans="1:11" x14ac:dyDescent="0.3">
      <c r="A183" s="47">
        <v>182</v>
      </c>
      <c r="B183" t="s">
        <v>3763</v>
      </c>
      <c r="C183" t="s">
        <v>3764</v>
      </c>
      <c r="E183" t="s">
        <v>3765</v>
      </c>
      <c r="F183" t="s">
        <v>3766</v>
      </c>
      <c r="G183" t="s">
        <v>3767</v>
      </c>
      <c r="H183" s="194">
        <f>SUMIF(주문_리스트!C:C,거래처!B183,주문_리스트!K:K)+SUMIF(주문_리스트!C:C,거래처!B183,주문_리스트!L:L)</f>
        <v>0</v>
      </c>
      <c r="I183" s="52" t="s">
        <v>3521</v>
      </c>
    </row>
    <row r="184" spans="1:11" x14ac:dyDescent="0.3">
      <c r="A184" s="47">
        <v>183</v>
      </c>
      <c r="B184" t="s">
        <v>3502</v>
      </c>
      <c r="C184" t="s">
        <v>3503</v>
      </c>
      <c r="E184" t="s">
        <v>3507</v>
      </c>
      <c r="F184" t="s">
        <v>973</v>
      </c>
      <c r="H184" s="194">
        <v>0</v>
      </c>
      <c r="I184" s="52" t="s">
        <v>3521</v>
      </c>
    </row>
    <row r="185" spans="1:11" x14ac:dyDescent="0.3">
      <c r="A185" s="47">
        <v>184</v>
      </c>
      <c r="B185" t="s">
        <v>3575</v>
      </c>
      <c r="C185" t="s">
        <v>3576</v>
      </c>
      <c r="E185" t="s">
        <v>3577</v>
      </c>
      <c r="F185" t="s">
        <v>963</v>
      </c>
      <c r="G185" t="s">
        <v>3578</v>
      </c>
      <c r="H185" s="194">
        <f>SUMIF(주문_리스트!C:C,거래처!B185,주문_리스트!K:K)+SUMIF(주문_리스트!C:C,거래처!B185,주문_리스트!L:L)</f>
        <v>0</v>
      </c>
      <c r="J185" t="s">
        <v>3619</v>
      </c>
    </row>
    <row r="186" spans="1:11" x14ac:dyDescent="0.3">
      <c r="A186" s="47">
        <v>185</v>
      </c>
      <c r="B186" t="s">
        <v>3634</v>
      </c>
      <c r="C186" t="s">
        <v>3635</v>
      </c>
      <c r="E186" t="s">
        <v>3636</v>
      </c>
      <c r="F186" t="s">
        <v>1181</v>
      </c>
      <c r="G186" t="s">
        <v>3633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3725</v>
      </c>
      <c r="C187" t="s">
        <v>3726</v>
      </c>
      <c r="E187" t="s">
        <v>3727</v>
      </c>
      <c r="F187" t="s">
        <v>1181</v>
      </c>
      <c r="G187" t="s">
        <v>3728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3821</v>
      </c>
      <c r="C188" t="s">
        <v>3822</v>
      </c>
      <c r="E188" t="s">
        <v>3823</v>
      </c>
      <c r="F188" t="s">
        <v>1181</v>
      </c>
      <c r="G188" t="s">
        <v>3823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189</v>
      </c>
      <c r="B189" t="s">
        <v>3886</v>
      </c>
      <c r="C189" t="s">
        <v>3887</v>
      </c>
      <c r="E189" t="s">
        <v>3888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3907</v>
      </c>
    </row>
    <row r="190" spans="1:11" x14ac:dyDescent="0.3">
      <c r="A190" s="47">
        <v>190</v>
      </c>
      <c r="B190" t="s">
        <v>3915</v>
      </c>
      <c r="C190" t="s">
        <v>3916</v>
      </c>
      <c r="E190" t="s">
        <v>3917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191</v>
      </c>
      <c r="B191" t="s">
        <v>3932</v>
      </c>
      <c r="C191" t="s">
        <v>3933</v>
      </c>
      <c r="E191" t="s">
        <v>3934</v>
      </c>
      <c r="F191" t="s">
        <v>976</v>
      </c>
      <c r="G191" t="s">
        <v>3935</v>
      </c>
      <c r="H191" s="194">
        <f>SUMIF(주문_리스트!C:C,거래처!B191,주문_리스트!K:K)+SUMIF(주문_리스트!C:C,거래처!B191,주문_리스트!L:L)</f>
        <v>1570000</v>
      </c>
    </row>
    <row r="192" spans="1:11" x14ac:dyDescent="0.3">
      <c r="A192" s="47">
        <v>192</v>
      </c>
      <c r="B192" t="s">
        <v>3946</v>
      </c>
      <c r="C192" t="s">
        <v>3947</v>
      </c>
      <c r="E192" t="s">
        <v>3948</v>
      </c>
      <c r="F192" t="s">
        <v>963</v>
      </c>
      <c r="G192" t="s">
        <v>3949</v>
      </c>
      <c r="H192" s="194">
        <f>SUMIF(주문_리스트!C:C,거래처!B192,주문_리스트!K:K)+SUMIF(주문_리스트!C:C,거래처!B192,주문_리스트!L:L)</f>
        <v>0</v>
      </c>
      <c r="J192" t="s">
        <v>2863</v>
      </c>
    </row>
    <row r="193" spans="1:11" x14ac:dyDescent="0.3">
      <c r="A193" s="47">
        <v>193</v>
      </c>
      <c r="B193" t="s">
        <v>3971</v>
      </c>
      <c r="C193" t="s">
        <v>3972</v>
      </c>
      <c r="E193" t="s">
        <v>3973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194</v>
      </c>
      <c r="B194" t="s">
        <v>4007</v>
      </c>
      <c r="C194" t="s">
        <v>4008</v>
      </c>
      <c r="E194" t="s">
        <v>4009</v>
      </c>
      <c r="F194" t="s">
        <v>4010</v>
      </c>
      <c r="G194" t="s">
        <v>4011</v>
      </c>
      <c r="H194" s="194">
        <f>SUMIF(주문_리스트!C:C,거래처!B194,주문_리스트!K:K)+SUMIF(주문_리스트!C:C,거래처!B194,주문_리스트!L:L)</f>
        <v>0</v>
      </c>
      <c r="K194" t="s">
        <v>4032</v>
      </c>
    </row>
    <row r="195" spans="1:11" x14ac:dyDescent="0.3">
      <c r="H195" s="194">
        <f>SUMIF(주문_리스트!C:C,거래처!B195,주문_리스트!K:K)+SUMIF(주문_리스트!C:C,거래처!B195,주문_리스트!L:L)</f>
        <v>0</v>
      </c>
    </row>
    <row r="196" spans="1:11" x14ac:dyDescent="0.3">
      <c r="H196" s="194">
        <f>SUMIF(주문_리스트!C:C,거래처!B196,주문_리스트!K:K)+SUMIF(주문_리스트!C:C,거래처!B196,주문_리스트!L:L)</f>
        <v>0</v>
      </c>
    </row>
    <row r="197" spans="1:11" x14ac:dyDescent="0.3">
      <c r="H197" s="194">
        <f>SUMIF(주문_리스트!C:C,거래처!B197,주문_리스트!K:K)+SUMIF(주문_리스트!C:C,거래처!B197,주문_리스트!L:L)</f>
        <v>0</v>
      </c>
    </row>
    <row r="198" spans="1:11" x14ac:dyDescent="0.3">
      <c r="H198" s="194">
        <f>SUMIF(주문_리스트!C:C,거래처!B198,주문_리스트!K:K)+SUMIF(주문_리스트!C:C,거래처!B198,주문_리스트!L:L)</f>
        <v>0</v>
      </c>
    </row>
    <row r="199" spans="1:11" x14ac:dyDescent="0.3">
      <c r="H199" s="194">
        <f>SUMIF(주문_리스트!C:C,거래처!B199,주문_리스트!K:K)+SUMIF(주문_리스트!C:C,거래처!B199,주문_리스트!L:L)</f>
        <v>0</v>
      </c>
    </row>
    <row r="200" spans="1:11" x14ac:dyDescent="0.3">
      <c r="H200" s="194">
        <f>SUMIF(주문_리스트!C:C,거래처!B200,주문_리스트!K:K)+SUMIF(주문_리스트!C:C,거래처!B200,주문_리스트!L:L)</f>
        <v>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48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252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SUMIF(재고!D:D,제품!D5,재고!F:F)-SUMIF(주문_리스트!E:E,제품!D5,주문_리스트!H:H)</f>
        <v>-5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SUMIF(재고!D:D,제품!D8,재고!F:F)-SUMIF(주문_리스트!E:E,제품!D8,주문_리스트!H:H)</f>
        <v>-51</v>
      </c>
      <c r="I8"/>
    </row>
    <row r="9" spans="1:11" x14ac:dyDescent="0.3">
      <c r="A9">
        <v>8</v>
      </c>
      <c r="B9">
        <v>2</v>
      </c>
      <c r="C9" s="288" t="s">
        <v>3847</v>
      </c>
      <c r="D9" s="288" t="s">
        <v>1140</v>
      </c>
      <c r="E9" s="288" t="s">
        <v>3847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2921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3996</v>
      </c>
      <c r="D15" s="288" t="s">
        <v>1654</v>
      </c>
      <c r="E15" s="288" t="s">
        <v>3996</v>
      </c>
      <c r="F15" s="52">
        <v>1100000</v>
      </c>
      <c r="H15">
        <v>-7</v>
      </c>
      <c r="I15" s="52" t="s">
        <v>3666</v>
      </c>
    </row>
    <row r="16" spans="1:11" x14ac:dyDescent="0.3">
      <c r="A16">
        <v>15</v>
      </c>
      <c r="B16">
        <v>2</v>
      </c>
      <c r="C16" s="288">
        <v>2830506</v>
      </c>
      <c r="D16" s="288" t="s">
        <v>2682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2686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SUMIF(재고!D:D,제품!D23,재고!F:F)-SUMIF(주문_리스트!E:E,제품!D23,주문_리스트!H:H)</f>
        <v>-9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SUMIF(재고!D:D,제품!D24,재고!F:F)-SUMIF(주문_리스트!E:E,제품!D24,주문_리스트!H:H)</f>
        <v>-9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SUMIF(재고!D:D,제품!D26,재고!F:F)-SUMIF(주문_리스트!E:E,제품!D26,주문_리스트!H:H)</f>
        <v>-84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SUMIF(재고!D:D,제품!D28,재고!F:F)-SUMIF(주문_리스트!E:E,제품!D28,주문_리스트!H:H)</f>
        <v>-107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SUMIF(재고!D:D,제품!D29,재고!F:F)-SUMIF(주문_리스트!E:E,제품!D29,주문_리스트!H:H)</f>
        <v>-31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SUMIF(재고!D:D,제품!D30,재고!F:F)-SUMIF(주문_리스트!E:E,제품!D30,주문_리스트!H:H)</f>
        <v>-31</v>
      </c>
    </row>
    <row r="31" spans="1:9" x14ac:dyDescent="0.3">
      <c r="A31">
        <v>30</v>
      </c>
      <c r="B31">
        <v>3</v>
      </c>
      <c r="C31" s="288" t="s">
        <v>1760</v>
      </c>
      <c r="D31" s="288" t="s">
        <v>3465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SUMIF(재고!D:D,제품!D33,재고!F:F)-SUMIF(주문_리스트!E:E,제품!D33,주문_리스트!H:H)</f>
        <v>-19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SUMIF(재고!D:D,제품!D37,재고!F:F)-SUMIF(주문_리스트!E:E,제품!D37,주문_리스트!H:H)</f>
        <v>-12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SUMIF(재고!D:D,제품!D39,재고!F:F)-SUMIF(주문_리스트!E:E,제품!D39,주문_리스트!H:H)</f>
        <v>-34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2720</v>
      </c>
      <c r="D47" s="288" t="s">
        <v>2338</v>
      </c>
      <c r="E47" s="288" t="s">
        <v>2720</v>
      </c>
      <c r="F47" s="52">
        <v>350000</v>
      </c>
      <c r="H47">
        <f>SUMIF(재고!D:D,제품!D47,재고!F:F)-SUMIF(주문_리스트!E:E,제품!D47,주문_리스트!H:H)</f>
        <v>-48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SUMIF(재고!D:D,제품!D49,재고!F:F)-SUMIF(주문_리스트!E:E,제품!D49,주문_리스트!H:H)</f>
        <v>-27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SUMIF(재고!D:D,제품!D56,재고!F:F)-SUMIF(주문_리스트!E:E,제품!D56,주문_리스트!H:H)</f>
        <v>-6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SUMIF(재고!D:D,제품!D57,재고!F:F)-SUMIF(주문_리스트!E:E,제품!D57,주문_리스트!H:H)</f>
        <v>-31</v>
      </c>
    </row>
    <row r="58" spans="1:9" x14ac:dyDescent="0.3">
      <c r="A58">
        <v>57</v>
      </c>
      <c r="B58">
        <v>3</v>
      </c>
      <c r="C58" s="288" t="s">
        <v>2748</v>
      </c>
      <c r="D58" s="288" t="s">
        <v>2206</v>
      </c>
      <c r="E58" s="288" t="s">
        <v>2748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SUMIF(재고!D:D,제품!D59,재고!F:F)-SUMIF(주문_리스트!E:E,제품!D59,주문_리스트!H:H)</f>
        <v>-12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2684</v>
      </c>
      <c r="E61" s="288">
        <v>2820403</v>
      </c>
      <c r="F61" s="52">
        <v>800000</v>
      </c>
      <c r="H61">
        <f>SUMIF(재고!D:D,제품!D61,재고!F:F)-SUMIF(주문_리스트!E:E,제품!D61,주문_리스트!H:H)</f>
        <v>-3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-21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SUMIF(재고!D:D,제품!D66,재고!F:F)-SUMIF(주문_리스트!E:E,제품!D66,주문_리스트!H:H)</f>
        <v>-43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SUMIF(재고!D:D,제품!D67,재고!F:F)-SUMIF(주문_리스트!E:E,제품!D67,주문_리스트!H:H)</f>
        <v>-43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2750</v>
      </c>
      <c r="D85" s="288" t="s">
        <v>2737</v>
      </c>
      <c r="E85" s="288" t="s">
        <v>2750</v>
      </c>
      <c r="F85" s="52">
        <v>129000</v>
      </c>
      <c r="G85" s="52">
        <v>70000</v>
      </c>
      <c r="H85">
        <f>SUMIF(재고!D:D,제품!D85,재고!F:F)-SUMIF(주문_리스트!E:E,제품!D85,주문_리스트!H:H)</f>
        <v>-11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-45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1718</v>
      </c>
      <c r="D90" s="288" t="s">
        <v>4044</v>
      </c>
      <c r="E90" s="288" t="s">
        <v>1718</v>
      </c>
      <c r="F90" s="52">
        <v>250000</v>
      </c>
      <c r="G90" s="52">
        <v>45000</v>
      </c>
      <c r="H90">
        <v>-8</v>
      </c>
      <c r="I90" s="52" t="s">
        <v>4045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SUMIF(재고!D:D,제품!D93,재고!F:F)-SUMIF(주문_리스트!E:E,제품!D93,주문_리스트!H:H)</f>
        <v>-36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SUMIF(재고!D:D,제품!D94,재고!F:F)-SUMIF(주문_리스트!E:E,제품!D94,주문_리스트!H:H)</f>
        <v>-49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2834</v>
      </c>
      <c r="D98" s="288" t="s">
        <v>2498</v>
      </c>
      <c r="E98" s="288" t="s">
        <v>2834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-68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-14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SUMIF(재고!D:D,제품!D104,재고!F:F)-SUMIF(주문_리스트!E:E,제품!D104,주문_리스트!H:H)</f>
        <v>-107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SUMIF(재고!D:D,제품!D109,재고!F:F)-SUMIF(주문_리스트!E:E,제품!D109,주문_리스트!H:H)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2824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-21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SUMIF(재고!D:D,제품!D131,재고!F:F)-SUMIF(주문_리스트!E:E,제품!D131,주문_리스트!H:H)</f>
        <v>-13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SUMIF(재고!D:D,제품!D134,재고!F:F)-SUMIF(주문_리스트!E:E,제품!D134,주문_리스트!H:H)</f>
        <v>-31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3848</v>
      </c>
      <c r="D139" s="288" t="s">
        <v>2685</v>
      </c>
      <c r="E139" s="288" t="s">
        <v>3848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3579</v>
      </c>
      <c r="D140" s="288" t="s">
        <v>2683</v>
      </c>
      <c r="E140" s="288" t="s">
        <v>3579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3997</v>
      </c>
      <c r="D145" s="288" t="s">
        <v>2211</v>
      </c>
      <c r="E145" s="288" t="s">
        <v>3997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3768</v>
      </c>
      <c r="D148" s="288" t="s">
        <v>2683</v>
      </c>
      <c r="E148" s="288" t="s">
        <v>3768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2687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3580</v>
      </c>
      <c r="D152" s="288" t="s">
        <v>2518</v>
      </c>
      <c r="E152" s="288" t="s">
        <v>3580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2694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-21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-1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-21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-21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3070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2667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2887</v>
      </c>
      <c r="D176" s="288" t="s">
        <v>2888</v>
      </c>
      <c r="E176" s="288" t="s">
        <v>2887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2889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2822</v>
      </c>
      <c r="D188" s="288" t="s">
        <v>2823</v>
      </c>
      <c r="E188" s="288" t="s">
        <v>2822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2622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2651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2689</v>
      </c>
      <c r="D192" s="288" t="s">
        <v>2690</v>
      </c>
      <c r="E192" s="288" t="s">
        <v>2689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2712</v>
      </c>
      <c r="D193" s="288" t="s">
        <v>2713</v>
      </c>
      <c r="E193" s="288" t="s">
        <v>2712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2724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2749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2751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2752</v>
      </c>
    </row>
    <row r="197" spans="1:9" x14ac:dyDescent="0.3">
      <c r="A197">
        <v>196</v>
      </c>
      <c r="B197">
        <v>14</v>
      </c>
      <c r="C197" s="288" t="s">
        <v>2842</v>
      </c>
      <c r="D197" s="288" t="s">
        <v>2843</v>
      </c>
      <c r="E197" s="288" t="s">
        <v>2842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2844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2848</v>
      </c>
      <c r="D199" s="288" t="s">
        <v>2850</v>
      </c>
      <c r="E199" s="288" t="s">
        <v>2848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2922</v>
      </c>
      <c r="D200" s="288" t="s">
        <v>2923</v>
      </c>
      <c r="E200" s="288" t="s">
        <v>2922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2884</v>
      </c>
      <c r="D201" s="288" t="s">
        <v>2885</v>
      </c>
      <c r="E201" s="288" t="s">
        <v>2884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2886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2904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2924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3125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3117</v>
      </c>
      <c r="D206" s="288" t="s">
        <v>3535</v>
      </c>
      <c r="E206" s="288" t="s">
        <v>3117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2954</v>
      </c>
      <c r="D207" s="288" t="s">
        <v>2955</v>
      </c>
      <c r="E207" s="288" t="s">
        <v>2954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2958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2987</v>
      </c>
      <c r="D209" s="288" t="s">
        <v>2988</v>
      </c>
      <c r="E209" s="288" t="s">
        <v>2987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3074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2919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3124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-2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3124</v>
      </c>
      <c r="E213" s="288">
        <v>6058008068</v>
      </c>
      <c r="H213">
        <f>SUMIF(재고!D:D,제품!D213,재고!F:F)-SUMIF(주문_리스트!E:E,제품!D213,주문_리스트!H:H)</f>
        <v>-2</v>
      </c>
    </row>
    <row r="214" spans="1:9" x14ac:dyDescent="0.3">
      <c r="A214">
        <v>213</v>
      </c>
      <c r="B214">
        <v>2</v>
      </c>
      <c r="D214" s="288" t="s">
        <v>3133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3166</v>
      </c>
      <c r="D215" s="288" t="s">
        <v>2384</v>
      </c>
      <c r="E215" s="288" t="s">
        <v>3166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3570</v>
      </c>
      <c r="D216" s="288" t="s">
        <v>3571</v>
      </c>
      <c r="E216" s="288" t="s">
        <v>3570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3215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3275</v>
      </c>
      <c r="D218" s="288" t="s">
        <v>3216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3276</v>
      </c>
      <c r="D219" s="288" t="s">
        <v>3273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3274</v>
      </c>
    </row>
    <row r="220" spans="1:9" x14ac:dyDescent="0.3">
      <c r="A220">
        <v>219</v>
      </c>
      <c r="B220">
        <v>4</v>
      </c>
      <c r="C220" s="288" t="s">
        <v>3282</v>
      </c>
      <c r="D220" s="288" t="s">
        <v>3283</v>
      </c>
      <c r="E220" s="288" t="s">
        <v>3282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3311</v>
      </c>
      <c r="D221" s="288" t="s">
        <v>3312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3383</v>
      </c>
      <c r="D222" s="288" t="s">
        <v>3384</v>
      </c>
      <c r="E222" s="288" t="s">
        <v>3383</v>
      </c>
      <c r="H222">
        <f>SUMIF(재고!D:D,제품!D222,재고!F:F)-SUMIF(주문_리스트!E:E,제품!D222,주문_리스트!H:H)</f>
        <v>-1</v>
      </c>
      <c r="I222" s="52" t="s">
        <v>3385</v>
      </c>
    </row>
    <row r="223" spans="1:9" x14ac:dyDescent="0.3">
      <c r="A223">
        <v>222</v>
      </c>
      <c r="B223">
        <v>1</v>
      </c>
      <c r="C223" s="288" t="s">
        <v>3413</v>
      </c>
      <c r="D223" s="288" t="s">
        <v>3414</v>
      </c>
      <c r="E223" s="288" t="s">
        <v>3413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3476</v>
      </c>
      <c r="D225" s="288" t="s">
        <v>3477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3522</v>
      </c>
      <c r="D226" s="288" t="s">
        <v>3221</v>
      </c>
      <c r="E226" s="288" t="s">
        <v>3522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3548</v>
      </c>
      <c r="D227" s="288" t="s">
        <v>3549</v>
      </c>
      <c r="E227" s="288" t="s">
        <v>3548</v>
      </c>
    </row>
    <row r="228" spans="1:8" x14ac:dyDescent="0.3">
      <c r="A228">
        <v>227</v>
      </c>
      <c r="B228">
        <v>3</v>
      </c>
      <c r="D228" s="288" t="s">
        <v>3556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3572</v>
      </c>
      <c r="D229" s="288" t="s">
        <v>3573</v>
      </c>
      <c r="E229" s="288" t="s">
        <v>3572</v>
      </c>
      <c r="H229" s="52">
        <v>0</v>
      </c>
    </row>
    <row r="230" spans="1:8" x14ac:dyDescent="0.3">
      <c r="A230">
        <v>229</v>
      </c>
      <c r="B230">
        <v>3</v>
      </c>
      <c r="D230" s="288" t="s">
        <v>3584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3589</v>
      </c>
      <c r="D231" s="288" t="s">
        <v>3590</v>
      </c>
      <c r="E231" s="288" t="s">
        <v>3589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3592</v>
      </c>
      <c r="D232" s="288" t="s">
        <v>3593</v>
      </c>
      <c r="E232" s="288" t="s">
        <v>3592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3594</v>
      </c>
      <c r="D233" s="288" t="s">
        <v>3584</v>
      </c>
      <c r="E233" s="288" t="s">
        <v>3594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3595</v>
      </c>
      <c r="D234" s="288" t="s">
        <v>3596</v>
      </c>
      <c r="E234" s="288" t="s">
        <v>3595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3630</v>
      </c>
      <c r="D235" s="288" t="s">
        <v>3631</v>
      </c>
      <c r="E235" s="288" t="s">
        <v>3630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3828</v>
      </c>
      <c r="D236" s="288" t="s">
        <v>3829</v>
      </c>
      <c r="E236" s="288" t="s">
        <v>3828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3840</v>
      </c>
      <c r="D237" s="288" t="s">
        <v>3840</v>
      </c>
      <c r="E237" s="288" t="s">
        <v>3841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3854</v>
      </c>
      <c r="E238" s="288" t="s">
        <v>3855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3879</v>
      </c>
      <c r="D239" s="288" t="s">
        <v>3880</v>
      </c>
      <c r="E239" s="288" t="s">
        <v>3879</v>
      </c>
    </row>
    <row r="240" spans="1:8" x14ac:dyDescent="0.3">
      <c r="A240">
        <v>243</v>
      </c>
      <c r="B240">
        <v>4</v>
      </c>
      <c r="C240" s="288" t="s">
        <v>3925</v>
      </c>
      <c r="D240" s="288" t="s">
        <v>3926</v>
      </c>
      <c r="E240" s="288" t="s">
        <v>3925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3958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3963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1207</v>
      </c>
      <c r="D243" s="288" t="s">
        <v>3965</v>
      </c>
      <c r="E243" s="288" t="s">
        <v>1207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3979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3989</v>
      </c>
      <c r="D245" s="288" t="s">
        <v>3990</v>
      </c>
      <c r="E245" s="288" t="s">
        <v>3989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4016</v>
      </c>
      <c r="D246" s="288" t="s">
        <v>2919</v>
      </c>
      <c r="E246" s="288" t="s">
        <v>4016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4019</v>
      </c>
      <c r="D247" s="288" t="s">
        <v>4020</v>
      </c>
      <c r="E247" s="288" t="s">
        <v>4019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4041</v>
      </c>
      <c r="D248" s="288" t="s">
        <v>4042</v>
      </c>
      <c r="E248" s="288" t="s">
        <v>4041</v>
      </c>
      <c r="F248" s="52">
        <v>100000</v>
      </c>
      <c r="G248" s="52">
        <v>45000</v>
      </c>
      <c r="I248" s="52" t="s">
        <v>2225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2921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2682</v>
      </c>
      <c r="E16" s="190">
        <v>2830506</v>
      </c>
    </row>
    <row r="17" spans="1:5" x14ac:dyDescent="0.3">
      <c r="A17">
        <v>16</v>
      </c>
      <c r="D17" s="190" t="s">
        <v>2686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2720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2748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2684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2737</v>
      </c>
      <c r="E86" s="190" t="s">
        <v>2750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2834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2824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2685</v>
      </c>
      <c r="E142" s="190">
        <v>2830406</v>
      </c>
    </row>
    <row r="143" spans="1:5" x14ac:dyDescent="0.3">
      <c r="A143">
        <v>142</v>
      </c>
      <c r="D143" s="190" t="s">
        <v>2683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2687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2667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2888</v>
      </c>
      <c r="E179" s="190" t="s">
        <v>2887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2823</v>
      </c>
      <c r="E191" s="190" t="s">
        <v>2822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2622</v>
      </c>
    </row>
    <row r="194" spans="1:5" x14ac:dyDescent="0.3">
      <c r="A194">
        <v>193</v>
      </c>
      <c r="D194" s="190" t="s">
        <v>2651</v>
      </c>
    </row>
    <row r="195" spans="1:5" x14ac:dyDescent="0.3">
      <c r="A195">
        <v>194</v>
      </c>
      <c r="D195" s="190" t="s">
        <v>2690</v>
      </c>
      <c r="E195" s="190" t="s">
        <v>2689</v>
      </c>
    </row>
    <row r="196" spans="1:5" x14ac:dyDescent="0.3">
      <c r="A196">
        <v>195</v>
      </c>
      <c r="D196" s="190" t="s">
        <v>2713</v>
      </c>
      <c r="E196" s="190" t="s">
        <v>2712</v>
      </c>
    </row>
    <row r="197" spans="1:5" x14ac:dyDescent="0.3">
      <c r="A197">
        <v>196</v>
      </c>
      <c r="D197" s="190" t="s">
        <v>2724</v>
      </c>
    </row>
    <row r="198" spans="1:5" x14ac:dyDescent="0.3">
      <c r="A198">
        <v>197</v>
      </c>
      <c r="D198" s="190" t="s">
        <v>2749</v>
      </c>
      <c r="E198" s="190">
        <v>7252703114</v>
      </c>
    </row>
    <row r="199" spans="1:5" x14ac:dyDescent="0.3">
      <c r="A199">
        <v>198</v>
      </c>
      <c r="D199" s="190" t="s">
        <v>2751</v>
      </c>
      <c r="E199" s="190">
        <v>1094302044</v>
      </c>
    </row>
    <row r="200" spans="1:5" x14ac:dyDescent="0.3">
      <c r="A200">
        <v>199</v>
      </c>
      <c r="D200" s="190" t="s">
        <v>2843</v>
      </c>
      <c r="E200" s="190" t="s">
        <v>2842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2850</v>
      </c>
      <c r="E202" s="190" t="s">
        <v>2848</v>
      </c>
    </row>
    <row r="203" spans="1:5" x14ac:dyDescent="0.3">
      <c r="A203">
        <v>202</v>
      </c>
      <c r="D203" s="190" t="s">
        <v>2923</v>
      </c>
      <c r="E203" s="190" t="s">
        <v>2922</v>
      </c>
    </row>
    <row r="204" spans="1:5" x14ac:dyDescent="0.3">
      <c r="A204">
        <v>203</v>
      </c>
      <c r="D204" s="190" t="s">
        <v>2885</v>
      </c>
      <c r="E204" s="190" t="s">
        <v>2884</v>
      </c>
    </row>
    <row r="205" spans="1:5" x14ac:dyDescent="0.3">
      <c r="A205">
        <v>204</v>
      </c>
      <c r="D205" s="190" t="s">
        <v>2886</v>
      </c>
      <c r="E205" s="190">
        <v>709013001</v>
      </c>
    </row>
    <row r="206" spans="1:5" x14ac:dyDescent="0.3">
      <c r="A206">
        <v>205</v>
      </c>
      <c r="D206" s="190" t="s">
        <v>2904</v>
      </c>
    </row>
    <row r="207" spans="1:5" x14ac:dyDescent="0.3">
      <c r="A207">
        <v>206</v>
      </c>
      <c r="D207" s="190" t="s">
        <v>2924</v>
      </c>
    </row>
    <row r="208" spans="1:5" x14ac:dyDescent="0.3">
      <c r="A208">
        <v>207</v>
      </c>
      <c r="D208" s="190" t="s">
        <v>3125</v>
      </c>
      <c r="E208" s="190">
        <v>6058008117</v>
      </c>
    </row>
    <row r="209" spans="1:5" x14ac:dyDescent="0.3">
      <c r="A209">
        <v>208</v>
      </c>
      <c r="D209" s="190" t="s">
        <v>2940</v>
      </c>
    </row>
    <row r="210" spans="1:5" x14ac:dyDescent="0.3">
      <c r="D210" s="190" t="s">
        <v>2955</v>
      </c>
      <c r="E210" s="190" t="s">
        <v>2954</v>
      </c>
    </row>
    <row r="211" spans="1:5" x14ac:dyDescent="0.3">
      <c r="D211" s="190" t="s">
        <v>2958</v>
      </c>
      <c r="E211" s="190">
        <v>33108841535</v>
      </c>
    </row>
    <row r="212" spans="1:5" x14ac:dyDescent="0.3">
      <c r="D212" s="190" t="s">
        <v>2988</v>
      </c>
      <c r="E212" s="190" t="s">
        <v>2987</v>
      </c>
    </row>
    <row r="213" spans="1:5" x14ac:dyDescent="0.3">
      <c r="D213" s="190" t="s">
        <v>3074</v>
      </c>
    </row>
    <row r="214" spans="1:5" x14ac:dyDescent="0.3">
      <c r="D214" s="190" t="s">
        <v>2919</v>
      </c>
      <c r="E214" s="190">
        <v>2212500301</v>
      </c>
    </row>
    <row r="215" spans="1:5" x14ac:dyDescent="0.3">
      <c r="D215" s="190" t="s">
        <v>3124</v>
      </c>
      <c r="E215" s="190">
        <v>6058008122</v>
      </c>
    </row>
    <row r="216" spans="1:5" x14ac:dyDescent="0.3">
      <c r="D216" s="190" t="s">
        <v>3124</v>
      </c>
      <c r="E216" s="190">
        <v>6058008068</v>
      </c>
    </row>
    <row r="217" spans="1:5" x14ac:dyDescent="0.3">
      <c r="D217" s="190" t="s">
        <v>3133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3035</v>
      </c>
      <c r="J86" s="53" t="s">
        <v>2179</v>
      </c>
      <c r="K86" s="17" t="s">
        <v>3035</v>
      </c>
      <c r="L86" s="17">
        <v>2200000</v>
      </c>
    </row>
    <row r="87" spans="6:12" ht="18" customHeight="1" x14ac:dyDescent="0.3">
      <c r="F87" s="17">
        <v>72</v>
      </c>
      <c r="I87" s="17" t="s">
        <v>3036</v>
      </c>
      <c r="J87" s="53" t="s">
        <v>3048</v>
      </c>
      <c r="K87" s="17" t="s">
        <v>3036</v>
      </c>
      <c r="L87" s="17">
        <v>1500000</v>
      </c>
    </row>
    <row r="88" spans="6:12" ht="18" customHeight="1" x14ac:dyDescent="0.3">
      <c r="F88" s="17">
        <v>73</v>
      </c>
      <c r="I88" s="17" t="s">
        <v>3037</v>
      </c>
      <c r="J88" s="53" t="s">
        <v>2198</v>
      </c>
      <c r="K88" s="17" t="s">
        <v>3037</v>
      </c>
      <c r="L88" s="17">
        <v>50000</v>
      </c>
    </row>
    <row r="89" spans="6:12" ht="18" customHeight="1" x14ac:dyDescent="0.3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3049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3038</v>
      </c>
      <c r="J118" s="53" t="s">
        <v>3050</v>
      </c>
      <c r="K118" s="17" t="s">
        <v>3038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3051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2025-10-25T01:07:35Z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