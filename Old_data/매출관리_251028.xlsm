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9FF670F-2316-42BB-9785-A670358404D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2" i="4" l="1"/>
  <c r="H115" i="4"/>
  <c r="H3" i="4"/>
  <c r="H4" i="4"/>
  <c r="H5" i="4"/>
  <c r="H6" i="4"/>
  <c r="H7" i="4"/>
  <c r="H8" i="4"/>
  <c r="H9" i="4"/>
  <c r="H10" i="4"/>
  <c r="H11" i="4"/>
  <c r="H107" i="4"/>
  <c r="H108" i="4"/>
  <c r="H109" i="4"/>
  <c r="H110" i="4"/>
  <c r="H111" i="4"/>
  <c r="H113" i="4"/>
  <c r="H114" i="4"/>
  <c r="H116" i="4"/>
  <c r="H117" i="4"/>
  <c r="H118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86" i="4" l="1"/>
  <c r="H185" i="4"/>
  <c r="H145" i="4"/>
  <c r="H12" i="4" l="1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<sst xmlns="http://schemas.openxmlformats.org/spreadsheetml/2006/main" count="12719" uniqueCount="4134">
  <si>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</si>
  <si>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</si>
  <si>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</si>
  <si>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</si>
  <si>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</si>
  <si>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</si>
  <si>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</si>
  <si>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</si>
  <si>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</si>
  <si>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</si>
  <si>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</si>
  <si>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</si>
  <si>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</si>
  <si>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</si>
  <si>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</si>
  <si>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</si>
  <si>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</si>
  <si>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</si>
  <si>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</si>
  <si>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</si>
  <si>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</si>
  <si>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</si>
  <si>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</si>
  <si>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</si>
  <si>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</si>
  <si>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</si>
  <si>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</si>
  <si>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</si>
  <si>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</si>
  <si>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</si>
  <si>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</si>
  <si>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</si>
  <si>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</si>
  <si>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</si>
  <si>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</si>
  <si>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</si>
  <si>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</si>
  <si>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</si>
  <si>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</si>
  <si>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</si>
  <si>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</si>
  <si>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</si>
  <si>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</si>
  <si>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</si>
  <si>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</si>
  <si>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</si>
  <si>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</si>
  <si>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</si>
  <si>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</si>
  <si>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</si>
  <si>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</si>
  <si>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</si>
  <si>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</si>
  <si>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</si>
  <si>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</si>
  <si>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</si>
  <si>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</si>
  <si>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</si>
  <si>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</si>
  <si>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</si>
  <si>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</si>
  <si>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</si>
  <si>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</si>
  <si>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</si>
  <si>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</si>
  <si>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</si>
  <si>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</si>
  <si>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</si>
  <si>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</si>
  <si>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</si>
  <si>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</si>
  <si>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</si>
  <si>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</si>
  <si>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</si>
  <si>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</si>
  <si>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</si>
  <si>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</si>
  <si>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</si>
  <si>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</si>
  <si>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</si>
  <si>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</si>
  <si>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</si>
  <si>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</si>
  <si>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</si>
  <si>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</si>
  <si>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</si>
  <si>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</si>
  <si>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</si>
  <si>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</si>
  <si>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</si>
  <si>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</si>
  <si>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</si>
  <si>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</si>
  <si>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</si>
  <si>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</si>
  <si>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</si>
  <si>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</si>
  <si>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</si>
  <si>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</si>
  <si>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</si>
  <si>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</si>
  <si>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</si>
  <si>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</si>
  <si>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</si>
  <si>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</si>
  <si>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</si>
  <si>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</si>
  <si>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</si>
  <si>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</si>
  <si>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</si>
  <si>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</si>
  <si>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</si>
  <si>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</si>
  <si>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</si>
  <si>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</si>
  <si>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</si>
  <si>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</si>
  <si>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</si>
  <si>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</si>
  <si>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</si>
  <si>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</si>
  <si>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</si>
  <si>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</si>
  <si>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</si>
  <si>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</si>
  <si>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</si>
  <si>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</si>
  <si>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</si>
  <si>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</si>
  <si>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</si>
  <si>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</si>
  <si>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</si>
  <si>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</si>
  <si>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</si>
  <si>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</si>
  <si>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</si>
  <si>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</si>
  <si>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</si>
  <si>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</si>
  <si>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</si>
  <si>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</si>
  <si>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</si>
  <si>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</si>
  <si>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</si>
  <si>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</si>
  <si>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</si>
  <si>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</si>
  <si>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</si>
  <si>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</si>
  <si>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</si>
  <si>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</si>
  <si>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</si>
  <si>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</si>
  <si>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</si>
  <si>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</si>
  <si>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</si>
  <si>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</si>
  <si>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</si>
  <si>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</si>
  <si>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</si>
  <si>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</si>
  <si>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</si>
  <si>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</si>
  <si>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</si>
  <si>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</si>
  <si>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</si>
  <si>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</si>
  <si>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</si>
  <si>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</si>
  <si>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</si>
  <si>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</si>
  <si>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</si>
  <si>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</si>
  <si>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</si>
  <si>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</si>
  <si>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</si>
  <si>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</si>
  <si>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</si>
  <si>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</si>
  <si>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</si>
  <si>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</si>
  <si>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</si>
  <si>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</si>
  <si>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</si>
  <si>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</si>
  <si>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</si>
  <si>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</si>
  <si>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</si>
  <si>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</si>
  <si>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</si>
  <si>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</si>
  <si>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</si>
  <si>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</si>
  <si>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</si>
  <si>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</si>
  <si>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</si>
  <si>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</si>
  <si>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</si>
  <si>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</si>
  <si>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</si>
  <si>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</si>
  <si>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</si>
  <si>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</si>
  <si>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</si>
  <si>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</si>
  <si>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</si>
  <si>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</si>
  <si>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</si>
  <si>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</si>
  <si>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</si>
  <si>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</si>
  <si>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</si>
  <si>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</si>
  <si>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</si>
  <si>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</si>
  <si>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</si>
  <si>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</si>
  <si>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</si>
  <si>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</si>
  <si>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</si>
  <si>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</si>
  <si>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</si>
  <si>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</si>
  <si>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</si>
  <si>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</si>
  <si>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</si>
  <si>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</si>
  <si>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</si>
  <si>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</si>
  <si>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</si>
  <si>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</si>
  <si>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</si>
  <si>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</si>
  <si>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</si>
  <si>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</si>
  <si>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</si>
  <si>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</si>
  <si>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</si>
  <si>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</si>
  <si>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</si>
  <si>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</si>
  <si>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</si>
  <si>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</si>
  <si>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</si>
  <si>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</si>
  <si>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</si>
  <si>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</si>
  <si>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</si>
  <si>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</si>
  <si>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</si>
  <si>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</si>
  <si>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</si>
  <si>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</si>
  <si>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</si>
  <si>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</si>
  <si>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</si>
  <si>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</si>
  <si>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</si>
  <si>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</si>
  <si>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</si>
  <si>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</si>
  <si>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</si>
  <si>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</si>
  <si>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</si>
  <si>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</si>
  <si>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</si>
  <si>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</si>
  <si>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</si>
  <si>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</si>
  <si>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</si>
  <si>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</si>
  <si>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</si>
  <si>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</si>
  <si>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</si>
  <si>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</si>
  <si>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</si>
  <si>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</si>
  <si>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</si>
  <si>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</si>
  <si>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</si>
  <si>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</si>
  <si>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</si>
  <si>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</si>
  <si>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</si>
  <si>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</si>
  <si>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</si>
  <si>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</si>
  <si>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</si>
  <si>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</si>
  <si>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</si>
  <si>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</si>
  <si>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</si>
  <si>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</si>
  <si>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</si>
  <si>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</si>
  <si>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</si>
  <si>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</si>
  <si>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</si>
  <si>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</si>
  <si>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</si>
  <si>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</si>
  <si>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</si>
  <si>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</si>
  <si>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</si>
  <si>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</si>
  <si>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</si>
  <si>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</si>
  <si>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</si>
  <si>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</si>
  <si>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</si>
  <si>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</si>
  <si>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</si>
  <si>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</si>
  <si>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</si>
  <si>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</si>
  <si>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</si>
  <si>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</si>
  <si>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</si>
  <si>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</si>
  <si>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</si>
  <si>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</si>
  <si>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</si>
  <si>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</si>
  <si>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</si>
  <si>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</si>
  <si>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</si>
  <si>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</si>
  <si>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</si>
  <si>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</si>
  <si>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</si>
  <si>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</si>
  <si>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</si>
  <si>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</si>
  <si>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</si>
  <si>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</si>
  <si>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</si>
  <si>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</si>
  <si>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</si>
  <si>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</si>
  <si>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</si>
  <si>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</si>
  <si>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</si>
  <si>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</si>
  <si>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</si>
  <si>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</si>
  <si>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</si>
  <si>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</si>
  <si>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</si>
  <si>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</si>
  <si>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</si>
  <si>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</si>
  <si>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</si>
  <si>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</si>
  <si>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</si>
  <si>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</si>
  <si>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</si>
  <si>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</si>
  <si>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</si>
  <si>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</si>
  <si>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</si>
  <si>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</si>
  <si>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</si>
  <si>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</si>
  <si>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</si>
  <si>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</si>
  <si>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</si>
  <si>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</si>
  <si>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</si>
  <si>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</si>
  <si>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</si>
  <si>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</si>
  <si>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</si>
  <si>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</si>
  <si>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</si>
  <si>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</si>
  <si>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</si>
  <si>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</si>
  <si>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</si>
  <si>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</si>
  <si>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</si>
  <si>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</si>
  <si>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</si>
  <si>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</si>
  <si>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</si>
  <si>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</si>
  <si>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</si>
  <si>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</si>
  <si>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</si>
  <si>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</si>
  <si>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</si>
  <si>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</si>
  <si>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</si>
  <si>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</si>
  <si>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</si>
  <si>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</si>
  <si>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</si>
  <si>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</si>
  <si>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</si>
  <si>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</si>
  <si>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</si>
  <si>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</si>
  <si>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</si>
  <si>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</si>
  <si>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</si>
  <si>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</si>
  <si>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</si>
  <si>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</si>
  <si>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</si>
  <si>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</si>
  <si>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</si>
  <si>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</si>
  <si>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</si>
  <si>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</si>
  <si>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</si>
  <si>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</si>
  <si>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</si>
  <si>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</si>
  <si>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</si>
  <si>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</si>
  <si>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</si>
  <si>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</si>
  <si>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</si>
  <si>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</si>
  <si>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</si>
  <si>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</si>
  <si>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</si>
  <si>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</si>
  <si>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</si>
  <si>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</si>
  <si>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</si>
  <si>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</si>
  <si>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</si>
  <si>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</si>
  <si>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</si>
  <si>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</si>
  <si>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</si>
  <si>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</si>
  <si>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</si>
  <si>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</si>
  <si>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</si>
  <si>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</si>
  <si>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</si>
  <si>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</si>
  <si>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</si>
  <si>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</si>
  <si>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</si>
  <si>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</si>
  <si>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</si>
  <si>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</si>
  <si>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</si>
  <si>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</si>
  <si>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</si>
  <si>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</si>
  <si>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</si>
  <si>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</si>
  <si>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</si>
  <si>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</si>
  <si>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</si>
  <si>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</si>
  <si>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</si>
  <si>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</si>
  <si>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</si>
  <si>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</si>
  <si>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</si>
  <si>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</si>
  <si>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</si>
  <si>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</si>
  <si>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</si>
  <si>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</si>
  <si>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</si>
  <si>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</si>
  <si>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</si>
  <si>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</si>
  <si>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</si>
  <si>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</si>
  <si>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</si>
  <si>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</si>
  <si>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</si>
  <si>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</si>
  <si>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</si>
  <si>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</si>
  <si>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</si>
  <si>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</si>
  <si>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</si>
  <si>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</si>
  <si>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</si>
  <si>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</si>
  <si>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</si>
  <si>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</si>
  <si>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</si>
  <si>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</si>
  <si>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</si>
  <si>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</si>
  <si>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</si>
  <si>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</si>
  <si>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</si>
  <si>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</si>
  <si>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</si>
  <si>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</si>
  <si>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</si>
  <si>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</si>
  <si>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</si>
  <si>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</si>
  <si>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</si>
  <si>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</si>
  <si>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</si>
  <si>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</si>
  <si>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</si>
  <si>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</si>
  <si>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</si>
  <si>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</si>
  <si>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</si>
  <si>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</si>
  <si>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</si>
  <si>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</si>
  <si>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</si>
  <si>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</si>
  <si>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</si>
  <si>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</si>
  <si>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</si>
  <si>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</si>
  <si>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</si>
  <si>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</si>
  <si>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</si>
  <si>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</si>
  <si>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</si>
  <si>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</si>
  <si>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</si>
  <si>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</si>
  <si>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</si>
  <si>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</si>
  <si>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</si>
  <si>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</si>
  <si>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</si>
  <si>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</si>
  <si>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</si>
  <si>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</si>
  <si>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</si>
  <si>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</si>
  <si>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</si>
  <si>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</si>
  <si>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</si>
  <si>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</si>
  <si>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</si>
  <si>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</si>
  <si>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</si>
  <si>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</si>
  <si>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</si>
  <si>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</si>
  <si>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</si>
  <si>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</si>
  <si>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</si>
  <si>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</si>
  <si>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</si>
  <si>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</si>
  <si>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</si>
  <si>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</si>
  <si>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</si>
  <si>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</si>
  <si>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</si>
  <si>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</si>
  <si>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</si>
  <si>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</si>
  <si>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</si>
  <si>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</si>
  <si>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</si>
  <si>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</si>
  <si>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</si>
  <si>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</si>
  <si>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</si>
  <si>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</si>
  <si>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</si>
  <si>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</si>
  <si>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</si>
  <si>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</si>
  <si>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</si>
  <si>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</si>
  <si>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</si>
  <si>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</si>
  <si>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</si>
  <si>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</si>
  <si>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</si>
  <si>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</si>
  <si>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</si>
  <si>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</si>
  <si>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</si>
  <si>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</si>
  <si>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</si>
  <si>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</si>
  <si>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</si>
  <si>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</si>
  <si>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</si>
  <si>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</si>
  <si>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</si>
  <si>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</si>
  <si>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</si>
  <si>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</si>
  <si>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</si>
  <si>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</si>
  <si>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</si>
  <si>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</si>
  <si>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</si>
  <si>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</si>
  <si>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</si>
  <si>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</si>
  <si>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</si>
  <si>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</si>
  <si>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</si>
  <si>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</si>
  <si>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</si>
  <si>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</si>
  <si>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</si>
  <si>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</si>
  <si>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</si>
  <si>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</si>
  <si>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</si>
  <si>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</si>
  <si>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</si>
  <si>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</si>
  <si>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</si>
  <si>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</si>
  <si>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</si>
  <si>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</si>
  <si>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</si>
  <si>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</si>
  <si>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</si>
  <si>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</si>
  <si>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</si>
  <si>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</si>
  <si>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</si>
  <si>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</si>
  <si>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</si>
  <si>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</si>
  <si>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</si>
  <si>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</si>
  <si>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</si>
  <si>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</si>
  <si>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</si>
  <si>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</si>
  <si>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</si>
  <si>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</si>
  <si>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</si>
  <si>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</si>
  <si>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</si>
  <si>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</si>
  <si>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</si>
  <si>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</si>
  <si>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</si>
  <si>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</si>
  <si>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</si>
  <si>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</si>
  <si>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</si>
  <si>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</si>
  <si>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</si>
  <si>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</si>
  <si>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</si>
  <si>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</si>
  <si>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</si>
  <si>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</si>
  <si>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</si>
  <si>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</si>
  <si>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</si>
  <si>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</si>
  <si>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</si>
  <si>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</si>
  <si>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</si>
  <si>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</si>
  <si>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</si>
  <si>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</si>
  <si>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</si>
  <si>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</si>
  <si>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</si>
  <si>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</si>
  <si>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</si>
  <si>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</si>
  <si>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</si>
  <si>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</si>
  <si>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</si>
  <si>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</si>
  <si>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</si>
  <si>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</si>
  <si>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</si>
  <si>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</si>
  <si>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</si>
  <si>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</si>
  <si>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</si>
  <si>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</si>
  <si>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</si>
  <si>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</si>
  <si>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</si>
  <si>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</si>
  <si>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</si>
  <si>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</si>
  <si>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</si>
  <si>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</si>
  <si>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</si>
  <si>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</si>
  <si>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</si>
  <si>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</si>
  <si>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</si>
  <si>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</si>
  <si>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</si>
  <si>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</si>
  <si>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</si>
  <si>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</si>
  <si>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</si>
  <si>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</si>
  <si>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</si>
  <si>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</si>
  <si>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</si>
  <si>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</si>
  <si>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</si>
  <si>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</si>
  <si>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</si>
  <si>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</si>
  <si>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</si>
  <si>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</si>
  <si>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</si>
  <si>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</si>
  <si>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</si>
  <si>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</si>
  <si>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</si>
  <si>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</si>
  <si>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</si>
  <si>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</si>
  <si>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</si>
  <si>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</si>
  <si>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</si>
  <si>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</si>
  <si>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</si>
  <si>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</si>
  <si>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</si>
  <si>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</si>
  <si>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</si>
  <si>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</si>
  <si>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</si>
  <si>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</si>
  <si>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</si>
  <si>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</si>
  <si>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</si>
  <si>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</si>
  <si>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</si>
  <si>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</si>
  <si>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</si>
  <si>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</si>
  <si>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</si>
  <si>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</si>
  <si>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</si>
  <si>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</si>
  <si>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</si>
  <si>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</si>
  <si>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</si>
  <si>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</si>
  <si>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</si>
  <si>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</si>
  <si>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</si>
  <si>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</si>
  <si>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</si>
  <si>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</si>
  <si>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</si>
  <si>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</si>
  <si>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</si>
  <si>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</si>
  <si>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</si>
  <si>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</si>
  <si>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</si>
  <si>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</si>
  <si>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</si>
  <si>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</si>
  <si>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</si>
  <si>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</si>
  <si>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</si>
  <si>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</si>
  <si>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</si>
  <si>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</si>
  <si>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</si>
  <si>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</si>
  <si>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</si>
  <si>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</si>
  <si>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</si>
  <si>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</si>
  <si>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</si>
  <si>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</si>
  <si>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</si>
  <si>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</si>
  <si>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</si>
  <si>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</si>
  <si>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</si>
  <si>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</si>
  <si>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</si>
  <si>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</si>
  <si>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</si>
  <si>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</si>
  <si>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</si>
  <si>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</si>
  <si>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</si>
  <si>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</si>
  <si>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</si>
  <si>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</si>
  <si>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</si>
  <si>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</si>
  <si>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</si>
  <si>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</si>
  <si>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</si>
  <si>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</si>
  <si>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</si>
  <si>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</si>
  <si>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</si>
  <si>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</si>
  <si>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</si>
  <si>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</si>
  <si>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</si>
  <si>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</si>
  <si>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</si>
  <si>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</si>
  <si>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</si>
  <si>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</si>
  <si>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</si>
  <si>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</si>
  <si>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</si>
  <si>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</si>
  <si>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</si>
  <si>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</si>
  <si>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</si>
  <si>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</si>
  <si>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</si>
  <si>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</si>
  <si>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</si>
  <si>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</si>
  <si>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</si>
  <si>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</si>
  <si>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</si>
  <si>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</si>
  <si>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</si>
  <si>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</si>
  <si>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</si>
  <si>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</si>
  <si>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</si>
  <si>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</si>
  <si>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</si>
  <si>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</si>
  <si>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</si>
  <si>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</si>
  <si>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</si>
  <si>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</si>
  <si>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</si>
  <si>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</si>
  <si>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</si>
  <si>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</si>
  <si>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</si>
  <si>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</si>
  <si>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</si>
  <si>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</si>
  <si>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</si>
  <si>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</si>
  <si>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</si>
  <si>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</si>
  <si>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</si>
  <si>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</si>
  <si>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</si>
  <si>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</si>
  <si>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</si>
  <si>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</si>
  <si>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</si>
  <si>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</si>
  <si>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</si>
  <si>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</si>
  <si>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</si>
  <si>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</si>
  <si>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</si>
  <si>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</si>
  <si>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</si>
  <si>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</si>
  <si>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</si>
  <si>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</si>
  <si>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</si>
  <si>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</si>
  <si>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</si>
  <si>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</si>
  <si>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</si>
  <si>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</si>
  <si>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</si>
  <si>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</si>
  <si>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</si>
  <si>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</si>
  <si>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</si>
  <si>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</si>
  <si>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</si>
  <si>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</si>
  <si>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</si>
  <si>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</si>
  <si>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</si>
  <si>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</si>
  <si>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</si>
  <si>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</si>
  <si>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</si>
  <si>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</si>
  <si>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</si>
  <si>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</si>
  <si>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</si>
  <si>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</si>
  <si>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</si>
  <si>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</si>
  <si>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</si>
  <si>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</si>
  <si>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</si>
  <si>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</si>
  <si>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</si>
  <si>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</si>
  <si>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</si>
  <si>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</si>
  <si>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</si>
  <si>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</si>
  <si>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</si>
  <si>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</si>
  <si>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</si>
  <si>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</si>
  <si>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</si>
  <si>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</si>
  <si>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</si>
  <si>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</si>
  <si>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</si>
  <si>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</si>
  <si>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</si>
  <si>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</si>
  <si>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</si>
  <si>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</si>
  <si>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</si>
  <si>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</si>
  <si>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</si>
  <si>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</si>
  <si>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</si>
  <si>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</si>
  <si>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</si>
  <si>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</si>
  <si>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</si>
  <si>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</si>
  <si>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</si>
  <si>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</si>
  <si>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</si>
  <si>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</si>
  <si>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</si>
  <si>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</si>
  <si>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</si>
  <si>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</si>
  <si>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</si>
  <si>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</si>
  <si>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</si>
  <si>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</si>
  <si>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</si>
  <si>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</si>
  <si>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</si>
  <si>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</si>
  <si>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</si>
  <si>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</si>
  <si>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</si>
  <si>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</si>
  <si>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</si>
  <si>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</si>
  <si>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</si>
  <si>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</si>
  <si>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</si>
  <si>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</si>
  <si>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</si>
  <si>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</si>
  <si>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</si>
  <si>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</si>
  <si>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</si>
  <si>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</si>
  <si>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</si>
  <si>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</si>
  <si>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</si>
  <si>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</si>
  <si>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</si>
  <si>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</si>
  <si>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</si>
  <si>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</si>
  <si>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</si>
  <si>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</si>
  <si>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</si>
  <si>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</si>
  <si>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</si>
  <si>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</si>
  <si>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</si>
  <si>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</si>
  <si>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</si>
  <si>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</si>
  <si>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</si>
  <si>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</si>
  <si>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</si>
  <si>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</si>
  <si>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</si>
  <si>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</si>
  <si>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</si>
  <si>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</si>
  <si>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</si>
  <si>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</si>
  <si>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</si>
  <si>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</si>
  <si>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</si>
  <si>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</si>
  <si>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</si>
  <si>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</si>
  <si>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</si>
  <si>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</si>
  <si>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</si>
  <si>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</si>
  <si>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</si>
  <si>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</si>
  <si>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</si>
  <si>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</si>
  <si>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</si>
  <si>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</si>
  <si>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</si>
  <si>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</si>
  <si>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</si>
  <si>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</si>
  <si>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</si>
  <si>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</si>
  <si>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</si>
  <si>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</si>
  <si>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</si>
  <si>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</si>
  <si>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</si>
  <si>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</si>
  <si>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</si>
  <si>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</si>
  <si>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</si>
  <si>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</si>
  <si>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</si>
  <si>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</si>
  <si>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</si>
  <si>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</si>
  <si>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</si>
  <si>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</si>
  <si>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</si>
  <si>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</si>
  <si>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</si>
  <si>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</si>
  <si>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</si>
  <si>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</si>
  <si>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</si>
  <si>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</si>
  <si>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</si>
  <si>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</si>
  <si>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</si>
  <si>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</si>
  <si>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</si>
  <si>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</si>
  <si>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</si>
  <si>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</si>
  <si>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</si>
  <si>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</si>
  <si>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</si>
  <si>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</si>
  <si>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</si>
  <si>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</si>
  <si>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</si>
  <si>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</si>
  <si>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</si>
  <si>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</si>
  <si>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</si>
  <si>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</si>
  <si>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</si>
  <si>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</si>
  <si>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</si>
  <si>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</si>
  <si>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</si>
  <si>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</si>
  <si>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</si>
  <si>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</si>
  <si>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</si>
  <si>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</si>
  <si>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</si>
  <si>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</si>
  <si>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</si>
  <si>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</si>
  <si>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</si>
  <si>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</si>
  <si>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</si>
  <si>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</si>
  <si>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</si>
  <si>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</si>
  <si>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</si>
  <si>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</si>
  <si>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</si>
  <si>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</si>
  <si>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</si>
  <si>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</si>
  <si>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</si>
  <si>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</si>
  <si>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</si>
  <si>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</si>
  <si>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</si>
  <si>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</si>
  <si>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</si>
  <si>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</si>
  <si>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</si>
  <si>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</si>
  <si>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</si>
  <si>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</si>
  <si>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</si>
  <si>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</si>
  <si>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</si>
  <si>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</si>
  <si>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</si>
  <si>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</si>
  <si>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</si>
  <si>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</si>
  <si>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</si>
  <si>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</si>
  <si>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</si>
  <si>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</si>
  <si>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</si>
  <si>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</si>
  <si>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</si>
  <si>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</si>
  <si>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</si>
  <si>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</si>
  <si>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</si>
  <si>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</si>
  <si>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</si>
  <si>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</si>
  <si>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</si>
  <si>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</si>
  <si>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</si>
  <si>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</si>
  <si>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</si>
  <si>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</si>
  <si>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</si>
  <si>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</si>
  <si>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</si>
  <si>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</si>
  <si>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</si>
  <si>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</si>
  <si>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</si>
  <si>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</si>
  <si>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</si>
  <si>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</si>
  <si>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</si>
  <si>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</si>
  <si>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</si>
  <si>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</si>
  <si>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</si>
  <si>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</si>
  <si>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</si>
  <si>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</si>
  <si>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</si>
  <si>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</si>
  <si>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</si>
  <si>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</si>
  <si>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</si>
  <si>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</si>
  <si>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</si>
  <si>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</si>
  <si>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</si>
  <si>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</si>
  <si>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</si>
  <si>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</si>
  <si>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</si>
  <si>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</si>
  <si>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</si>
  <si>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</si>
  <si>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</si>
  <si>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</si>
  <si>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</si>
  <si>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</si>
  <si>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</si>
  <si>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</si>
  <si>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</si>
  <si>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</si>
  <si>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</si>
  <si>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</si>
  <si>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</si>
  <si>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</si>
  <si>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</si>
  <si>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</si>
  <si>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</si>
  <si>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</si>
  <si>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</si>
  <si>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</si>
  <si>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</si>
  <si>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</si>
  <si>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</si>
  <si>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</si>
  <si>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</si>
  <si>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</si>
  <si>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</si>
  <si>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</si>
  <si>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</si>
  <si>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</si>
  <si>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</si>
  <si>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</si>
  <si>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</si>
  <si>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</si>
  <si>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</si>
  <si>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</si>
  <si>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</si>
  <si>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</si>
  <si>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</si>
  <si>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</si>
  <si>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</si>
  <si>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</si>
  <si>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</si>
  <si>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</si>
  <si>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</si>
  <si>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</si>
  <si>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</si>
  <si>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</si>
  <si>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</si>
  <si>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</si>
  <si>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</si>
  <si>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</si>
  <si>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</si>
  <si>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</si>
  <si>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</si>
  <si>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</si>
  <si>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</si>
  <si>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</si>
  <si>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</si>
  <si>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</si>
  <si>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</si>
  <si>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</si>
  <si>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</si>
  <si>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</si>
  <si>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</si>
  <si>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</si>
  <si>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</si>
  <si>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</si>
  <si>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</si>
  <si>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</si>
  <si>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</si>
  <si>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</si>
  <si>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</si>
  <si>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</si>
  <si>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</si>
  <si>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</si>
  <si>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</si>
  <si>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</si>
  <si>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</si>
  <si>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</si>
  <si>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</si>
  <si>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</si>
  <si>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</si>
  <si>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</si>
  <si>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</si>
  <si>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</si>
  <si>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</si>
  <si>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</si>
  <si>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</si>
  <si>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</si>
  <si>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</si>
  <si>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</si>
  <si>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</si>
  <si>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</si>
  <si>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</si>
  <si>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</si>
  <si>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</si>
  <si>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</si>
  <si>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</si>
  <si>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</si>
  <si>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</si>
  <si>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</si>
  <si>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</si>
  <si>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</si>
  <si>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</si>
  <si>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</si>
  <si>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</si>
  <si>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</si>
  <si>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</si>
  <si>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</si>
  <si>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</si>
  <si>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</si>
  <si>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</si>
  <si>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</si>
  <si>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</si>
  <si>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</si>
  <si>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</si>
  <si>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</si>
  <si>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</si>
  <si>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</si>
  <si>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</si>
  <si>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</si>
  <si>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</si>
  <si>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</si>
  <si>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</si>
  <si>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</si>
  <si>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</si>
  <si>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</si>
  <si>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</si>
  <si>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</si>
  <si>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</si>
  <si>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</si>
  <si>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</si>
  <si>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</si>
  <si>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</si>
  <si>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</si>
  <si>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</si>
  <si>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</si>
  <si>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</si>
  <si>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</si>
  <si>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</si>
  <si>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</si>
  <si>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</si>
  <si>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</si>
  <si>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</si>
  <si>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</si>
  <si>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</si>
  <si>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</si>
  <si>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</si>
  <si>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</si>
  <si>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</si>
  <si>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</si>
  <si>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</si>
  <si>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</si>
  <si>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</si>
  <si>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</si>
  <si>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</si>
  <si>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</si>
  <si>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</si>
  <si>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</si>
  <si>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</si>
  <si>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</si>
  <si>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</si>
  <si>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</si>
  <si>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</si>
  <si>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</si>
  <si>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</si>
  <si>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</si>
  <si>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</si>
  <si>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</si>
  <si>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</si>
  <si>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</si>
  <si>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</si>
  <si>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</si>
  <si>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</si>
  <si>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</si>
  <si>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</si>
  <si>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</si>
  <si>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</si>
  <si>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</si>
  <si>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</si>
  <si>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</si>
  <si>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</si>
  <si>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</si>
  <si>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</si>
  <si>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</si>
  <si>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</si>
  <si>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</si>
  <si>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</si>
  <si>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</si>
  <si>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</si>
  <si>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</si>
  <si>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</si>
  <si>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</si>
  <si>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</si>
  <si>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</si>
  <si>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</si>
  <si>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</si>
  <si>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</si>
  <si>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</si>
  <si>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</si>
  <si>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</si>
  <si>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</si>
  <si>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</si>
  <si>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</si>
  <si>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</si>
  <si>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</si>
  <si>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</si>
  <si>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</si>
  <si>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</si>
  <si>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</si>
  <si>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</si>
  <si>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</si>
  <si>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</si>
  <si>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</si>
  <si>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</si>
  <si>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</si>
  <si>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</si>
  <si>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</si>
  <si>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</si>
  <si>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</si>
  <si>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</si>
  <si>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</si>
  <si>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</si>
  <si>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</si>
  <si>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</si>
  <si>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</si>
  <si>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</si>
  <si>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</si>
  <si>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</si>
  <si>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</si>
  <si>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</si>
  <si>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</si>
  <si>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</si>
  <si>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</si>
  <si>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</si>
  <si>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</si>
  <si>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</si>
  <si>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</si>
  <si>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</si>
  <si>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</si>
  <si>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</si>
  <si>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</si>
  <si>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</si>
  <si>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</si>
  <si>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</si>
  <si>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</si>
  <si>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</si>
  <si>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</si>
  <si>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</si>
  <si>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</si>
  <si>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</si>
  <si>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</si>
  <si>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</si>
  <si>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</si>
  <si>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</si>
  <si>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</si>
  <si>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</si>
  <si>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</si>
  <si>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</si>
  <si>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</si>
  <si>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</si>
  <si>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</si>
  <si>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</si>
  <si>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</si>
  <si>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</si>
  <si>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</si>
  <si>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</si>
  <si>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</si>
  <si>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</si>
  <si>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</si>
  <si>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</si>
  <si>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</si>
  <si>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</si>
  <si>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</si>
  <si>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</si>
  <si>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</si>
  <si>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</si>
  <si>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</si>
  <si>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</si>
  <si>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</si>
  <si>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</si>
  <si>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</si>
  <si>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</si>
  <si>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</si>
  <si>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</si>
  <si>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</si>
  <si>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</si>
  <si>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</si>
  <si>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</si>
  <si>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</si>
  <si>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</si>
  <si>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</si>
  <si>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</si>
  <si>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</si>
  <si>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</si>
  <si>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</si>
  <si>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</si>
  <si>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</si>
  <si>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</si>
  <si>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</si>
  <si>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</si>
  <si>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</si>
  <si>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</si>
  <si>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</si>
  <si>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</si>
  <si>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</si>
  <si>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</si>
  <si>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</si>
  <si>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</si>
  <si>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</si>
  <si>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</si>
  <si>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</si>
  <si>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</si>
  <si>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</si>
  <si>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</si>
  <si>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</si>
  <si>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</si>
  <si>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</si>
  <si>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</si>
  <si>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</si>
  <si>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</si>
  <si>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</si>
  <si>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</si>
  <si>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</si>
  <si>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</si>
  <si>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</si>
  <si>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</si>
  <si>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</si>
  <si>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</si>
  <si>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</si>
  <si>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</si>
  <si>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</si>
  <si>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</si>
  <si>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</si>
  <si>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</si>
  <si>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</si>
  <si>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</si>
  <si>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</si>
  <si>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</si>
  <si>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</si>
  <si>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</si>
  <si>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</si>
  <si>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</si>
  <si>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</si>
  <si>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</si>
  <si>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</si>
  <si>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</si>
  <si>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</si>
  <si>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</si>
  <si>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</si>
  <si>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</si>
  <si>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</si>
  <si>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</si>
  <si>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</si>
  <si>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</si>
  <si>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</si>
  <si>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</si>
  <si>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</si>
  <si>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</si>
  <si>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</si>
  <si>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</si>
  <si>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</si>
  <si>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</si>
  <si>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</si>
  <si>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</si>
  <si>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</si>
  <si>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</si>
  <si>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</si>
  <si>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</si>
  <si>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</si>
  <si>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</si>
  <si>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</si>
  <si>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</si>
  <si>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</si>
  <si>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</si>
  <si>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</si>
  <si>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</si>
  <si>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</si>
  <si>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</si>
  <si>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</si>
  <si>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</si>
  <si>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</si>
  <si>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</si>
  <si>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</si>
  <si>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</si>
  <si>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</si>
  <si>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</si>
  <si>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</si>
  <si>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</si>
  <si>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</si>
  <si>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</si>
  <si>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</si>
  <si>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</si>
  <si>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</si>
  <si>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</si>
  <si>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</si>
  <si>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</si>
  <si>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</si>
  <si>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</si>
  <si>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</si>
  <si>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</si>
  <si>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</si>
  <si>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</si>
  <si>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</si>
  <si>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</si>
  <si>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</si>
  <si>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</si>
  <si>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</si>
  <si>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</si>
  <si>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</si>
  <si>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</si>
  <si>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</si>
  <si>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</si>
  <si>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</si>
  <si>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</si>
  <si>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</si>
  <si>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</si>
  <si>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</si>
  <si>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</si>
  <si>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</si>
  <si>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</si>
  <si>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</si>
  <si>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</si>
  <si>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</si>
  <si>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</si>
  <si>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</si>
  <si>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</si>
  <si>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</si>
  <si>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</si>
  <si>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</si>
  <si>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</si>
  <si>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</si>
  <si>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</si>
  <si>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</si>
  <si>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</si>
  <si>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</si>
  <si>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</si>
  <si>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</si>
  <si>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</si>
  <si>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</si>
  <si>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</si>
  <si>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</si>
  <si>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</si>
  <si>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</si>
  <si>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</si>
  <si>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</si>
  <si>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</si>
  <si>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</si>
  <si>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</si>
  <si>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</si>
  <si>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</si>
  <si>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</si>
  <si>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</si>
  <si>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</si>
  <si>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</si>
  <si>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</si>
  <si>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</si>
  <si>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</si>
  <si>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</si>
  <si>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</si>
  <si>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</si>
  <si>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</si>
  <si>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</si>
  <si>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</si>
  <si>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</si>
  <si>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</si>
  <si>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</si>
  <si>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</si>
  <si>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</si>
  <si>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</si>
  <si>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</si>
  <si>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</si>
  <si>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</si>
  <si>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</si>
  <si>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</si>
  <si>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</si>
  <si>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</si>
  <si>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</si>
  <si>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</si>
  <si>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</si>
  <si>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</si>
  <si>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</si>
  <si>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</si>
  <si>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</si>
  <si>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</si>
  <si>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</si>
  <si>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</si>
  <si>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</si>
  <si>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</si>
  <si>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</si>
  <si>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</si>
  <si>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</si>
  <si>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</si>
  <si>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</si>
  <si>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</si>
  <si>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</si>
  <si>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</si>
  <si>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</si>
  <si>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</si>
  <si>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</si>
  <si>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</si>
  <si>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</si>
  <si>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</si>
  <si>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</si>
  <si>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</si>
  <si>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</si>
  <si>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</si>
  <si>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</si>
  <si>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</si>
  <si>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</si>
  <si>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</si>
  <si>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</si>
  <si>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</si>
  <si>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</si>
  <si>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</si>
  <si>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</si>
  <si>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</si>
  <si>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</si>
  <si>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</si>
  <si>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</si>
  <si>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</si>
  <si>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</si>
  <si>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</si>
  <si>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</si>
  <si>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</si>
  <si>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</si>
  <si>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</si>
  <si>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</si>
  <si>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</si>
  <si>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</si>
  <si>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</si>
  <si>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</si>
  <si>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</si>
  <si>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</si>
  <si>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</si>
  <si>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</si>
  <si>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</si>
  <si>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</si>
  <si>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</si>
  <si>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</si>
  <si>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</si>
  <si>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</si>
  <si>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</si>
  <si>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</si>
  <si>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</si>
  <si>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</si>
  <si>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</si>
  <si>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</si>
  <si>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</si>
  <si>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</si>
  <si>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</si>
  <si>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</si>
  <si>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</si>
  <si>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</si>
  <si>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</si>
  <si>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</si>
  <si>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</si>
  <si>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</si>
  <si>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</si>
  <si>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</si>
  <si>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</si>
  <si>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</si>
  <si>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</si>
  <si>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</si>
  <si>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</si>
  <si>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</si>
  <si>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</si>
  <si>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</si>
  <si>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</si>
  <si>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</si>
  <si>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</si>
  <si>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</si>
  <si>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</si>
  <si>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</si>
  <si>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</si>
  <si>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</si>
  <si>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</si>
  <si>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</si>
  <si>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</si>
  <si>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</si>
  <si>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</si>
  <si>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</si>
  <si>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</si>
  <si>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</si>
  <si>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</si>
  <si>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</si>
  <si>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</si>
  <si>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</si>
  <si>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</si>
  <si>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</si>
  <si>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</si>
  <si>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</si>
  <si>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</si>
  <si>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</si>
  <si>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</si>
  <si>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</si>
  <si>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</si>
  <si>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</si>
  <si>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</si>
  <si>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</si>
  <si>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</si>
  <si>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</si>
  <si>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</si>
  <si>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</si>
  <si>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</si>
  <si>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</si>
  <si>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</si>
  <si>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</si>
  <si>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</si>
  <si>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</si>
  <si>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</si>
  <si>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</si>
  <si>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</si>
  <si>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</si>
  <si>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</si>
  <si>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</si>
  <si>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</si>
  <si>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</si>
  <si>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</si>
  <si>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</si>
  <si>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</si>
  <si>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</si>
  <si>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</si>
  <si>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</si>
  <si>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</si>
  <si>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</si>
  <si>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</si>
  <si>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</si>
  <si>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</si>
  <si>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</si>
  <si>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</si>
  <si>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</si>
  <si>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</si>
  <si>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</si>
  <si>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</si>
  <si>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</si>
  <si>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</si>
  <si>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</si>
  <si>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</si>
  <si>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</si>
  <si>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</si>
  <si>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</si>
  <si>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</si>
  <si>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</si>
  <si>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</si>
  <si>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</si>
  <si>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</si>
  <si>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</si>
  <si>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</si>
  <si>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</si>
  <si>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</si>
  <si>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</si>
  <si>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</si>
  <si>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</si>
  <si>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</si>
  <si>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</si>
  <si>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</si>
  <si>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</si>
  <si>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</si>
  <si>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</si>
  <si>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</si>
  <si>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</si>
  <si>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</si>
  <si>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</si>
  <si>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</si>
  <si>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</si>
  <si>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</si>
  <si>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</si>
  <si>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</si>
  <si>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</si>
  <si>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</si>
  <si>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</si>
  <si>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</si>
  <si>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</si>
  <si>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</si>
  <si>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</si>
  <si>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</si>
  <si>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</si>
  <si>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</si>
  <si>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</si>
  <si>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</si>
  <si>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</si>
  <si>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</si>
  <si>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</si>
  <si>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</si>
  <si>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</si>
  <si>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</si>
  <si>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</si>
  <si>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</si>
  <si>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</si>
  <si>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</si>
  <si>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</si>
  <si>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</si>
  <si>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</si>
  <si>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</si>
  <si>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</si>
  <si>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</si>
  <si>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</si>
  <si>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</si>
  <si>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</si>
  <si>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</si>
  <si>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</si>
  <si>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</si>
  <si>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</si>
  <si>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</si>
  <si>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</si>
  <si>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</si>
  <si>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</si>
  <si>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</si>
  <si>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</si>
  <si>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</si>
  <si>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</si>
  <si>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</si>
  <si>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</si>
  <si>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</si>
  <si>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</si>
  <si>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</si>
  <si>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</si>
  <si>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</si>
  <si>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</si>
  <si>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</si>
  <si>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</si>
  <si>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</si>
  <si>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</si>
  <si>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</si>
  <si>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</si>
  <si>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</si>
  <si>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</si>
  <si>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</si>
  <si>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</si>
  <si>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</si>
  <si>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</si>
  <si>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</si>
  <si>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</si>
  <si>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</si>
  <si>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</si>
  <si>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</si>
  <si>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</si>
  <si>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</si>
  <si>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</si>
  <si>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</si>
  <si>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</si>
  <si>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</si>
  <si>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</si>
  <si>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</si>
  <si>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</si>
  <si>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</si>
  <si>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</si>
  <si>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</si>
  <si>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</si>
  <si>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</si>
  <si>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</si>
  <si>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</si>
  <si>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</si>
  <si>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</si>
  <si>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</si>
  <si>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</si>
  <si>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</si>
  <si>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</si>
  <si>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</si>
  <si>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</si>
  <si>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</si>
  <si>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</si>
  <si>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</si>
  <si>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</si>
  <si>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</si>
  <si>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</si>
  <si>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</si>
  <si>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</si>
  <si>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</si>
  <si>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</si>
  <si>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</si>
  <si>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</si>
  <si>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</si>
  <si>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</si>
  <si>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</si>
  <si>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</si>
  <si>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</si>
  <si>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</si>
  <si>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</si>
  <si>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</si>
  <si>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</si>
  <si>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</si>
  <si>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</si>
  <si>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</si>
  <si>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</si>
  <si>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</si>
  <si>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</si>
  <si>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</si>
  <si>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</si>
  <si>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</si>
  <si>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</si>
  <si>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</si>
  <si>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</si>
  <si>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</si>
  <si>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</si>
  <si>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</si>
  <si>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</si>
  <si>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</si>
  <si>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</si>
  <si>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</si>
  <si>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</si>
  <si>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</si>
  <si>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</si>
  <si>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</si>
  <si>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</si>
  <si>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</si>
  <si>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</si>
  <si>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</si>
  <si>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</si>
  <si>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</si>
  <si>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</si>
  <si>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</si>
  <si>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</si>
  <si>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</si>
  <si>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</si>
  <si>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</si>
  <si>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</si>
  <si>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</si>
  <si>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</si>
  <si>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</si>
  <si>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</si>
  <si>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</si>
  <si>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</si>
  <si>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</si>
  <si>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</si>
  <si>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</si>
  <si>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</si>
  <si>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</si>
  <si>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</si>
  <si>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</si>
  <si>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</si>
  <si>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</si>
  <si>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</si>
  <si>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</si>
  <si>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</si>
  <si>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</si>
  <si>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</si>
  <si>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</si>
  <si>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</si>
  <si>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</si>
  <si>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</si>
  <si>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</si>
  <si>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</si>
  <si>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</si>
  <si>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</si>
  <si>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</si>
  <si>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</si>
  <si>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</si>
  <si>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</si>
  <si>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</si>
  <si>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</si>
  <si>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</si>
  <si>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</si>
  <si>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</si>
  <si>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</si>
  <si>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</si>
  <si>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</si>
  <si>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</si>
  <si>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</si>
  <si>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</si>
  <si>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</si>
  <si>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</si>
  <si>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</si>
  <si>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</si>
  <si>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</si>
  <si>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</si>
  <si>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</si>
  <si>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</si>
  <si>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</si>
  <si>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</si>
  <si>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</si>
  <si>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</si>
  <si>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</si>
  <si>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</si>
  <si>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</si>
  <si>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</si>
  <si>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</si>
  <si>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</si>
  <si>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</si>
  <si>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</si>
  <si>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</si>
  <si>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</si>
  <si>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</si>
  <si>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</si>
  <si>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</si>
  <si>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</si>
  <si>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</si>
  <si>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</si>
  <si>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</si>
  <si>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</si>
  <si>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</si>
  <si>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</si>
  <si>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</si>
  <si>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</si>
  <si>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</si>
  <si>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</si>
  <si>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</si>
  <si>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</si>
  <si>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</si>
  <si>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</si>
  <si>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</si>
  <si>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</si>
  <si>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</si>
  <si>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</si>
  <si>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</si>
  <si>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</si>
  <si>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</si>
  <si>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</si>
  <si>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</si>
  <si>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</si>
  <si>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</si>
  <si>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</si>
  <si>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</si>
  <si>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</si>
  <si>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</si>
  <si>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</si>
  <si>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</si>
  <si>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</si>
  <si>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</si>
  <si>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</si>
  <si>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</si>
  <si>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</si>
  <si>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</si>
  <si>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</si>
  <si>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</si>
  <si>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</si>
  <si>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</si>
  <si>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</si>
  <si>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</si>
  <si>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</si>
  <si>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</si>
  <si>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</si>
  <si>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</si>
  <si>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</si>
  <si>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</si>
  <si>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</si>
  <si>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</si>
  <si>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</si>
  <si>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</si>
  <si>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</si>
  <si>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</si>
  <si>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</si>
  <si>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</si>
  <si>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</si>
  <si>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</si>
  <si>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</si>
  <si>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</si>
  <si>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</si>
  <si>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</si>
  <si>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</si>
  <si>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</si>
  <si>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</si>
  <si>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</si>
  <si>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</si>
  <si>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</si>
  <si>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</si>
  <si>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</si>
  <si>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</si>
  <si>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</si>
  <si>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</si>
  <si>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</si>
  <si>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</si>
  <si>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</si>
  <si>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</si>
  <si>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</si>
  <si>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</si>
  <si>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</si>
  <si>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</si>
  <si>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</si>
  <si>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</si>
  <si>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</si>
  <si>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</si>
  <si>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</si>
  <si>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</si>
  <si>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</si>
  <si>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</si>
  <si>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</si>
  <si>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</si>
  <si>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</si>
  <si>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</si>
  <si>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</si>
  <si>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</si>
  <si>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</si>
  <si>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</si>
  <si>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</si>
  <si>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</si>
  <si>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</si>
  <si>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</si>
  <si>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</si>
  <si>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</si>
  <si>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</si>
  <si>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</si>
  <si>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</si>
  <si>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</si>
  <si>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</si>
  <si>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</si>
  <si>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</si>
  <si>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</si>
  <si>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</si>
  <si>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</si>
  <si>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</si>
  <si>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</si>
  <si>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</si>
  <si>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</si>
  <si>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</si>
  <si>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</si>
  <si>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</si>
  <si>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</si>
  <si>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</si>
  <si>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</si>
  <si>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</si>
  <si>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</si>
  <si>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</si>
  <si>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</si>
  <si>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</si>
  <si>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</si>
  <si>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</si>
  <si>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</si>
  <si>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</si>
  <si>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</si>
  <si>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</si>
  <si>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</si>
  <si>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</si>
  <si>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</si>
  <si>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</si>
  <si>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</si>
  <si>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</si>
  <si>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</si>
  <si>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</si>
  <si>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</si>
  <si>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</si>
  <si>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</si>
  <si>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</si>
  <si>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</si>
  <si>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</si>
  <si>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</si>
  <si>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</si>
  <si>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</si>
  <si>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</si>
  <si>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</si>
  <si>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</si>
  <si>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</si>
  <si>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</si>
  <si>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</si>
  <si>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</si>
  <si>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</si>
  <si>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</si>
  <si>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</si>
  <si>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</si>
  <si>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</si>
  <si>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</si>
  <si>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</si>
  <si>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</si>
  <si>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</si>
  <si>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</si>
  <si>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</si>
  <si>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</si>
  <si>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</si>
  <si>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</si>
  <si>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</si>
  <si>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</si>
  <si>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</si>
  <si>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</si>
  <si>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</si>
  <si>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</si>
  <si>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</si>
  <si>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</si>
  <si>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</si>
  <si>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</si>
  <si>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</si>
  <si>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</si>
  <si>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</si>
  <si>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</si>
  <si>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</si>
  <si>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</si>
  <si>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</si>
  <si>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</si>
  <si>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</si>
  <si>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</si>
  <si>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</si>
  <si>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</si>
  <si>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</si>
  <si>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</si>
  <si>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</si>
  <si>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</si>
  <si>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</si>
  <si>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</si>
  <si>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</si>
  <si>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</si>
  <si>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</si>
  <si>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</si>
  <si>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</si>
  <si>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</si>
  <si>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</si>
  <si>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</si>
  <si>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</si>
  <si>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</si>
  <si>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</si>
  <si>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</si>
  <si>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</si>
  <si>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</si>
  <si>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</si>
  <si>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</si>
  <si>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</si>
  <si>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</si>
  <si>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</si>
  <si>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</si>
  <si>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</si>
  <si>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</si>
  <si>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</si>
  <si>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</si>
  <si>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</si>
  <si>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</si>
  <si>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</si>
  <si>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</si>
  <si>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</si>
  <si>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</si>
  <si>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</si>
  <si>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</si>
  <si>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</si>
  <si>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</si>
  <si>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</si>
  <si>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</si>
  <si>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</si>
  <si>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</si>
  <si>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</si>
  <si>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</si>
  <si>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</si>
  <si>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</si>
  <si>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</si>
  <si>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</si>
  <si>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</si>
  <si>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</si>
  <si>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</si>
  <si>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</si>
  <si>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</si>
  <si>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</si>
  <si>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</si>
  <si>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</si>
  <si>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</si>
  <si>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</si>
  <si>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</si>
  <si>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</si>
  <si>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</si>
  <si>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</si>
  <si>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</si>
  <si>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</si>
  <si>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</si>
  <si>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</si>
  <si>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</si>
  <si>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</si>
  <si>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</si>
  <si>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</si>
  <si>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</si>
  <si>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</si>
  <si>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</si>
  <si>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</si>
  <si>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</si>
  <si>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</si>
  <si>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</si>
  <si>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</si>
  <si>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</si>
  <si>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</si>
  <si>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</si>
  <si>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</si>
  <si>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</si>
  <si>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</si>
  <si>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</si>
  <si>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</si>
  <si>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</si>
  <si>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</si>
  <si>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</si>
  <si>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</si>
  <si>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</si>
  <si>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</si>
  <si>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</si>
  <si>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</si>
  <si>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</si>
  <si>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</si>
  <si>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</si>
  <si>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</si>
  <si>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</si>
  <si>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</si>
  <si>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</si>
  <si>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</si>
  <si>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</si>
  <si>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</si>
  <si>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</si>
  <si>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</si>
  <si>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</si>
  <si>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</si>
  <si>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</si>
  <si>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</si>
  <si>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</si>
  <si>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</si>
  <si>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</si>
  <si>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</si>
  <si>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</si>
  <si>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</si>
  <si>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</si>
  <si>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</si>
  <si>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</si>
  <si>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</si>
  <si>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</si>
  <si>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</si>
  <si>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</si>
  <si>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</si>
  <si>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</si>
  <si>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</si>
  <si>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</si>
  <si>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</si>
  <si>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</si>
  <si>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</si>
  <si>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</si>
  <si>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</si>
  <si>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</si>
  <si>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</si>
  <si>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</si>
  <si>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</si>
  <si>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</si>
  <si>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</si>
  <si>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</si>
  <si>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</si>
  <si>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</si>
  <si>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</si>
  <si>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</si>
  <si>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</si>
  <si>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</si>
  <si>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</si>
  <si>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</si>
  <si>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</si>
  <si>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</si>
  <si>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</si>
  <si>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</si>
  <si>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</si>
  <si>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</si>
  <si>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</si>
  <si>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</si>
  <si>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</si>
  <si>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</si>
  <si>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</si>
  <si>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</si>
  <si>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</si>
  <si>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</si>
  <si>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</si>
  <si>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</si>
  <si>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</si>
  <si>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</si>
  <si>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</si>
  <si>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</si>
  <si>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</si>
  <si>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</si>
  <si>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</si>
  <si>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</si>
  <si>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</si>
  <si>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</si>
  <si>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</si>
  <si>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</si>
  <si>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</si>
  <si>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</si>
  <si>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</si>
  <si>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</si>
  <si>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</si>
  <si>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</si>
  <si>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</si>
  <si>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</si>
  <si>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</si>
  <si>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</si>
  <si>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</si>
  <si>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</si>
  <si>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</si>
  <si>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</si>
  <si>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</si>
  <si>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</si>
  <si>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</si>
  <si>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</si>
  <si>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</si>
  <si>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</si>
  <si>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</si>
  <si>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</si>
  <si>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</si>
  <si>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</si>
  <si>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</si>
  <si>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</si>
  <si>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</si>
  <si>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</si>
  <si>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</si>
  <si>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</si>
  <si>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</si>
  <si>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</si>
  <si>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</si>
  <si>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</si>
  <si>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</si>
  <si>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</si>
  <si>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</si>
  <si>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</si>
  <si>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</si>
  <si>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</si>
  <si>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</si>
  <si>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</si>
  <si>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</si>
  <si>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</si>
  <si>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</si>
  <si>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</si>
  <si>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</si>
  <si>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</si>
  <si>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</si>
  <si>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</si>
  <si>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</si>
  <si>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</si>
  <si>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</si>
  <si>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</si>
  <si>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</si>
  <si>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</si>
  <si>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</si>
  <si>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</si>
  <si>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</si>
  <si>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</si>
  <si>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</si>
  <si>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</si>
  <si>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</si>
  <si>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</si>
  <si>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</si>
  <si>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</si>
  <si>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</si>
  <si>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</si>
  <si>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</si>
  <si>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</si>
  <si>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</si>
  <si>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</si>
  <si>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</si>
  <si>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</si>
  <si>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</si>
  <si>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</si>
  <si>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</si>
  <si>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</si>
  <si>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</si>
  <si>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</si>
  <si>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</si>
  <si>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</si>
  <si>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</si>
  <si>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</si>
  <si>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</si>
  <si>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</si>
  <si>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</si>
  <si>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</si>
  <si>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</si>
  <si>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</si>
  <si>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</si>
  <si>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</si>
  <si>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</si>
  <si>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</si>
  <si>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</si>
  <si>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</si>
  <si>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</si>
  <si>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</si>
  <si>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</si>
  <si>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</si>
  <si>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</si>
  <si>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</si>
  <si>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</si>
  <si>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</si>
  <si>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</si>
  <si>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</si>
  <si>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</si>
  <si>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</si>
  <si>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</si>
  <si>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</si>
  <si>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</si>
  <si>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</si>
  <si>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</si>
  <si>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</si>
  <si>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</si>
  <si>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</si>
  <si>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</si>
  <si>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</si>
  <si>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</si>
  <si>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</si>
  <si>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</si>
  <si>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</si>
  <si>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</si>
  <si>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</si>
  <si>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</si>
  <si>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</si>
  <si>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</si>
  <si>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</si>
  <si>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</si>
  <si>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</si>
  <si>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</si>
  <si>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</si>
  <si>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</si>
  <si>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</si>
  <si>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</si>
  <si>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</si>
  <si>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</si>
  <si>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</si>
  <si>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</si>
  <si>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</si>
  <si>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</si>
  <si>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</si>
  <si>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</si>
  <si>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</si>
  <si>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</si>
  <si>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</si>
  <si>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</si>
  <si>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</si>
  <si>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</si>
  <si>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</si>
  <si>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</si>
  <si>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</si>
  <si>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</si>
  <si>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</si>
  <si>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</si>
  <si>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</si>
  <si>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</si>
  <si>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</si>
  <si>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</si>
  <si>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</si>
  <si>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</si>
  <si>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</si>
  <si>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</si>
  <si>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</si>
  <si>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</si>
  <si>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</si>
  <si>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</si>
  <si>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</si>
  <si>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</si>
  <si>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</si>
  <si>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</si>
  <si>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</si>
  <si>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</si>
  <si>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</si>
  <si>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</si>
  <si>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</si>
  <si>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</si>
  <si>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</si>
  <si>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</si>
  <si>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</si>
  <si>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</si>
  <si>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</si>
  <si>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</si>
  <si>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</si>
  <si>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</si>
  <si>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</si>
  <si>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</si>
  <si>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</si>
  <si>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</si>
  <si>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</si>
  <si>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</si>
  <si>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</si>
  <si>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</si>
  <si>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</si>
  <si>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</si>
  <si>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</si>
  <si>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</si>
  <si>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</si>
  <si>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</si>
  <si>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</si>
  <si>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</si>
  <si>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</si>
  <si>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</si>
  <si>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</si>
  <si>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</si>
  <si>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</si>
  <si>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</si>
  <si>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</si>
  <si>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</si>
  <si>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</si>
  <si>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</si>
  <si>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</si>
  <si>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</si>
  <si>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</si>
  <si>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</si>
  <si>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</si>
  <si>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</si>
  <si>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</si>
  <si>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</si>
  <si>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</si>
  <si>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</si>
  <si>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</si>
  <si>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</si>
  <si>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</si>
  <si>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</si>
  <si>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</si>
  <si>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</si>
  <si>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</si>
  <si>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</si>
  <si>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</si>
  <si>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</si>
  <si>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</si>
  <si>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</si>
  <si>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</si>
  <si>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</si>
  <si>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</si>
  <si>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</si>
  <si>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</si>
  <si>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</si>
  <si>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</si>
  <si>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</si>
  <si>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</si>
  <si>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</si>
  <si>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</si>
  <si>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</si>
  <si>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</si>
  <si>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</si>
  <si>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</si>
  <si>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</si>
  <si>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</si>
  <si>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</si>
  <si>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</si>
  <si>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</si>
  <si>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</si>
  <si>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</si>
  <si>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</si>
  <si>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</si>
  <si>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</si>
  <si>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</si>
  <si>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</si>
  <si>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</si>
  <si>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</si>
  <si>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</si>
  <si>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</si>
  <si>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</si>
  <si>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</si>
  <si>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</si>
  <si>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</si>
  <si>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</si>
  <si>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</si>
  <si>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</si>
  <si>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</si>
  <si>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</si>
  <si>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</si>
  <si>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</si>
  <si>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</si>
  <si>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</si>
  <si>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</si>
  <si>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</si>
  <si>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</si>
  <si>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</si>
  <si>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</si>
  <si>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</si>
  <si>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</si>
  <si>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</si>
  <si>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</si>
  <si>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</si>
  <si>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</si>
  <si>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</si>
  <si>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</si>
  <si>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</si>
  <si>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</si>
  <si>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</si>
  <si>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</si>
  <si>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</si>
  <si>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</si>
  <si>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</si>
  <si>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</si>
  <si>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</si>
  <si>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</si>
  <si>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</si>
  <si>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</si>
  <si>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</si>
  <si>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</si>
  <si>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</si>
  <si>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</si>
  <si>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</si>
  <si>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</si>
  <si>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</si>
  <si>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</si>
  <si>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</si>
  <si>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</si>
  <si>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</si>
  <si>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</si>
  <si>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</si>
  <si>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</si>
  <si>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</si>
  <si>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</si>
  <si>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</si>
  <si>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</si>
  <si>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</si>
  <si>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</si>
  <si>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</si>
  <si>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</si>
  <si>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</si>
  <si>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</si>
  <si>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</si>
  <si>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</si>
  <si>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</si>
  <si>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</si>
  <si>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</si>
  <si>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</si>
  <si>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</si>
  <si>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</si>
  <si>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</si>
  <si>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</si>
  <si>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</si>
  <si>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</si>
  <si>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</si>
  <si>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</si>
  <si>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</si>
  <si>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</si>
  <si>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</si>
  <si>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</si>
  <si>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</si>
  <si>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</si>
  <si>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</si>
  <si>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</si>
  <si>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</si>
  <si>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</si>
  <si>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</si>
  <si>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</si>
  <si>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</si>
  <si>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</si>
  <si>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</si>
  <si>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</si>
  <si>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</si>
  <si>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</si>
  <si>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</si>
  <si>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</si>
  <si>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</si>
  <si>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</si>
  <si>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</si>
  <si>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</si>
  <si>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</si>
  <si>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</si>
  <si>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</si>
  <si>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</si>
  <si>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</si>
  <si>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</si>
  <si>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</si>
  <si>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</si>
  <si>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</si>
  <si>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</si>
  <si>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</si>
  <si>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</si>
  <si>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</si>
  <si>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</si>
  <si>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</si>
  <si>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</si>
  <si>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</si>
  <si>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</si>
  <si>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</si>
  <si>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</si>
  <si>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</si>
  <si>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</si>
  <si>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</si>
  <si>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</si>
  <si>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</si>
  <si>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</si>
  <si>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</si>
  <si>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</si>
  <si>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</si>
  <si>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</si>
  <si>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</si>
  <si>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</si>
  <si>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</si>
  <si>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</si>
  <si>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</si>
  <si>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</si>
  <si>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</si>
  <si>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</si>
  <si>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</si>
  <si>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</si>
  <si>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</si>
  <si>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</si>
  <si>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</si>
  <si>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</si>
  <si>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</si>
  <si>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</si>
  <si>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</si>
  <si>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</si>
  <si>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</si>
  <si>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</si>
  <si>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</si>
  <si>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</si>
  <si>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</si>
  <si>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</si>
  <si>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</si>
  <si>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</si>
  <si>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</si>
  <si>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</si>
  <si>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</si>
  <si>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</si>
  <si>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</si>
  <si>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</si>
  <si>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</si>
  <si>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</si>
  <si>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</si>
  <si>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</si>
  <si>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</si>
  <si>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</si>
  <si>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</si>
  <si>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</si>
  <si>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</si>
  <si>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</si>
  <si>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</si>
  <si>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</si>
  <si>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</si>
  <si>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</si>
  <si>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</si>
  <si>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</si>
  <si>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</si>
  <si>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</si>
  <si>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</si>
  <si>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</si>
  <si>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</si>
  <si>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</si>
  <si>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</si>
  <si>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</si>
  <si>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</si>
  <si>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</si>
  <si>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</si>
  <si>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</si>
  <si>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</si>
  <si>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</si>
  <si>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</si>
  <si>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</si>
  <si>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</si>
  <si>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</si>
  <si>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</si>
  <si>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</si>
  <si>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</si>
  <si>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</si>
  <si>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</si>
  <si>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</si>
  <si>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</si>
  <si>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</si>
  <si>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</si>
  <si>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</si>
  <si>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</si>
  <si>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</si>
  <si>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</si>
  <si>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</si>
  <si>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</si>
  <si>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</si>
  <si>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</si>
  <si>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</si>
  <si>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</si>
  <si>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</si>
  <si>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</si>
  <si>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</si>
  <si>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</si>
  <si>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</si>
  <si>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</si>
  <si>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</si>
  <si>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</si>
  <si>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</si>
  <si>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</si>
  <si>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</si>
  <si>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</si>
  <si>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</si>
  <si>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</si>
  <si>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</si>
  <si>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</si>
  <si>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</si>
  <si>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</si>
  <si>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</si>
  <si>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</si>
  <si>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</si>
  <si>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</si>
  <si>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</si>
  <si>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</si>
  <si>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</si>
  <si>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</si>
  <si>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</si>
  <si>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</si>
  <si>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</si>
  <si>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</si>
  <si>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</si>
  <si>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</si>
  <si>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</si>
  <si>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</si>
  <si>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</si>
  <si>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</si>
  <si>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</si>
  <si>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</si>
  <si>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</si>
  <si>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</si>
  <si>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</si>
  <si>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</si>
  <si>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</si>
  <si>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</si>
  <si>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</si>
  <si>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</si>
  <si>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</si>
  <si>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</si>
  <si>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</si>
  <si>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</si>
  <si>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</si>
  <si>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</si>
  <si>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</si>
  <si>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</si>
  <si>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</si>
  <si>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</si>
  <si>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</si>
  <si>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</si>
  <si>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</si>
  <si>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</si>
  <si>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</si>
  <si>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</si>
  <si>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</si>
  <si>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</si>
  <si>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</si>
  <si>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</si>
  <si>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</si>
  <si>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</si>
  <si>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</si>
  <si>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</si>
  <si>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</si>
  <si>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</si>
  <si>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</si>
  <si>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</si>
  <si>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</si>
  <si>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</si>
  <si>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</si>
  <si>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</si>
  <si>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</si>
  <si>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</si>
  <si>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</si>
  <si>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</si>
  <si>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</si>
  <si>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</si>
  <si>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</si>
  <si>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</si>
  <si>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</si>
  <si>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</si>
  <si>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</si>
  <si>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</si>
  <si>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</si>
  <si>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</si>
  <si>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</si>
  <si>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</si>
  <si>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</si>
  <si>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</si>
  <si>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</si>
  <si>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</si>
  <si>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</si>
  <si>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</si>
  <si>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</si>
  <si>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</si>
  <si>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</si>
  <si>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</si>
  <si>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</si>
  <si>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</si>
  <si>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</si>
  <si>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</si>
  <si>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</si>
  <si>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</si>
  <si>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</si>
  <si>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</si>
  <si>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</si>
  <si>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</si>
  <si>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</si>
  <si>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</si>
  <si>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</si>
  <si>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</si>
  <si>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</si>
  <si>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</si>
  <si>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</si>
  <si>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</si>
  <si>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</si>
  <si>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</si>
  <si>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</si>
  <si>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</si>
  <si>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</si>
  <si>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</si>
  <si>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</si>
  <si>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</si>
  <si>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</si>
  <si>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</si>
  <si>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</si>
  <si>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</si>
  <si>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</si>
  <si>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</si>
  <si>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</si>
  <si>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</si>
  <si>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</si>
  <si>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</si>
  <si>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</si>
  <si>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</si>
  <si>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</si>
  <si>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</si>
  <si>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</si>
  <si>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</si>
  <si>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</si>
  <si>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</si>
  <si>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</si>
  <si>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</si>
  <si>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</si>
  <si>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</si>
  <si>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</si>
  <si>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</si>
  <si>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</si>
  <si>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</si>
  <si>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</si>
  <si>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</si>
  <si>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</si>
  <si>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</si>
  <si>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</si>
  <si>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</si>
  <si>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</si>
  <si>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</si>
  <si>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</si>
  <si>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</si>
  <si>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</si>
  <si>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</si>
  <si>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</si>
  <si>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</si>
  <si>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</si>
  <si>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</si>
  <si>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</si>
  <si>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</si>
  <si>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</si>
  <si>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</si>
  <si>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</si>
  <si>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</si>
  <si>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</si>
  <si>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</si>
  <si>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</si>
  <si>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</si>
  <si>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</si>
  <si>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</si>
  <si>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</si>
  <si>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</si>
  <si>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</si>
  <si>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</si>
  <si>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</si>
  <si>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</si>
  <si>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</si>
  <si>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</si>
  <si>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</si>
  <si>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</si>
  <si>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</si>
  <si>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</si>
  <si>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</si>
  <si>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</si>
  <si>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</si>
  <si>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</si>
  <si>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</si>
  <si>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</si>
  <si>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</si>
  <si>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</si>
  <si>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</si>
  <si>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</si>
  <si>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</si>
  <si>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</si>
  <si>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</si>
  <si>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</si>
  <si>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</si>
  <si>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</si>
  <si>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</si>
  <si>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</si>
  <si>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</si>
  <si>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</si>
  <si>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</si>
  <si>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</si>
  <si>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</si>
  <si>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</si>
  <si>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</si>
  <si>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</si>
  <si>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</si>
  <si>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</si>
  <si>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</si>
  <si>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</si>
  <si>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</si>
  <si>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</si>
  <si>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</si>
  <si>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</si>
  <si>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</si>
  <si>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</si>
  <si>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</si>
  <si>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</si>
  <si>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</si>
  <si>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</si>
  <si>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</si>
  <si>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</si>
  <si>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</si>
  <si>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</si>
  <si>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</si>
  <si>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</si>
  <si>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</si>
  <si>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</si>
  <si>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</si>
  <si>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</si>
  <si>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</si>
  <si>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</si>
  <si>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</si>
  <si>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</si>
  <si>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</si>
  <si>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</si>
  <si>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</si>
  <si>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</si>
  <si>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</si>
  <si>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</si>
  <si>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</si>
  <si>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</si>
  <si>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</si>
  <si>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</si>
  <si>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</si>
  <si>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</si>
  <si>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</si>
  <si>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</si>
  <si>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</si>
  <si>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</si>
  <si>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</si>
  <si>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</si>
  <si>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</si>
  <si>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</si>
  <si>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</si>
  <si>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</si>
  <si>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</si>
  <si>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</si>
  <si>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</si>
  <si>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</si>
  <si>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</si>
  <si>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</si>
  <si>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</si>
  <si>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</si>
  <si>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</si>
  <si>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</si>
  <si>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</si>
  <si>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</si>
  <si>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</si>
  <si>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</si>
  <si>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</si>
  <si>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</si>
  <si>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</si>
  <si>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</si>
  <si>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</si>
  <si>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</si>
  <si>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</si>
  <si>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</si>
  <si>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</si>
  <si>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</si>
  <si>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</si>
  <si>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</si>
  <si>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</si>
  <si>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</si>
  <si>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</si>
  <si>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</si>
  <si>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</si>
  <si>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</si>
  <si>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</si>
  <si>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</si>
  <si>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</si>
  <si>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</si>
  <si>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</si>
  <si>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</si>
  <si>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</si>
  <si>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</si>
  <si>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</si>
  <si>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</si>
  <si>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</si>
  <si>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</si>
  <si>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</si>
  <si>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</si>
  <si>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</si>
  <si>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</si>
  <si>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</si>
  <si>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</si>
  <si>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</si>
  <si>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</si>
  <si>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</si>
  <si>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</si>
  <si>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</si>
  <si>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</si>
  <si>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</si>
  <si>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</si>
  <si>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</si>
  <si>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</si>
  <si>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</si>
  <si>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</si>
  <si>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</si>
  <si>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</si>
  <si>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</si>
  <si>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</si>
  <si>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</si>
  <si>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</si>
  <si>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</si>
  <si>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</si>
  <si>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</si>
  <si>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</si>
  <si>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</si>
  <si>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</si>
  <si>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</si>
  <si>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</si>
  <si>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</si>
  <si>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</si>
  <si>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</si>
  <si>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</si>
  <si>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</si>
  <si>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</si>
  <si>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</si>
  <si>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</si>
  <si>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</si>
  <si>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</si>
  <si>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</si>
  <si>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</si>
  <si>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</si>
  <si>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</si>
  <si>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</si>
  <si>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</si>
  <si>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</si>
  <si>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</si>
  <si>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</si>
  <si>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</si>
  <si>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</si>
  <si>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</si>
  <si>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</si>
  <si>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</si>
  <si>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</si>
  <si>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</si>
  <si>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</si>
  <si>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</si>
  <si>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</si>
  <si>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</si>
  <si>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</si>
  <si>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</si>
  <si>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</si>
  <si>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</si>
  <si>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</si>
  <si>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</si>
  <si>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</si>
  <si>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</si>
  <si>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</si>
  <si>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</si>
  <si>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</si>
  <si>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</si>
  <si>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</si>
  <si>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</si>
  <si>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</si>
  <si>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</si>
  <si>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</si>
  <si>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</si>
  <si>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</si>
  <si>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</si>
  <si>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</si>
  <si>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</si>
  <si>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</si>
  <si>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</si>
  <si>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</si>
  <si>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</si>
  <si>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</si>
  <si>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</si>
  <si>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</si>
  <si>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</si>
  <si>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</si>
  <si>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</si>
  <si>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</si>
  <si>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</si>
  <si>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</si>
  <si>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</si>
  <si>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</si>
  <si>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</si>
  <si>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</si>
  <si>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</si>
  <si>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</si>
  <si>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</si>
  <si>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</si>
  <si>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</si>
  <si>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</si>
  <si>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</si>
  <si>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</si>
  <si>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</si>
  <si>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</si>
  <si>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</si>
  <si>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</si>
  <si>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</si>
  <si>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</si>
  <si>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</si>
  <si>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</si>
  <si>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</si>
  <si>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</si>
  <si>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</si>
  <si>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</si>
  <si>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</si>
  <si>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</si>
  <si>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</si>
  <si>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</si>
  <si>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</si>
  <si>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</si>
  <si>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</si>
  <si>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</si>
  <si>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</si>
  <si>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</si>
  <si>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</si>
  <si>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</si>
  <si>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</si>
  <si>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</si>
  <si>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</si>
  <si>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</si>
  <si>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</si>
  <si>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</si>
  <si>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</si>
  <si>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</si>
  <si>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</si>
  <si>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</si>
  <si>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</si>
  <si>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</si>
  <si>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</si>
  <si>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</si>
  <si>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</si>
  <si>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</si>
  <si>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</si>
  <si>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</si>
  <si>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</si>
  <si>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</si>
  <si>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</si>
  <si>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</si>
  <si>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</si>
  <si>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</si>
  <si>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</si>
  <si>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</si>
  <si>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</si>
  <si>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</si>
  <si>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</si>
  <si>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</si>
  <si>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</si>
  <si>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</si>
  <si>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</si>
  <si>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</si>
  <si>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</si>
  <si>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</si>
  <si>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</si>
  <si>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</si>
  <si>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</si>
  <si>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</si>
  <si>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</si>
  <si>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</si>
  <si>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</si>
  <si>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</si>
  <si>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</si>
  <si>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</si>
  <si>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</si>
  <si>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</si>
  <si>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</si>
  <si>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</si>
  <si>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</si>
  <si>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</si>
  <si>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</si>
  <si>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</si>
  <si>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</si>
  <si>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</si>
  <si>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</si>
  <si>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</si>
  <si>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</si>
  <si>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</si>
  <si>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</si>
  <si>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</si>
  <si>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</si>
  <si>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</si>
  <si>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</si>
  <si>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</si>
  <si>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</si>
  <si>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</si>
  <si>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</si>
  <si>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</si>
  <si>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</si>
  <si>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</si>
  <si>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</si>
  <si>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</si>
  <si>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</si>
  <si>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</si>
  <si>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</si>
  <si>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</si>
  <si>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</si>
  <si>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</si>
  <si>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</si>
  <si>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</si>
  <si>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</si>
  <si>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</si>
  <si>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</si>
  <si>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</si>
  <si>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</si>
  <si>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</si>
  <si>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</si>
  <si>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</si>
  <si>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</si>
  <si>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</si>
  <si>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</si>
  <si>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</si>
  <si>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</si>
  <si>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</si>
  <si>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</si>
  <si>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</si>
  <si>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</si>
  <si>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</si>
  <si>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</si>
  <si>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</si>
  <si>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</si>
  <si>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</si>
  <si>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</si>
  <si>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</si>
  <si>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</si>
  <si>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</si>
  <si>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</si>
  <si>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</si>
  <si>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</si>
  <si>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</si>
  <si>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</si>
  <si>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</si>
  <si>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</si>
  <si>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</si>
  <si>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</si>
  <si>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</si>
  <si>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</si>
  <si>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</si>
  <si>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</si>
  <si>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</si>
  <si>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</si>
  <si>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</si>
  <si>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</si>
  <si>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</si>
  <si>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</si>
  <si>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</si>
  <si>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</si>
  <si>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</si>
  <si>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</si>
  <si>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</si>
  <si>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</si>
  <si>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</si>
  <si>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</si>
  <si>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</si>
  <si>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</si>
  <si>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</si>
  <si>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</si>
  <si>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</si>
  <si>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</si>
  <si>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</si>
  <si>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</si>
  <si>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</si>
  <si>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</si>
  <si>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</si>
  <si>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</si>
  <si>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</si>
  <si>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</si>
  <si>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</si>
  <si>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</si>
  <si>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</si>
  <si>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</si>
  <si>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</si>
  <si>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</si>
  <si>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</si>
  <si>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</si>
  <si>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</si>
  <si>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</si>
  <si>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</si>
  <si>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</si>
  <si>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</si>
  <si>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</si>
  <si>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</si>
  <si>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</si>
  <si>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</si>
  <si>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</si>
  <si>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</si>
  <si>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</si>
  <si>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</si>
  <si>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</si>
  <si>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</si>
  <si>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</si>
  <si>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</si>
  <si>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</si>
  <si>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</si>
  <si>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</si>
  <si>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</si>
  <si>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</si>
  <si>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</si>
  <si>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</si>
  <si>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</si>
  <si>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</si>
  <si>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</si>
  <si>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</si>
  <si>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</si>
  <si>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</si>
  <si>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</si>
  <si>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</si>
  <si>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</si>
  <si>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</si>
  <si>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</si>
  <si>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</si>
  <si>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</si>
  <si>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</si>
  <si>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</si>
  <si>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</si>
  <si>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</si>
  <si>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</si>
  <si>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</si>
  <si>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</si>
  <si>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</si>
  <si>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</si>
  <si>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</si>
  <si>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</si>
  <si>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</si>
  <si>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</si>
  <si>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</si>
  <si>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</si>
  <si>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</si>
  <si>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</si>
  <si>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</si>
  <si>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</si>
  <si>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</si>
  <si>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</si>
  <si>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</si>
  <si>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</si>
  <si>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</si>
  <si>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</si>
  <si>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</si>
  <si>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</si>
  <si>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</si>
  <si>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</si>
  <si>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</si>
  <si>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</si>
  <si>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</si>
  <si>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</si>
  <si>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</si>
  <si>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</si>
  <si>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</si>
  <si>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</si>
  <si>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</si>
  <si>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</si>
  <si>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</si>
  <si>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</si>
  <si>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</si>
  <si>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</si>
  <si>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</si>
  <si>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</si>
  <si>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</si>
  <si>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</si>
  <si>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</si>
  <si>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</si>
  <si>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</si>
  <si>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</si>
  <si>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</si>
  <si>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</si>
  <si>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</si>
  <si>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</si>
  <si>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</si>
  <si>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</si>
  <si>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</si>
  <si>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</si>
  <si>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</si>
  <si>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</si>
  <si>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</si>
  <si>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</si>
  <si>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</si>
  <si>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</si>
  <si>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</si>
  <si>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</si>
  <si>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</si>
  <si>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</si>
  <si>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</si>
  <si>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</si>
  <si>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</si>
  <si>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</si>
  <si>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</si>
  <si>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</si>
  <si>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</si>
  <si>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</si>
  <si>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</si>
  <si>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</si>
  <si>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</si>
  <si>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</si>
  <si>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</si>
  <si>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</si>
  <si>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</si>
  <si>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</si>
  <si>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</si>
  <si>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</si>
  <si>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</si>
  <si>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</si>
  <si>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</si>
  <si>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</si>
  <si>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</si>
  <si>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</si>
  <si>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</si>
  <si>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</si>
  <si>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</si>
  <si>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</si>
  <si>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</si>
  <si>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</si>
  <si>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</si>
  <si>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</si>
  <si>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</si>
  <si>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</si>
  <si>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</si>
  <si>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</si>
  <si>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</si>
  <si>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</si>
  <si>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</si>
  <si>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</si>
  <si>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</si>
  <si>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</si>
  <si>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</si>
  <si>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</si>
  <si>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</si>
  <si>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</si>
  <si>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</si>
  <si>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</si>
  <si>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</si>
  <si>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</si>
  <si>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</si>
  <si>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</si>
  <si>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</si>
  <si>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</si>
  <si>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</si>
  <si>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</si>
  <si>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</si>
  <si>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</si>
  <si>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</si>
  <si>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</si>
  <si>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</si>
  <si>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</si>
  <si>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</si>
  <si>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</si>
  <si>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</si>
  <si>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</si>
  <si>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</si>
  <si>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</si>
  <si>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</si>
  <si>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</si>
  <si>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</si>
  <si>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</si>
  <si>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</si>
  <si>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</si>
  <si>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</si>
  <si>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</si>
  <si>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</si>
  <si>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</si>
  <si>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</si>
  <si>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</si>
  <si>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</si>
  <si>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</si>
  <si>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</si>
  <si>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</si>
  <si>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</si>
  <si>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</si>
  <si>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</si>
  <si>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</si>
  <si>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</si>
  <si>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</si>
  <si>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</si>
  <si>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</si>
  <si>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</si>
  <si>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</si>
  <si>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</si>
  <si>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</si>
  <si>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</si>
  <si>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</si>
  <si>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</si>
  <si>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</si>
  <si>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</si>
  <si>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</si>
  <si>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</si>
  <si>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</si>
  <si>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</si>
  <si>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</si>
  <si>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</si>
  <si>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</si>
  <si>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</si>
  <si>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</si>
  <si>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</si>
  <si>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</si>
  <si>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</si>
  <si>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</si>
  <si>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</si>
  <si>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</si>
  <si>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</si>
  <si>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</si>
  <si>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</si>
  <si>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</si>
  <si>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</si>
  <si>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</si>
  <si>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</si>
  <si>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</si>
  <si>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</si>
  <si>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</si>
  <si>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</si>
  <si>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</si>
  <si>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</si>
  <si>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</si>
  <si>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</si>
  <si>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</si>
  <si>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</si>
  <si>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</si>
  <si>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</si>
  <si>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</si>
  <si>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</si>
  <si>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</si>
  <si>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</si>
  <si>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</si>
  <si>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</si>
  <si>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</si>
  <si>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</si>
  <si>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</si>
  <si>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</si>
  <si>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</si>
  <si>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</si>
  <si>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</si>
  <si>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</si>
  <si>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</si>
  <si>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</si>
  <si>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</si>
  <si>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</si>
  <si>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</si>
  <si>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</si>
  <si>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</si>
  <si>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</si>
  <si>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</si>
  <si>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</si>
  <si>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</si>
  <si>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</si>
  <si>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</si>
  <si>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</si>
  <si>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</si>
  <si>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</si>
  <si>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</si>
  <si>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</si>
  <si>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</si>
  <si>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</si>
  <si>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</si>
  <si>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</si>
  <si>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</si>
  <si>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</si>
  <si>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</si>
  <si>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</si>
  <si>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</si>
  <si>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</si>
  <si>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</si>
  <si>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</si>
  <si>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</si>
  <si>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</si>
  <si>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</si>
  <si>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</si>
  <si>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</si>
  <si>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</si>
  <si>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</si>
  <si>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</si>
  <si>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</si>
  <si>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</si>
  <si>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</si>
  <si>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</si>
  <si>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</si>
  <si>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</si>
  <si>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</si>
  <si>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</si>
  <si>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</si>
  <si>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</si>
  <si>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</si>
  <si>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</si>
  <si>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</si>
  <si>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</si>
  <si>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</si>
  <si>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</si>
  <si>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</si>
  <si>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</si>
  <si>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</si>
  <si>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</si>
  <si>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</si>
  <si>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</si>
  <si>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</si>
  <si>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</si>
  <si>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</si>
  <si>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</si>
  <si>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</si>
  <si>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</si>
  <si>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</si>
  <si>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</si>
  <si>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</si>
  <si>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</si>
  <si>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</si>
  <si>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</si>
  <si>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</si>
  <si>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</si>
  <si>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</si>
  <si>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</si>
  <si>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</si>
  <si>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</si>
  <si>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</si>
  <si>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</si>
  <si>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</si>
  <si>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</si>
  <si>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</si>
  <si>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</si>
  <si>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</si>
  <si>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</si>
  <si>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</si>
  <si>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</si>
  <si>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</si>
  <si>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</si>
  <si>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</si>
  <si>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</si>
  <si>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</si>
  <si>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</si>
  <si>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</si>
  <si>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</si>
  <si>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</si>
  <si>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</si>
  <si>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</si>
  <si>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</si>
  <si>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</si>
  <si>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</si>
  <si>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</si>
  <si>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</si>
  <si>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</si>
  <si>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</si>
  <si>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</si>
  <si>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</si>
  <si>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</si>
  <si>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</si>
  <si>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</si>
  <si>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</si>
  <si>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</si>
  <si>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</si>
  <si>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</si>
  <si>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</si>
  <si>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</si>
  <si>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</si>
  <si>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</si>
  <si>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</si>
  <si>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</si>
  <si>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</si>
  <si>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</si>
  <si>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</si>
  <si>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</si>
  <si>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</si>
  <si>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</si>
  <si>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</si>
  <si>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</si>
  <si>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</si>
  <si>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</si>
  <si>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</si>
  <si>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</si>
  <si>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</si>
  <si>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</si>
  <si>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</si>
  <si>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</si>
  <si>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</si>
  <si>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</si>
  <si>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</si>
  <si>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</si>
  <si>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</si>
  <si>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</si>
  <si>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</si>
  <si>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</si>
  <si>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</si>
  <si>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</si>
  <si>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</si>
  <si>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</si>
  <si>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</si>
  <si>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</si>
  <si>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</si>
  <si>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</si>
  <si>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</si>
  <si>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</si>
  <si>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</si>
  <si>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</si>
  <si>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</si>
  <si>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</si>
  <si>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</si>
  <si>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</si>
  <si>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</si>
  <si>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</si>
  <si>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</si>
  <si>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</si>
  <si>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</si>
  <si>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</si>
  <si>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</si>
  <si>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</si>
  <si>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</si>
  <si>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</si>
  <si>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</si>
  <si>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</si>
  <si>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</si>
  <si>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</si>
  <si>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</si>
  <si>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</si>
  <si>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</si>
  <si>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</si>
  <si>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</si>
  <si>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</si>
  <si>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</si>
  <si>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</si>
  <si>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</si>
  <si>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</si>
  <si>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</si>
  <si>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</si>
  <si>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</si>
  <si>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</si>
  <si>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</si>
  <si>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</si>
  <si>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</si>
  <si>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</si>
  <si>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</si>
  <si>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</si>
  <si>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</si>
  <si>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</si>
  <si>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</si>
  <si>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</si>
  <si>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</si>
  <si>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</si>
  <si>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</si>
  <si>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</si>
  <si>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</si>
  <si>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</si>
  <si>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</si>
  <si>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</si>
  <si>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</si>
  <si>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</si>
  <si>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</si>
  <si>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</si>
  <si>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</si>
  <si>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</si>
  <si>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</si>
  <si>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</si>
  <si>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</si>
  <si>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</si>
  <si>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</si>
  <si>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</si>
  <si>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</si>
  <si>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</si>
  <si>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</si>
  <si>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</si>
  <si>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</si>
  <si>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</si>
  <si>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</si>
  <si>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</si>
  <si>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</si>
  <si>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</si>
  <si>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</si>
  <si>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</si>
  <si>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</si>
  <si>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</si>
  <si>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</si>
  <si>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</si>
  <si>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</si>
  <si>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</si>
  <si>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</si>
  <si>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</si>
  <si>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</si>
  <si>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</si>
  <si>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</si>
  <si>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</si>
  <si>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</si>
  <si>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</si>
  <si>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</si>
  <si>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</si>
  <si>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</si>
  <si>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</si>
  <si>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</si>
  <si>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</si>
  <si>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</si>
  <si>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</si>
  <si>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</si>
  <si>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</si>
  <si>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</si>
  <si>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</si>
  <si>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</si>
  <si>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</si>
  <si>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</si>
  <si>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</si>
  <si>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</si>
  <si>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</si>
  <si>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</si>
  <si>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</si>
  <si>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</si>
  <si>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</si>
  <si>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</si>
  <si>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</si>
  <si>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</si>
  <si>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</si>
  <si>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</si>
  <si>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</si>
  <si>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</si>
  <si>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</si>
  <si>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</si>
  <si>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</si>
  <si>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</si>
  <si>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</si>
  <si>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</si>
  <si>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</si>
  <si>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</si>
  <si>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</si>
  <si>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</si>
  <si>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</si>
  <si>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</si>
  <si>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</si>
  <si>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</si>
  <si>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</si>
  <si>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</si>
  <si>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</si>
  <si>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</si>
  <si>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</si>
  <si>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</si>
  <si>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</si>
  <si>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</si>
  <si>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</si>
  <si>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</si>
  <si>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</si>
  <si>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</si>
  <si>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</si>
  <si>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</si>
  <si>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</si>
  <si>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</si>
  <si>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</si>
  <si>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</si>
  <si>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</si>
  <si>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</si>
  <si>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</si>
  <si>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</si>
  <si>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</si>
  <si>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</si>
  <si>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</si>
  <si>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</si>
  <si>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</si>
  <si>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</si>
  <si>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</si>
  <si>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</si>
  <si>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</si>
  <si>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</si>
  <si>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</si>
  <si>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</si>
  <si>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</si>
  <si>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</si>
  <si>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</si>
  <si>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</si>
  <si>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</si>
  <si>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정인호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</si>
  <si>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</si>
  <si>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</si>
  <si>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</si>
  <si>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</si>
  <si>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</si>
  <si>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</si>
  <si>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</si>
  <si>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</si>
  <si>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</si>
  <si>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</si>
  <si>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</si>
  <si>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</si>
  <si>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농협 3520106511413</t>
    <phoneticPr fontId="2" type="noConversion"/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</si>
  <si>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</si>
  <si>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</si>
  <si>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</si>
  <si>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</si>
  <si>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</si>
  <si>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</si>
  <si>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</si>
  <si>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</si>
  <si>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</si>
  <si>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</si>
  <si>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</si>
  <si>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</si>
  <si>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</si>
  <si>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2025-10-29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</si>
  <si>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</si>
  <si>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</si>
  <si>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</si>
  <si>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</si>
  <si>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</si>
  <si>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</si>
  <si>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</si>
  <si>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502297</t>
  </si>
  <si>
    <t>50229</t>
  </si>
  <si>
    <t>대구 수성구 파동로 183</t>
    <phoneticPr fontId="2" type="noConversion"/>
  </si>
  <si>
    <t>010-5100-1818</t>
    <phoneticPr fontId="2" type="noConversion"/>
  </si>
  <si>
    <t>제일오토(대구)_251029_180829.xlsx</t>
  </si>
  <si>
    <t>제일오토(대구)_251029_180829.xlsx</t>
    <phoneticPr fontId="2" type="noConversion"/>
  </si>
  <si>
    <t>오시현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</si>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</sst>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13579000</c:v>
                </c:pt>
                <c:pt idx="1">
                  <c:v>6290000</c:v>
                </c:pt>
                <c:pt idx="2">
                  <c:v>5400000</c:v>
                </c:pt>
                <c:pt idx="3">
                  <c:v>4155000</c:v>
                </c:pt>
                <c:pt idx="4">
                  <c:v>5244000</c:v>
                </c:pt>
                <c:pt idx="5">
                  <c:v>3685000</c:v>
                </c:pt>
                <c:pt idx="6">
                  <c:v>3355000</c:v>
                </c:pt>
                <c:pt idx="7">
                  <c:v>2970000</c:v>
                </c:pt>
                <c:pt idx="8">
                  <c:v>2895000</c:v>
                </c:pt>
                <c:pt idx="9">
                  <c:v>2750000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5</c:v>
                      </c:pt>
                      <c:pt idx="4">
                        <c:v>4</c:v>
                      </c:pt>
                      <c:pt idx="5">
                        <c:v>6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3590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2" sqref="T2:U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4101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45959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1333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4125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4126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3464</v>
      </c>
      <c r="B8" s="424"/>
      <c r="C8" s="424"/>
      <c r="D8" s="424"/>
      <c r="E8" s="425"/>
      <c r="F8" s="426" t="s">
        <v>1759</v>
      </c>
      <c r="G8" s="427"/>
      <c r="H8" s="427"/>
      <c r="I8" s="428"/>
      <c r="J8" s="434">
        <v>526364</v>
      </c>
      <c r="K8" s="434"/>
      <c r="L8" s="434"/>
      <c r="M8" s="434"/>
      <c r="N8" s="434"/>
      <c r="O8" s="435">
        <v>1</v>
      </c>
      <c r="P8" s="435"/>
      <c r="Q8" s="429">
        <v>52636</v>
      </c>
      <c r="R8" s="430"/>
      <c r="S8" s="431"/>
      <c r="T8" s="432">
        <v>579000</v>
      </c>
      <c r="U8" s="433"/>
    </row>
    <row r="9" spans="1:21" ht="15.6" customHeight="1" x14ac:dyDescent="0.3">
      <c r="A9" s="412" t="s">
        <v>2189</v>
      </c>
      <c r="B9" s="413"/>
      <c r="C9" s="413"/>
      <c r="D9" s="413"/>
      <c r="E9" s="414"/>
      <c r="F9" s="415" t="s">
        <v>4124</v>
      </c>
      <c r="G9" s="413"/>
      <c r="H9" s="413"/>
      <c r="I9" s="414"/>
      <c r="J9" s="421">
        <v>70000</v>
      </c>
      <c r="K9" s="421"/>
      <c r="L9" s="421"/>
      <c r="M9" s="421"/>
      <c r="N9" s="421"/>
      <c r="O9" s="422">
        <v>1</v>
      </c>
      <c r="P9" s="422"/>
      <c r="Q9" s="416">
        <v>7000</v>
      </c>
      <c r="R9" s="417"/>
      <c r="S9" s="418"/>
      <c r="T9" s="419">
        <v>77000</v>
      </c>
      <c r="U9" s="420"/>
    </row>
    <row r="10" spans="1:21" ht="15.6" customHeight="1" x14ac:dyDescent="0.3">
      <c r="A10" s="412" t="s">
        <v>2190</v>
      </c>
      <c r="B10" s="413"/>
      <c r="C10" s="413"/>
      <c r="D10" s="413"/>
      <c r="E10" s="414"/>
      <c r="F10" s="415" t="s">
        <v>1794</v>
      </c>
      <c r="G10" s="413"/>
      <c r="H10" s="413"/>
      <c r="I10" s="414"/>
      <c r="J10" s="421">
        <v>35000</v>
      </c>
      <c r="K10" s="421"/>
      <c r="L10" s="421"/>
      <c r="M10" s="421"/>
      <c r="N10" s="421"/>
      <c r="O10" s="422">
        <v>1</v>
      </c>
      <c r="P10" s="422"/>
      <c r="Q10" s="416">
        <v>3500</v>
      </c>
      <c r="R10" s="417"/>
      <c r="S10" s="418"/>
      <c r="T10" s="419">
        <v>38500</v>
      </c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631364</v>
      </c>
      <c r="K20" s="356"/>
      <c r="L20" s="356"/>
      <c r="M20" s="356"/>
      <c r="N20" s="357"/>
      <c r="O20" s="320">
        <f>SUM(O8:P19)</f>
        <v>3</v>
      </c>
      <c r="P20" s="320"/>
      <c r="Q20" s="358">
        <f>SUM(Q8:S19)</f>
        <v>63136</v>
      </c>
      <c r="R20" s="318"/>
      <c r="S20" s="319"/>
      <c r="T20" s="318">
        <f>SUM(T8:U15)</f>
        <v>694500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694500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제일오토(대구)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4128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45959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제일오토(대구)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 수성구 파동로 183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010-5100-1818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0B5_Repair_Kit(Schaeffler)</v>
      </c>
      <c r="B31" s="373"/>
      <c r="C31" s="373"/>
      <c r="D31" s="373"/>
      <c r="E31" s="373"/>
      <c r="F31" s="373" t="str">
        <f>F8</f>
        <v>0B5398048D</v>
      </c>
      <c r="G31" s="373"/>
      <c r="H31" s="373"/>
      <c r="I31" s="373"/>
      <c r="J31" s="377">
        <f>J8</f>
        <v>526364</v>
      </c>
      <c r="K31" s="377"/>
      <c r="L31" s="377"/>
      <c r="M31" s="377"/>
      <c r="N31" s="377"/>
      <c r="O31" s="377">
        <f>O8</f>
        <v>1</v>
      </c>
      <c r="P31" s="377"/>
      <c r="Q31" s="374">
        <f>Q8</f>
        <v>52636</v>
      </c>
      <c r="R31" s="374"/>
      <c r="S31" s="374"/>
      <c r="T31" s="375">
        <f>T8</f>
        <v>579000</v>
      </c>
      <c r="U31" s="376"/>
    </row>
    <row r="32" spans="1:21" ht="15.6" customHeight="1" x14ac:dyDescent="0.3">
      <c r="A32" s="365" t="str">
        <f t="shared" ref="A32:A38" si="0">A9</f>
        <v>0B5_Solenoid</v>
      </c>
      <c r="B32" s="366"/>
      <c r="C32" s="366"/>
      <c r="D32" s="366"/>
      <c r="E32" s="366"/>
      <c r="F32" s="366" t="str">
        <f t="shared" ref="F32:F38" si="1">F9</f>
        <v>50229</v>
      </c>
      <c r="G32" s="366"/>
      <c r="H32" s="366"/>
      <c r="I32" s="366"/>
      <c r="J32" s="370">
        <f t="shared" ref="J32:J38" si="2">J9</f>
        <v>70000</v>
      </c>
      <c r="K32" s="370"/>
      <c r="L32" s="370"/>
      <c r="M32" s="370"/>
      <c r="N32" s="370"/>
      <c r="O32" s="370">
        <f t="shared" ref="O32:O38" si="3">O9</f>
        <v>1</v>
      </c>
      <c r="P32" s="370"/>
      <c r="Q32" s="367">
        <f t="shared" ref="Q32:Q38" si="4">Q9</f>
        <v>7000</v>
      </c>
      <c r="R32" s="367"/>
      <c r="S32" s="367"/>
      <c r="T32" s="368">
        <f t="shared" ref="T32:T38" si="5">T9</f>
        <v>77000</v>
      </c>
      <c r="U32" s="369"/>
    </row>
    <row r="33" spans="1:21" ht="15.6" customHeight="1" x14ac:dyDescent="0.3">
      <c r="A33" s="365" t="str">
        <f t="shared" si="0"/>
        <v>0B5_Filter</v>
      </c>
      <c r="B33" s="366"/>
      <c r="C33" s="366"/>
      <c r="D33" s="366"/>
      <c r="E33" s="366"/>
      <c r="F33" s="366" t="str">
        <f t="shared" si="1"/>
        <v>0B5325330A</v>
      </c>
      <c r="G33" s="366"/>
      <c r="H33" s="366"/>
      <c r="I33" s="366"/>
      <c r="J33" s="370">
        <f t="shared" si="2"/>
        <v>35000</v>
      </c>
      <c r="K33" s="370"/>
      <c r="L33" s="370"/>
      <c r="M33" s="370"/>
      <c r="N33" s="370"/>
      <c r="O33" s="370">
        <f t="shared" si="3"/>
        <v>1</v>
      </c>
      <c r="P33" s="370"/>
      <c r="Q33" s="367">
        <f t="shared" si="4"/>
        <v>3500</v>
      </c>
      <c r="R33" s="367"/>
      <c r="S33" s="367"/>
      <c r="T33" s="368">
        <f t="shared" si="5"/>
        <v>38500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631364</v>
      </c>
      <c r="K43" s="356"/>
      <c r="L43" s="356"/>
      <c r="M43" s="356"/>
      <c r="N43" s="357"/>
      <c r="O43" s="320">
        <f>O20</f>
        <v>3</v>
      </c>
      <c r="P43" s="320"/>
      <c r="Q43" s="358">
        <f>Q20</f>
        <v>63136</v>
      </c>
      <c r="R43" s="318"/>
      <c r="S43" s="318"/>
      <c r="T43" s="318">
        <f>T20</f>
        <v>694500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694500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제일오토(대구)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526364</v>
      </c>
      <c r="H1" s="107">
        <f>SUM(H2:H2)</f>
        <v>1</v>
      </c>
      <c r="I1" s="107">
        <f>SUM(I2:I2)</f>
        <v>52636</v>
      </c>
      <c r="J1" s="107">
        <f>SUM(J2:J2)</f>
        <v>579000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4115</v>
      </c>
      <c r="C2" s="47" t="s">
        <v>1448</v>
      </c>
      <c r="D2" s="290" t="s">
        <v>1206</v>
      </c>
      <c r="E2" t="s">
        <v>3463</v>
      </c>
      <c r="F2" s="290" t="s">
        <v>1206</v>
      </c>
      <c r="G2">
        <v>526364</v>
      </c>
      <c r="H2">
        <v>1</v>
      </c>
      <c r="I2" s="226">
        <v>52636</v>
      </c>
      <c r="J2" s="226">
        <v>579000</v>
      </c>
    </row>
    <row r="3" spans="1:12" x14ac:dyDescent="0.3">
      <c r="A3" s="47">
        <v>2</v>
      </c>
      <c r="B3" s="47" t="s">
        <v>4115</v>
      </c>
      <c r="C3" s="47" t="s">
        <v>1448</v>
      </c>
      <c r="D3" s="290" t="s">
        <v>4123</v>
      </c>
      <c r="E3" t="s">
        <v>2189</v>
      </c>
      <c r="F3" s="290" t="s">
        <v>4124</v>
      </c>
      <c r="G3">
        <v>70000</v>
      </c>
      <c r="H3">
        <v>1</v>
      </c>
      <c r="I3" s="226">
        <v>7000</v>
      </c>
      <c r="J3" s="226">
        <v>77000</v>
      </c>
    </row>
    <row r="4" spans="1:12" x14ac:dyDescent="0.3">
      <c r="A4" s="47">
        <v>3</v>
      </c>
      <c r="B4" s="47" t="s">
        <v>4115</v>
      </c>
      <c r="C4" s="47" t="s">
        <v>1448</v>
      </c>
      <c r="D4" s="290" t="s">
        <v>1794</v>
      </c>
      <c r="E4" t="s">
        <v>2190</v>
      </c>
      <c r="F4" s="290" t="s">
        <v>1794</v>
      </c>
      <c r="G4">
        <v>35000</v>
      </c>
      <c r="H4">
        <v>1</v>
      </c>
      <c r="I4" s="226">
        <v>3500</v>
      </c>
      <c r="J4" s="226">
        <v>38500</v>
      </c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088"/>
  <sheetViews>
    <sheetView workbookViewId="0">
      <pane xSplit="1" ySplit="1" topLeftCell="B2048" activePane="bottomRight" state="frozen"/>
      <selection activeCell="N26" sqref="N26"/>
      <selection pane="topRight" activeCell="N26" sqref="N26"/>
      <selection pane="bottomLeft" activeCell="N26" sqref="N26"/>
      <selection pane="bottomRight" activeCell="C2048" sqref="C204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2089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3665</v>
      </c>
      <c r="E196" s="292" t="s">
        <v>1858</v>
      </c>
      <c r="F196" s="269" t="s">
        <v>3665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3665</v>
      </c>
      <c r="E236" s="292" t="s">
        <v>1858</v>
      </c>
      <c r="F236" s="269" t="s">
        <v>3665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4038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4038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4038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4038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3665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4038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3909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3909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3909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3909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3909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3909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3909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3909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3909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3909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3909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3909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3909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3909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3909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3909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3909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3909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3909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3909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3909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3909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3909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3909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3909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3909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3909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3909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3909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3909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3909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3909</v>
      </c>
    </row>
    <row r="1490" spans="1:14" x14ac:dyDescent="0.3">
      <c r="A1490" s="271">
        <v>1489</v>
      </c>
      <c r="B1490" s="264">
        <v>45903</v>
      </c>
      <c r="C1490" s="292" t="s">
        <v>3613</v>
      </c>
      <c r="E1490" s="292" t="s">
        <v>3614</v>
      </c>
      <c r="F1490" s="269" t="s">
        <v>3615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3909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3909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3909</v>
      </c>
    </row>
    <row r="1493" spans="1:14" x14ac:dyDescent="0.3">
      <c r="A1493" s="271">
        <v>1492</v>
      </c>
      <c r="B1493" s="264">
        <v>45903</v>
      </c>
      <c r="C1493" s="292" t="s">
        <v>3613</v>
      </c>
      <c r="E1493" s="292" t="s">
        <v>3616</v>
      </c>
      <c r="G1493" s="265">
        <v>150000</v>
      </c>
      <c r="H1493" s="269">
        <v>1</v>
      </c>
      <c r="J1493" s="266" t="s">
        <v>3617</v>
      </c>
      <c r="K1493" s="265">
        <v>165000</v>
      </c>
      <c r="M1493" s="269"/>
      <c r="N1493" t="s">
        <v>3909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3909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3909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3909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3909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3909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3909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3909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3909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3909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3909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3909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3909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3909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3909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3909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3909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3909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3909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3909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3909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3909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3909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4038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3909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3909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3909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3909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3909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3909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3909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3909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3909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3909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3909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3909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3909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3909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3909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3909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3909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3909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3909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3909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3909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3909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3909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3909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3909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3909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3909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3909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3909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3909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3909</v>
      </c>
    </row>
    <row r="1578" spans="1:14" x14ac:dyDescent="0.3">
      <c r="A1578" s="271">
        <v>1577</v>
      </c>
      <c r="B1578" s="264">
        <v>45910</v>
      </c>
      <c r="C1578" s="292" t="s">
        <v>3659</v>
      </c>
      <c r="E1578" s="292" t="s">
        <v>3661</v>
      </c>
      <c r="F1578" s="269" t="s">
        <v>3662</v>
      </c>
      <c r="G1578" s="265">
        <v>150000</v>
      </c>
      <c r="H1578" s="269">
        <v>1</v>
      </c>
      <c r="K1578" s="265">
        <v>150000</v>
      </c>
      <c r="M1578" s="292" t="s">
        <v>3663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3909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3909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3909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3909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3909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3909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3909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3909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3909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3909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3909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3909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3909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3909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3909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3909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3909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3909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3909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3909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3909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3909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3909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3909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3909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3909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3909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3909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3909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3909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3909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3909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3909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3909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3909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3909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3909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3909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3909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3909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3909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3909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3909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3909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3909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3909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3909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3909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3909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3909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3909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3909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3573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3909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3909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3909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3909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3909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3909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3909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3909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3909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3583</v>
      </c>
      <c r="G1667" s="265">
        <v>2200000</v>
      </c>
      <c r="H1667" s="269">
        <v>1</v>
      </c>
      <c r="K1667" s="265">
        <v>2200000</v>
      </c>
      <c r="N1667" t="s">
        <v>3909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3909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3909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3909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3909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3909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3909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3583</v>
      </c>
      <c r="F1675" s="269" t="s">
        <v>3593</v>
      </c>
      <c r="G1675" s="265">
        <v>900000</v>
      </c>
      <c r="H1675" s="269">
        <v>1</v>
      </c>
      <c r="K1675" s="265">
        <v>900000</v>
      </c>
      <c r="N1675" t="s">
        <v>3909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3909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3909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3909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3603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3909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3909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3909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3595</v>
      </c>
      <c r="F1683" s="269" t="s">
        <v>3594</v>
      </c>
      <c r="G1683" s="265">
        <v>300000</v>
      </c>
      <c r="H1683" s="269">
        <v>1</v>
      </c>
      <c r="K1683" s="265">
        <v>300000</v>
      </c>
      <c r="N1683" t="s">
        <v>3909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3909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3592</v>
      </c>
      <c r="F1685" s="269" t="s">
        <v>3591</v>
      </c>
      <c r="G1685" s="265">
        <v>130000</v>
      </c>
      <c r="H1685" s="269">
        <v>1</v>
      </c>
      <c r="K1685" s="265">
        <v>130000</v>
      </c>
      <c r="N1685" t="s">
        <v>3909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3583</v>
      </c>
      <c r="F1686" s="269" t="s">
        <v>3593</v>
      </c>
      <c r="G1686" s="265">
        <v>2200000</v>
      </c>
      <c r="H1686" s="269">
        <v>1</v>
      </c>
      <c r="K1686" s="265">
        <v>2200000</v>
      </c>
      <c r="N1686" t="s">
        <v>3909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3909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3909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3909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3910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3625</v>
      </c>
      <c r="E1692" s="292" t="s">
        <v>3626</v>
      </c>
      <c r="F1692" s="269" t="s">
        <v>3627</v>
      </c>
      <c r="G1692" s="265">
        <v>350000</v>
      </c>
      <c r="H1692" s="269">
        <v>2</v>
      </c>
      <c r="J1692" s="266" t="s">
        <v>3628</v>
      </c>
      <c r="K1692" s="265">
        <v>770000</v>
      </c>
      <c r="N1692" t="s">
        <v>3909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3573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3909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3909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3583</v>
      </c>
      <c r="F1701" s="269" t="s">
        <v>3593</v>
      </c>
      <c r="G1701" s="265">
        <v>2000000</v>
      </c>
      <c r="H1701" s="269">
        <v>1</v>
      </c>
      <c r="K1701" s="265">
        <v>2000000</v>
      </c>
      <c r="N1701" t="s">
        <v>3909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3622</v>
      </c>
      <c r="G1702" s="265">
        <v>250000</v>
      </c>
      <c r="H1702" s="269">
        <v>1</v>
      </c>
      <c r="K1702" s="265">
        <v>250000</v>
      </c>
      <c r="N1702" t="s">
        <v>3909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3624</v>
      </c>
      <c r="L1703" s="265">
        <v>-2000000</v>
      </c>
      <c r="N1703" t="s">
        <v>3909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3909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3711</v>
      </c>
      <c r="E1714" s="292" t="s">
        <v>3712</v>
      </c>
      <c r="F1714" s="269" t="s">
        <v>3713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3909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3909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3909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3909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3909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3909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3909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3909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3909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3647</v>
      </c>
      <c r="N1730" t="s">
        <v>3909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3909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3583</v>
      </c>
      <c r="F1732" s="269" t="s">
        <v>3593</v>
      </c>
      <c r="G1732" s="265">
        <v>2200000</v>
      </c>
      <c r="H1732" s="269">
        <v>1</v>
      </c>
      <c r="K1732" s="265">
        <v>2200000</v>
      </c>
      <c r="N1732" t="s">
        <v>3909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3909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3909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3909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3909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3909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3909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3909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3909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3909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3654</v>
      </c>
      <c r="G1742" s="265">
        <v>150000</v>
      </c>
      <c r="H1742" s="269">
        <v>1</v>
      </c>
      <c r="K1742" s="265">
        <v>150000</v>
      </c>
      <c r="N1742" t="s">
        <v>3909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3656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3909</v>
      </c>
    </row>
    <row r="1746" spans="1:14" x14ac:dyDescent="0.3">
      <c r="A1746" s="271">
        <v>1745</v>
      </c>
      <c r="B1746" s="264">
        <v>45924</v>
      </c>
      <c r="C1746" s="292" t="s">
        <v>3659</v>
      </c>
      <c r="E1746" s="292" t="s">
        <v>3660</v>
      </c>
      <c r="L1746" s="265">
        <v>-150000</v>
      </c>
      <c r="N1746" t="s">
        <v>3909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3658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3909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3665</v>
      </c>
      <c r="G1748" s="265">
        <v>1100000</v>
      </c>
      <c r="H1748" s="269">
        <v>1</v>
      </c>
      <c r="K1748" s="265">
        <v>1100000</v>
      </c>
      <c r="N1748" t="s">
        <v>3909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3583</v>
      </c>
      <c r="F1749" s="269" t="s">
        <v>3593</v>
      </c>
      <c r="G1749" s="265">
        <v>2200000</v>
      </c>
      <c r="H1749" s="269">
        <v>1</v>
      </c>
      <c r="K1749" s="265">
        <v>2200000</v>
      </c>
      <c r="N1749" t="s">
        <v>3909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3909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3909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3909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3909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3909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3909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3909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3909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3909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3909</v>
      </c>
    </row>
    <row r="1768" spans="1:14" x14ac:dyDescent="0.3">
      <c r="A1768" s="271">
        <v>1767</v>
      </c>
      <c r="B1768" s="264">
        <v>45926</v>
      </c>
      <c r="C1768" s="292" t="s">
        <v>3721</v>
      </c>
      <c r="E1768" s="292">
        <v>2703900</v>
      </c>
      <c r="F1768" s="269" t="s">
        <v>3722</v>
      </c>
      <c r="G1768" s="265">
        <v>1000000</v>
      </c>
      <c r="H1768" s="269">
        <v>1</v>
      </c>
      <c r="K1768" s="265">
        <v>1000000</v>
      </c>
      <c r="N1768" t="s">
        <v>3909</v>
      </c>
    </row>
    <row r="1769" spans="1:14" x14ac:dyDescent="0.3">
      <c r="A1769" s="271">
        <v>1768</v>
      </c>
      <c r="B1769" s="264">
        <v>45927</v>
      </c>
      <c r="C1769" s="292" t="s">
        <v>3721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3724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3909</v>
      </c>
    </row>
    <row r="1771" spans="1:14" x14ac:dyDescent="0.3">
      <c r="A1771" s="271">
        <v>1770</v>
      </c>
      <c r="B1771" s="264">
        <v>45927</v>
      </c>
      <c r="C1771" s="292" t="s">
        <v>3724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3729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3730</v>
      </c>
      <c r="N1774" t="s">
        <v>3909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3734</v>
      </c>
      <c r="H1775" s="269">
        <v>1</v>
      </c>
      <c r="K1775" s="265">
        <v>0</v>
      </c>
      <c r="M1775" s="292" t="s">
        <v>3735</v>
      </c>
      <c r="N1775" t="s">
        <v>3909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3741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3743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3909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3909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3909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3909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3909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3748</v>
      </c>
      <c r="N1784" t="s">
        <v>3909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3750</v>
      </c>
      <c r="N1785" t="s">
        <v>3909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3752</v>
      </c>
      <c r="N1786" t="s">
        <v>3909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3909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3909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3909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3909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3909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3909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4038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3909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3909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3909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3759</v>
      </c>
      <c r="L1796" s="265">
        <v>-800000</v>
      </c>
      <c r="N1796" t="s">
        <v>3909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3909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3909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3770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3909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3909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3909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3779</v>
      </c>
      <c r="E1810" s="292" t="s">
        <v>3780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3909</v>
      </c>
    </row>
    <row r="1811" spans="1:14" x14ac:dyDescent="0.3">
      <c r="A1811" s="271">
        <v>1810</v>
      </c>
      <c r="B1811" s="264">
        <v>45930</v>
      </c>
      <c r="C1811" s="292" t="s">
        <v>3779</v>
      </c>
      <c r="E1811" s="292" t="s">
        <v>3781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3777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3778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3782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3783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3785</v>
      </c>
      <c r="E1819" s="292" t="s">
        <v>3786</v>
      </c>
      <c r="F1819" s="269" t="s">
        <v>3787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3817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3817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3826</v>
      </c>
      <c r="F1834" s="269" t="s">
        <v>3825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3820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3830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3820</v>
      </c>
      <c r="E1838" s="292" t="s">
        <v>3834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3850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3630</v>
      </c>
      <c r="F1855" s="269" t="s">
        <v>3629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4108</v>
      </c>
      <c r="D1856" s="295" t="s">
        <v>4109</v>
      </c>
      <c r="E1856" s="292" t="s">
        <v>4110</v>
      </c>
      <c r="F1856" s="269" t="s">
        <v>4111</v>
      </c>
      <c r="G1856" s="265">
        <v>250000</v>
      </c>
      <c r="H1856" s="269">
        <v>1</v>
      </c>
      <c r="K1856" s="265">
        <v>0</v>
      </c>
      <c r="M1856" s="304" t="s">
        <v>3858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3817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3817</v>
      </c>
      <c r="E1870" s="292" t="s">
        <v>3870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3871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3872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3881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3879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3883</v>
      </c>
    </row>
    <row r="1880" spans="1:13" x14ac:dyDescent="0.3">
      <c r="A1880" s="271">
        <v>1879</v>
      </c>
      <c r="B1880" s="264">
        <v>45943</v>
      </c>
      <c r="C1880" s="292" t="s">
        <v>3885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3891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3891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3895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3891</v>
      </c>
      <c r="E1888" s="292" t="s">
        <v>3897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3901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3903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3885</v>
      </c>
      <c r="E1892" s="292" t="s">
        <v>3905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4078</v>
      </c>
      <c r="E1894" s="292" t="s">
        <v>4079</v>
      </c>
      <c r="F1894" s="269" t="s">
        <v>4080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4078</v>
      </c>
      <c r="E1895" s="292" t="s">
        <v>4081</v>
      </c>
      <c r="F1895" s="269" t="s">
        <v>4082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3912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3914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3922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3925</v>
      </c>
      <c r="F1909" s="269" t="s">
        <v>3924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3928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4028</v>
      </c>
      <c r="E1915" s="292" t="s">
        <v>4029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4028</v>
      </c>
      <c r="E1916" s="292" t="s">
        <v>4030</v>
      </c>
      <c r="F1916" s="269" t="s">
        <v>4031</v>
      </c>
      <c r="G1916" s="265">
        <v>1000000</v>
      </c>
      <c r="H1916" s="269">
        <v>1</v>
      </c>
      <c r="J1916" s="266" t="s">
        <v>4032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3931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3942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3943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3931</v>
      </c>
      <c r="E1929" s="292" t="s">
        <v>3944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3945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3817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3817</v>
      </c>
      <c r="E1938" s="292" t="s">
        <v>3960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3945</v>
      </c>
      <c r="E1939" s="292" t="s">
        <v>3961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3943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3962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3970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3970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4033</v>
      </c>
      <c r="E1954" s="292" t="s">
        <v>4034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3975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3970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3979</v>
      </c>
      <c r="E1960" s="292" t="s">
        <v>3978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3982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3986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3989</v>
      </c>
      <c r="F1970" s="269" t="s">
        <v>3988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3931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3931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3931</v>
      </c>
      <c r="E1974" s="292" t="s">
        <v>3994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4131</v>
      </c>
      <c r="E1976" s="292" t="s">
        <v>4132</v>
      </c>
      <c r="F1976" s="269" t="s">
        <v>4133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4000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4002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4016</v>
      </c>
      <c r="F1991" s="269" t="s">
        <v>4015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4024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4000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4002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4045</v>
      </c>
      <c r="E2026" s="292" t="s">
        <v>2179</v>
      </c>
      <c r="F2026" s="269" t="s">
        <v>1200</v>
      </c>
      <c r="G2026" s="265">
        <v>1500000</v>
      </c>
      <c r="H2026" s="269">
        <v>1</v>
      </c>
      <c r="K2026" s="265">
        <v>1500000</v>
      </c>
    </row>
    <row r="2027" spans="1:12" x14ac:dyDescent="0.3">
      <c r="A2027" s="58">
        <v>2027</v>
      </c>
      <c r="B2027" s="264">
        <v>45955</v>
      </c>
      <c r="C2027" s="292" t="s">
        <v>4045</v>
      </c>
      <c r="E2027" s="292" t="s">
        <v>2180</v>
      </c>
      <c r="F2027" s="269" t="s">
        <v>1802</v>
      </c>
      <c r="G2027" s="265">
        <v>50000</v>
      </c>
      <c r="H2027" s="269">
        <v>1</v>
      </c>
      <c r="K2027" s="265">
        <v>50000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4089</v>
      </c>
      <c r="E2030" s="292" t="s">
        <v>4090</v>
      </c>
      <c r="F2030" s="269" t="s">
        <v>4091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4055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3931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4058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4077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4070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4066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4062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4062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4062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4062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4062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4083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4066</v>
      </c>
      <c r="E2049" s="292" t="s">
        <v>4084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4062</v>
      </c>
      <c r="E2050" s="292" t="s">
        <v>4085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3912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3964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3964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4092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4092</v>
      </c>
      <c r="E2072" s="292" t="s">
        <v>4106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3630</v>
      </c>
      <c r="F2077" s="269" t="s">
        <v>3629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4112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2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2" x14ac:dyDescent="0.3">
      <c r="A2082" s="58">
        <v>2082</v>
      </c>
      <c r="B2082" s="264">
        <v>45959</v>
      </c>
      <c r="C2082" s="292" t="s">
        <v>4045</v>
      </c>
      <c r="E2082" s="292" t="s">
        <v>2417</v>
      </c>
      <c r="F2082" s="269" t="s">
        <v>2747</v>
      </c>
      <c r="G2082" s="265">
        <v>1100000</v>
      </c>
      <c r="H2082" s="269">
        <v>1</v>
      </c>
      <c r="K2082" s="265">
        <v>1100000</v>
      </c>
    </row>
    <row r="2083" spans="1:12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2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2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2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2" x14ac:dyDescent="0.3">
      <c r="A2087" s="58">
        <v>2087</v>
      </c>
      <c r="B2087" s="264">
        <v>45959</v>
      </c>
      <c r="C2087" s="292" t="s">
        <v>4112</v>
      </c>
      <c r="E2087" s="292" t="s">
        <v>4130</v>
      </c>
      <c r="L2087" s="265">
        <v>-396000</v>
      </c>
    </row>
    <row r="2088" spans="1:12" x14ac:dyDescent="0.3">
      <c r="A2088" s="58">
        <v>2088</v>
      </c>
      <c r="B2088" s="264">
        <v>45959</v>
      </c>
      <c r="C2088" s="292" t="s">
        <v>1866</v>
      </c>
      <c r="E2088" s="292" t="s">
        <v>3942</v>
      </c>
      <c r="L2088" s="265">
        <v>-1200000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78"/>
  <sheetViews>
    <sheetView topLeftCell="A2" workbookViewId="0">
      <selection activeCell="B31" sqref="B3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45959</v>
      </c>
      <c r="B3" s="235" t="s">
        <v>1126</v>
      </c>
      <c r="C3" s="286">
        <f>SUMIF($B:$B,A3,I:I)</f>
        <v>5833500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11279002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131261500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131261500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1746</v>
      </c>
      <c r="D9" s="112" t="s">
        <v>3782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1540</v>
      </c>
      <c r="D10" s="112" t="s">
        <v>3783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2761</v>
      </c>
      <c r="D11" s="112" t="s">
        <v>3784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1846</v>
      </c>
      <c r="D12" s="112" t="s">
        <v>3463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1846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1889</v>
      </c>
      <c r="D17" s="112" t="s">
        <v>3656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1869</v>
      </c>
      <c r="D18" s="112" t="s">
        <v>3815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3817</v>
      </c>
      <c r="D19" s="112" t="s">
        <v>3463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3819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1398</v>
      </c>
      <c r="D26" s="112" t="s">
        <v>3826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3820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2144</v>
      </c>
      <c r="D29" s="112" t="s">
        <v>3833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3820</v>
      </c>
      <c r="D30" s="112" t="s">
        <v>3834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1721</v>
      </c>
      <c r="D31" s="112" t="s">
        <v>3835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1478</v>
      </c>
      <c r="D32" s="112" t="s">
        <v>3836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1869</v>
      </c>
      <c r="D33" s="112" t="s">
        <v>3837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2622</v>
      </c>
      <c r="D37" s="113" t="s">
        <v>3843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3851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1746</v>
      </c>
      <c r="D42" s="112" t="s">
        <v>2919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1746</v>
      </c>
      <c r="D43" s="112" t="s">
        <v>2918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1746</v>
      </c>
      <c r="D44" s="112" t="s">
        <v>3853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1576</v>
      </c>
      <c r="D45" s="112" t="s">
        <v>2798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1576</v>
      </c>
      <c r="D47" s="113" t="s">
        <v>3630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1377</v>
      </c>
      <c r="D48" s="113" t="s">
        <v>4038</v>
      </c>
      <c r="F48" s="120">
        <v>250000</v>
      </c>
      <c r="G48" s="85">
        <v>1</v>
      </c>
      <c r="I48" s="80">
        <v>0</v>
      </c>
    </row>
    <row r="49" spans="1:10" ht="18" customHeight="1" x14ac:dyDescent="0.3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3396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3396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2485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3817</v>
      </c>
      <c r="D56" s="113" t="s">
        <v>3463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1531</v>
      </c>
      <c r="D59" s="113" t="s">
        <v>2839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2144</v>
      </c>
      <c r="D60" s="113" t="s">
        <v>3868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1597</v>
      </c>
      <c r="D61" s="113" t="s">
        <v>3869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3817</v>
      </c>
      <c r="D62" s="113" t="s">
        <v>3870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2485</v>
      </c>
      <c r="D63" s="113" t="s">
        <v>3871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3396</v>
      </c>
      <c r="D64" s="113" t="s">
        <v>3872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2997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1531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1377</v>
      </c>
      <c r="D71" s="113" t="s">
        <v>3879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3885</v>
      </c>
      <c r="D72" s="113" t="s">
        <v>3463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1579</v>
      </c>
      <c r="D73" s="113" t="s">
        <v>2412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2617</v>
      </c>
      <c r="D74" s="113" t="s">
        <v>3463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2617</v>
      </c>
      <c r="D75" s="113" t="s">
        <v>3339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3891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3891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3267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2617</v>
      </c>
      <c r="D79" s="113" t="s">
        <v>3895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3891</v>
      </c>
      <c r="D80" s="113" t="s">
        <v>3897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3899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1172</v>
      </c>
      <c r="D82" s="113" t="s">
        <v>3901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3267</v>
      </c>
      <c r="D83" s="113" t="s">
        <v>3903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3885</v>
      </c>
      <c r="D84" s="113" t="s">
        <v>3905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I86" s="80">
        <v>1200000</v>
      </c>
    </row>
    <row r="87" spans="1:10" ht="18" customHeight="1" x14ac:dyDescent="0.3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I87" s="80">
        <v>350000</v>
      </c>
    </row>
    <row r="88" spans="1:10" ht="18" customHeight="1" x14ac:dyDescent="0.3">
      <c r="A88" s="82">
        <v>1895</v>
      </c>
      <c r="B88" s="93">
        <v>45944</v>
      </c>
      <c r="C88" s="83" t="s">
        <v>1466</v>
      </c>
      <c r="D88" s="113" t="s">
        <v>1799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1398</v>
      </c>
      <c r="D89" s="113" t="s">
        <v>1548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1398</v>
      </c>
      <c r="D90" s="113" t="s">
        <v>2090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1398</v>
      </c>
      <c r="D91" s="113" t="s">
        <v>3912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1398</v>
      </c>
      <c r="D92" s="113" t="s">
        <v>3045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3914</v>
      </c>
      <c r="D93" s="113" t="s">
        <v>1202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1585</v>
      </c>
      <c r="D94" s="113" t="s">
        <v>2912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1804</v>
      </c>
      <c r="D95" s="113" t="s">
        <v>3220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1553</v>
      </c>
      <c r="D96" s="113" t="s">
        <v>1265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1579</v>
      </c>
      <c r="D97" s="113" t="s">
        <v>3463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1579</v>
      </c>
      <c r="D98" s="113" t="s">
        <v>2187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3114</v>
      </c>
      <c r="D99" s="113" t="s">
        <v>2196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2997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1398</v>
      </c>
      <c r="D101" s="113" t="s">
        <v>3925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1930</v>
      </c>
      <c r="D102" s="113" t="s">
        <v>2201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1930</v>
      </c>
      <c r="D103" s="113" t="s">
        <v>2180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1466</v>
      </c>
      <c r="D104" s="113" t="s">
        <v>2201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1466</v>
      </c>
      <c r="D105" s="113" t="s">
        <v>2180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1466</v>
      </c>
      <c r="D106" s="113" t="s">
        <v>2679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2112</v>
      </c>
      <c r="D107" s="113" t="s">
        <v>1742</v>
      </c>
      <c r="F107" s="80">
        <v>1100000</v>
      </c>
      <c r="G107" s="120">
        <v>1</v>
      </c>
      <c r="H107" s="126" t="s">
        <v>3519</v>
      </c>
      <c r="I107" s="80">
        <v>1210000</v>
      </c>
    </row>
    <row r="108" spans="1:10" ht="18" customHeight="1" x14ac:dyDescent="0.3">
      <c r="A108" s="82">
        <v>1916</v>
      </c>
      <c r="B108" s="93">
        <v>45945</v>
      </c>
      <c r="C108" s="83" t="s">
        <v>2112</v>
      </c>
      <c r="D108" s="113" t="s">
        <v>3050</v>
      </c>
      <c r="F108" s="80">
        <v>1000000</v>
      </c>
      <c r="G108" s="120">
        <v>1</v>
      </c>
      <c r="H108" s="126" t="s">
        <v>4032</v>
      </c>
      <c r="I108" s="80">
        <v>1100000</v>
      </c>
    </row>
    <row r="109" spans="1:10" ht="18" customHeight="1" x14ac:dyDescent="0.3">
      <c r="A109" s="82">
        <v>1917</v>
      </c>
      <c r="B109" s="93">
        <v>45945</v>
      </c>
      <c r="C109" s="83" t="s">
        <v>3931</v>
      </c>
      <c r="D109" s="113" t="s">
        <v>1742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1789</v>
      </c>
      <c r="D110" s="113" t="s">
        <v>1742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1789</v>
      </c>
      <c r="D111" s="113" t="s">
        <v>1518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1742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1493</v>
      </c>
      <c r="D113" s="113" t="s">
        <v>1495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1448</v>
      </c>
      <c r="D114" s="113" t="s">
        <v>3463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1448</v>
      </c>
      <c r="D115" s="113" t="s">
        <v>3939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1448</v>
      </c>
      <c r="D116" s="113" t="s">
        <v>2189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1448</v>
      </c>
      <c r="D117" s="113" t="s">
        <v>2191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1448</v>
      </c>
      <c r="D118" s="113" t="s">
        <v>2190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1866</v>
      </c>
      <c r="D119" s="113" t="s">
        <v>3942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1930</v>
      </c>
      <c r="D120" s="113" t="s">
        <v>3943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3931</v>
      </c>
      <c r="D121" s="113" t="s">
        <v>3944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1472</v>
      </c>
      <c r="D122" s="113" t="s">
        <v>3463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1484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1597</v>
      </c>
      <c r="D124" s="113" t="s">
        <v>1202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3945</v>
      </c>
      <c r="D125" s="113" t="s">
        <v>2195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3817</v>
      </c>
      <c r="D126" s="113" t="s">
        <v>1742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1789</v>
      </c>
      <c r="D127" s="113" t="s">
        <v>3957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1484</v>
      </c>
      <c r="D128" s="113" t="s">
        <v>3959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1597</v>
      </c>
      <c r="D129" s="113" t="s">
        <v>3869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3817</v>
      </c>
      <c r="D130" s="113" t="s">
        <v>3960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3945</v>
      </c>
      <c r="D131" s="113" t="s">
        <v>3961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1930</v>
      </c>
      <c r="D132" s="113" t="s">
        <v>3943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1468</v>
      </c>
      <c r="D133" s="113" t="s">
        <v>1202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1468</v>
      </c>
      <c r="D134" s="113" t="s">
        <v>3962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2193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2191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3964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1716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1579</v>
      </c>
      <c r="D139" s="113" t="s">
        <v>3966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1789</v>
      </c>
      <c r="D140" s="113" t="s">
        <v>1828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1976</v>
      </c>
      <c r="D141" s="113" t="s">
        <v>1202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1976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1869</v>
      </c>
      <c r="D143" s="113" t="s">
        <v>1915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3970</v>
      </c>
      <c r="D144" s="113" t="s">
        <v>1854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3970</v>
      </c>
      <c r="D145" s="113" t="s">
        <v>1716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2609</v>
      </c>
      <c r="D146" s="113" t="s">
        <v>1716</v>
      </c>
      <c r="F146" s="120">
        <v>200000</v>
      </c>
      <c r="G146" s="85">
        <v>1</v>
      </c>
      <c r="H146" s="126">
        <v>20000</v>
      </c>
      <c r="I146" s="80">
        <v>220000</v>
      </c>
    </row>
    <row r="147" spans="1:10" ht="18" customHeight="1" x14ac:dyDescent="0.3">
      <c r="A147" s="82">
        <v>1955</v>
      </c>
      <c r="B147" s="93">
        <v>45950</v>
      </c>
      <c r="C147" s="83" t="s">
        <v>1579</v>
      </c>
      <c r="D147" s="113" t="s">
        <v>3975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3970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1869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3914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2409</v>
      </c>
      <c r="D151" s="113" t="s">
        <v>2196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3979</v>
      </c>
      <c r="D152" s="113" t="s">
        <v>3978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1398</v>
      </c>
      <c r="D153" s="113" t="s">
        <v>1742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1398</v>
      </c>
      <c r="D154" s="113" t="s">
        <v>1265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1579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1493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1448</v>
      </c>
      <c r="D157" s="113" t="s">
        <v>3982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1472</v>
      </c>
      <c r="D158" s="113" t="s">
        <v>1858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3396</v>
      </c>
      <c r="D159" s="113" t="s">
        <v>1858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2026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3200</v>
      </c>
      <c r="D161" s="113" t="s">
        <v>1580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1746</v>
      </c>
      <c r="D162" s="113" t="s">
        <v>3989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1448</v>
      </c>
      <c r="D163" s="113" t="s">
        <v>1202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3931</v>
      </c>
      <c r="D164" s="113" t="s">
        <v>1202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3931</v>
      </c>
      <c r="D165" s="113" t="s">
        <v>1495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3931</v>
      </c>
      <c r="D166" s="113" t="s">
        <v>1518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1398</v>
      </c>
      <c r="D167" s="113" t="s">
        <v>1742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1866</v>
      </c>
      <c r="D168" s="113" t="s">
        <v>1202</v>
      </c>
      <c r="F168" s="120">
        <v>1300000</v>
      </c>
      <c r="G168" s="85">
        <v>1</v>
      </c>
      <c r="I168" s="80">
        <v>1300000</v>
      </c>
    </row>
    <row r="169" spans="1:10" ht="18" customHeight="1" x14ac:dyDescent="0.3">
      <c r="A169" s="82">
        <v>1977</v>
      </c>
      <c r="B169" s="93">
        <v>45951</v>
      </c>
      <c r="C169" s="83" t="s">
        <v>3979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1448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4000</v>
      </c>
      <c r="D171" s="113" t="s">
        <v>1742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4002</v>
      </c>
      <c r="D172" s="113" t="s">
        <v>2026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1540</v>
      </c>
      <c r="D173" s="113" t="s">
        <v>1204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2557</v>
      </c>
      <c r="D174" s="113" t="s">
        <v>2177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3150</v>
      </c>
      <c r="D175" s="113" t="s">
        <v>1202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1721</v>
      </c>
      <c r="D176" s="113" t="s">
        <v>2177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1721</v>
      </c>
      <c r="D177" s="113" t="s">
        <v>2918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2193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2191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3964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2190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2189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1466</v>
      </c>
      <c r="D183" s="113" t="s">
        <v>4016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2409</v>
      </c>
      <c r="D184" s="113" t="s">
        <v>2196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1576</v>
      </c>
      <c r="D185" s="113" t="s">
        <v>3041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1869</v>
      </c>
      <c r="D186" s="113" t="s">
        <v>2187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1398</v>
      </c>
      <c r="D187" s="113" t="s">
        <v>3123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1597</v>
      </c>
      <c r="D188" s="113" t="s">
        <v>1737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1443</v>
      </c>
      <c r="D189" s="113" t="s">
        <v>1972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1443</v>
      </c>
      <c r="D190" s="113" t="s">
        <v>1972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1443</v>
      </c>
      <c r="D191" s="113" t="s">
        <v>2157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1443</v>
      </c>
      <c r="D192" s="113" t="s">
        <v>1984</v>
      </c>
      <c r="F192" s="120">
        <v>150000</v>
      </c>
      <c r="G192" s="85">
        <v>1</v>
      </c>
      <c r="I192" s="80">
        <v>150000</v>
      </c>
    </row>
    <row r="193" spans="1:10" ht="18" customHeight="1" x14ac:dyDescent="0.3">
      <c r="A193" s="82">
        <v>2001</v>
      </c>
      <c r="B193" s="93">
        <v>45953</v>
      </c>
      <c r="C193" s="83" t="s">
        <v>1007</v>
      </c>
      <c r="D193" s="113" t="s">
        <v>2136</v>
      </c>
      <c r="F193" s="120">
        <v>1150000</v>
      </c>
      <c r="G193" s="85">
        <v>1</v>
      </c>
      <c r="I193" s="80">
        <v>1150000</v>
      </c>
    </row>
    <row r="194" spans="1:10" ht="18" customHeight="1" x14ac:dyDescent="0.3">
      <c r="A194" s="82">
        <v>2002</v>
      </c>
      <c r="B194" s="93">
        <v>45953</v>
      </c>
      <c r="C194" s="83" t="s">
        <v>1576</v>
      </c>
      <c r="D194" s="113" t="s">
        <v>1202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10" ht="18" customHeight="1" x14ac:dyDescent="0.3">
      <c r="A195" s="82">
        <v>2003</v>
      </c>
      <c r="B195" s="93">
        <v>45953</v>
      </c>
      <c r="C195" s="83" t="s">
        <v>1576</v>
      </c>
      <c r="D195" s="113" t="s">
        <v>1518</v>
      </c>
      <c r="F195" s="120">
        <v>20000</v>
      </c>
      <c r="G195" s="85">
        <v>1</v>
      </c>
      <c r="H195" s="126">
        <v>2000</v>
      </c>
      <c r="I195" s="80">
        <v>22000</v>
      </c>
    </row>
    <row r="196" spans="1:10" ht="18" customHeight="1" x14ac:dyDescent="0.3">
      <c r="A196" s="82">
        <v>2004</v>
      </c>
      <c r="B196" s="93">
        <v>45953</v>
      </c>
      <c r="C196" s="83" t="s">
        <v>2112</v>
      </c>
      <c r="D196" s="113" t="s">
        <v>1125</v>
      </c>
      <c r="J196" s="80">
        <v>-2310000</v>
      </c>
    </row>
    <row r="197" spans="1:10" ht="18" customHeight="1" x14ac:dyDescent="0.3">
      <c r="A197" s="82">
        <v>2005</v>
      </c>
      <c r="B197" s="93">
        <v>45953</v>
      </c>
      <c r="C197" s="83" t="s">
        <v>3200</v>
      </c>
      <c r="D197" s="113" t="s">
        <v>1125</v>
      </c>
      <c r="J197" s="80">
        <v>-1100000</v>
      </c>
    </row>
    <row r="198" spans="1:10" ht="18" customHeight="1" x14ac:dyDescent="0.3">
      <c r="A198" s="82">
        <v>2006</v>
      </c>
      <c r="B198" s="93">
        <v>45953</v>
      </c>
      <c r="C198" s="83" t="s">
        <v>2609</v>
      </c>
      <c r="D198" s="113" t="s">
        <v>1125</v>
      </c>
      <c r="J198" s="80">
        <v>-220000</v>
      </c>
    </row>
    <row r="199" spans="1:10" ht="18" customHeight="1" x14ac:dyDescent="0.3">
      <c r="A199" s="82">
        <v>2007</v>
      </c>
      <c r="B199" s="93">
        <v>45953</v>
      </c>
      <c r="C199" s="83" t="s">
        <v>4000</v>
      </c>
      <c r="D199" s="113" t="s">
        <v>1125</v>
      </c>
      <c r="J199" s="80">
        <v>-650000</v>
      </c>
    </row>
    <row r="200" spans="1:10" ht="18" customHeight="1" x14ac:dyDescent="0.3">
      <c r="A200" s="82">
        <v>2008</v>
      </c>
      <c r="B200" s="93">
        <v>45953</v>
      </c>
      <c r="C200" s="83" t="s">
        <v>2409</v>
      </c>
      <c r="D200" s="113" t="s">
        <v>1125</v>
      </c>
      <c r="I200" s="126"/>
      <c r="J200" s="80">
        <v>-2420000</v>
      </c>
    </row>
    <row r="201" spans="1:10" ht="18" customHeight="1" x14ac:dyDescent="0.3">
      <c r="A201" s="82">
        <v>2009</v>
      </c>
      <c r="B201" s="93">
        <v>45953</v>
      </c>
      <c r="C201" s="83" t="s">
        <v>987</v>
      </c>
      <c r="D201" s="113" t="s">
        <v>1125</v>
      </c>
      <c r="I201" s="126"/>
      <c r="J201" s="80">
        <v>-1650000</v>
      </c>
    </row>
    <row r="202" spans="1:10" ht="18" customHeight="1" x14ac:dyDescent="0.3">
      <c r="A202" s="82">
        <v>2010</v>
      </c>
      <c r="B202" s="93">
        <v>45953</v>
      </c>
      <c r="C202" s="83" t="s">
        <v>3150</v>
      </c>
      <c r="D202" s="113" t="s">
        <v>1125</v>
      </c>
      <c r="J202" s="80">
        <v>-800000</v>
      </c>
    </row>
    <row r="203" spans="1:10" ht="18" customHeight="1" x14ac:dyDescent="0.3">
      <c r="A203" s="82">
        <v>2011</v>
      </c>
      <c r="B203" s="93">
        <v>45953</v>
      </c>
      <c r="C203" s="83" t="s">
        <v>2557</v>
      </c>
      <c r="D203" s="113" t="s">
        <v>1125</v>
      </c>
      <c r="J203" s="80">
        <v>-1500000</v>
      </c>
    </row>
    <row r="204" spans="1:10" ht="18" customHeight="1" x14ac:dyDescent="0.3">
      <c r="A204" s="82">
        <v>2012</v>
      </c>
      <c r="B204" s="93">
        <v>45953</v>
      </c>
      <c r="C204" s="83" t="s">
        <v>3396</v>
      </c>
      <c r="D204" s="113" t="s">
        <v>1125</v>
      </c>
      <c r="J204" s="80">
        <v>-1100000</v>
      </c>
    </row>
    <row r="205" spans="1:10" ht="18" customHeight="1" x14ac:dyDescent="0.3">
      <c r="A205" s="82">
        <v>2013</v>
      </c>
      <c r="B205" s="93">
        <v>45953</v>
      </c>
      <c r="C205" s="83" t="s">
        <v>4002</v>
      </c>
      <c r="D205" s="113" t="s">
        <v>1125</v>
      </c>
      <c r="J205" s="80">
        <v>-1500000</v>
      </c>
    </row>
    <row r="206" spans="1:10" ht="18" customHeight="1" x14ac:dyDescent="0.3">
      <c r="A206" s="82">
        <v>2014</v>
      </c>
      <c r="B206" s="93">
        <v>45953</v>
      </c>
      <c r="C206" s="83" t="s">
        <v>1398</v>
      </c>
      <c r="D206" s="113" t="s">
        <v>1202</v>
      </c>
      <c r="F206" s="120">
        <v>1200000</v>
      </c>
      <c r="G206" s="85">
        <v>1</v>
      </c>
      <c r="I206" s="80">
        <v>1200000</v>
      </c>
    </row>
    <row r="207" spans="1:10" ht="18" customHeight="1" x14ac:dyDescent="0.3">
      <c r="A207" s="82">
        <v>2015</v>
      </c>
      <c r="B207" s="93">
        <v>45953</v>
      </c>
      <c r="C207" s="83" t="s">
        <v>1398</v>
      </c>
      <c r="D207" s="113" t="s">
        <v>2839</v>
      </c>
      <c r="F207" s="120">
        <v>129000</v>
      </c>
      <c r="G207" s="85">
        <v>1</v>
      </c>
      <c r="I207" s="80">
        <v>129000</v>
      </c>
    </row>
    <row r="208" spans="1:10" ht="18" customHeight="1" x14ac:dyDescent="0.3">
      <c r="A208" s="82">
        <v>2016</v>
      </c>
      <c r="B208" s="93">
        <v>45954</v>
      </c>
      <c r="C208" s="83" t="s">
        <v>1930</v>
      </c>
      <c r="D208" s="113" t="s">
        <v>1125</v>
      </c>
      <c r="J208" s="80">
        <v>-1100000</v>
      </c>
    </row>
    <row r="209" spans="1:10" ht="18" customHeight="1" x14ac:dyDescent="0.3">
      <c r="A209" s="82">
        <v>2017</v>
      </c>
      <c r="B209" s="93">
        <v>45954</v>
      </c>
      <c r="C209" s="83" t="s">
        <v>1597</v>
      </c>
      <c r="D209" s="113" t="s">
        <v>1125</v>
      </c>
      <c r="J209" s="80">
        <v>-400000</v>
      </c>
    </row>
    <row r="210" spans="1:10" ht="18" customHeight="1" x14ac:dyDescent="0.3">
      <c r="A210" s="82">
        <v>2018</v>
      </c>
      <c r="B210" s="93">
        <v>45954</v>
      </c>
      <c r="C210" s="83" t="s">
        <v>1007</v>
      </c>
      <c r="D210" s="113" t="s">
        <v>1125</v>
      </c>
      <c r="J210" s="80">
        <v>-1150000</v>
      </c>
    </row>
    <row r="211" spans="1:10" ht="18" customHeight="1" x14ac:dyDescent="0.3">
      <c r="A211" s="82">
        <v>2019</v>
      </c>
      <c r="B211" s="93">
        <v>45954</v>
      </c>
      <c r="C211" s="83" t="s">
        <v>2703</v>
      </c>
      <c r="D211" s="113" t="s">
        <v>2200</v>
      </c>
      <c r="F211" s="120">
        <v>100000</v>
      </c>
      <c r="G211" s="85">
        <v>1</v>
      </c>
      <c r="H211" s="126">
        <v>10000</v>
      </c>
      <c r="I211" s="80">
        <v>110000</v>
      </c>
    </row>
    <row r="212" spans="1:10" ht="18" customHeight="1" x14ac:dyDescent="0.3">
      <c r="A212" s="82">
        <v>2020</v>
      </c>
      <c r="B212" s="93">
        <v>45954</v>
      </c>
      <c r="C212" s="83" t="s">
        <v>1493</v>
      </c>
      <c r="D212" s="113" t="s">
        <v>3463</v>
      </c>
      <c r="F212" s="120">
        <v>600000</v>
      </c>
      <c r="G212" s="85">
        <v>1</v>
      </c>
      <c r="I212" s="80">
        <v>600000</v>
      </c>
    </row>
    <row r="213" spans="1:10" ht="18" customHeight="1" x14ac:dyDescent="0.3">
      <c r="A213" s="82">
        <v>2021</v>
      </c>
      <c r="B213" s="93">
        <v>45954</v>
      </c>
      <c r="C213" s="83" t="s">
        <v>2703</v>
      </c>
      <c r="D213" s="113" t="s">
        <v>1125</v>
      </c>
      <c r="J213" s="80">
        <v>-110000</v>
      </c>
    </row>
    <row r="214" spans="1:10" ht="18" customHeight="1" x14ac:dyDescent="0.3">
      <c r="A214" s="82">
        <v>2022</v>
      </c>
      <c r="B214" s="93">
        <v>45954</v>
      </c>
      <c r="C214" s="83" t="s">
        <v>1869</v>
      </c>
      <c r="D214" s="113" t="s">
        <v>1125</v>
      </c>
      <c r="J214" s="80">
        <v>-143000</v>
      </c>
    </row>
    <row r="215" spans="1:10" ht="18" customHeight="1" x14ac:dyDescent="0.3">
      <c r="A215" s="82">
        <v>2023</v>
      </c>
      <c r="B215" s="93">
        <v>45954</v>
      </c>
      <c r="C215" s="83" t="s">
        <v>1398</v>
      </c>
      <c r="D215" s="113" t="s">
        <v>2179</v>
      </c>
      <c r="F215" s="120">
        <v>1500000</v>
      </c>
      <c r="G215" s="85">
        <v>1</v>
      </c>
      <c r="I215" s="80">
        <v>1500000</v>
      </c>
    </row>
    <row r="216" spans="1:10" ht="18" customHeight="1" x14ac:dyDescent="0.3">
      <c r="A216" s="82">
        <v>2024</v>
      </c>
      <c r="B216" s="93">
        <v>45954</v>
      </c>
      <c r="C216" s="83" t="s">
        <v>1398</v>
      </c>
      <c r="D216" s="113" t="s">
        <v>2180</v>
      </c>
      <c r="F216" s="120">
        <v>50000</v>
      </c>
      <c r="G216" s="85">
        <v>1</v>
      </c>
      <c r="I216" s="80">
        <v>50000</v>
      </c>
    </row>
    <row r="217" spans="1:10" ht="18" customHeight="1" x14ac:dyDescent="0.3">
      <c r="A217" s="82">
        <v>2025</v>
      </c>
      <c r="B217" s="93">
        <v>45954</v>
      </c>
      <c r="C217" s="83" t="s">
        <v>1398</v>
      </c>
      <c r="D217" s="113" t="s">
        <v>1742</v>
      </c>
      <c r="F217" s="120">
        <v>650000</v>
      </c>
      <c r="G217" s="85">
        <v>1</v>
      </c>
      <c r="I217" s="80">
        <v>650000</v>
      </c>
    </row>
    <row r="218" spans="1:10" ht="18" customHeight="1" x14ac:dyDescent="0.3">
      <c r="A218" s="82">
        <v>2026</v>
      </c>
      <c r="B218" s="93">
        <v>45955</v>
      </c>
      <c r="C218" s="83" t="s">
        <v>4045</v>
      </c>
      <c r="D218" s="113" t="s">
        <v>2179</v>
      </c>
      <c r="F218" s="120">
        <v>1500000</v>
      </c>
      <c r="G218" s="85">
        <v>1</v>
      </c>
      <c r="I218" s="80">
        <v>1500000</v>
      </c>
    </row>
    <row r="219" spans="1:10" ht="18" customHeight="1" x14ac:dyDescent="0.3">
      <c r="A219" s="82">
        <v>2027</v>
      </c>
      <c r="B219" s="93">
        <v>45955</v>
      </c>
      <c r="C219" s="83" t="s">
        <v>4045</v>
      </c>
      <c r="D219" s="113" t="s">
        <v>2180</v>
      </c>
      <c r="F219" s="120">
        <v>50000</v>
      </c>
      <c r="G219" s="85">
        <v>1</v>
      </c>
      <c r="I219" s="80">
        <v>50000</v>
      </c>
    </row>
    <row r="220" spans="1:10" ht="18" customHeight="1" x14ac:dyDescent="0.3">
      <c r="A220" s="82">
        <v>2028</v>
      </c>
      <c r="B220" s="93">
        <v>45955</v>
      </c>
      <c r="C220" s="83" t="s">
        <v>2782</v>
      </c>
      <c r="D220" s="113" t="s">
        <v>2179</v>
      </c>
      <c r="F220" s="120">
        <v>1500000</v>
      </c>
      <c r="G220" s="85">
        <v>1</v>
      </c>
      <c r="I220" s="80">
        <v>1500000</v>
      </c>
    </row>
    <row r="221" spans="1:10" ht="18" customHeight="1" x14ac:dyDescent="0.3">
      <c r="A221" s="82">
        <v>2029</v>
      </c>
      <c r="B221" s="93">
        <v>45955</v>
      </c>
      <c r="C221" s="83" t="s">
        <v>2782</v>
      </c>
      <c r="D221" s="113" t="s">
        <v>2180</v>
      </c>
      <c r="F221" s="120">
        <v>50000</v>
      </c>
      <c r="G221" s="85">
        <v>1</v>
      </c>
      <c r="I221" s="80">
        <v>50000</v>
      </c>
    </row>
    <row r="222" spans="1:10" ht="18" customHeight="1" x14ac:dyDescent="0.3">
      <c r="A222" s="82">
        <v>2030</v>
      </c>
      <c r="B222" s="93">
        <v>45955</v>
      </c>
      <c r="C222" s="83" t="s">
        <v>1436</v>
      </c>
      <c r="D222" s="113" t="s">
        <v>1202</v>
      </c>
      <c r="F222" s="120">
        <v>1300000</v>
      </c>
      <c r="G222" s="85">
        <v>1</v>
      </c>
      <c r="H222" s="126" t="s">
        <v>3142</v>
      </c>
      <c r="I222" s="80">
        <v>1430000</v>
      </c>
    </row>
    <row r="223" spans="1:10" ht="18" customHeight="1" x14ac:dyDescent="0.3">
      <c r="A223" s="82">
        <v>2031</v>
      </c>
      <c r="B223" s="93">
        <v>45955</v>
      </c>
      <c r="C223" s="83" t="s">
        <v>1585</v>
      </c>
      <c r="D223" s="113" t="s">
        <v>1743</v>
      </c>
      <c r="F223" s="120">
        <v>1550000</v>
      </c>
      <c r="G223" s="85">
        <v>1</v>
      </c>
      <c r="H223" s="126">
        <v>155000</v>
      </c>
      <c r="I223" s="80">
        <v>1705000</v>
      </c>
    </row>
    <row r="224" spans="1:10" ht="18" customHeight="1" x14ac:dyDescent="0.3">
      <c r="A224" s="82">
        <v>2032</v>
      </c>
      <c r="B224" s="93">
        <v>45955</v>
      </c>
      <c r="C224" s="83" t="s">
        <v>1540</v>
      </c>
      <c r="D224" s="113" t="s">
        <v>4055</v>
      </c>
      <c r="F224" s="120">
        <v>1550000</v>
      </c>
      <c r="G224" s="85">
        <v>1</v>
      </c>
      <c r="I224" s="80">
        <v>1550000</v>
      </c>
    </row>
    <row r="225" spans="1:10" ht="18" customHeight="1" x14ac:dyDescent="0.3">
      <c r="A225" s="82">
        <v>2033</v>
      </c>
      <c r="B225" s="93">
        <v>45955</v>
      </c>
      <c r="C225" s="83" t="s">
        <v>3931</v>
      </c>
      <c r="D225" s="113" t="s">
        <v>1125</v>
      </c>
      <c r="J225" s="80">
        <v>-1570000</v>
      </c>
    </row>
    <row r="226" spans="1:10" ht="18" customHeight="1" x14ac:dyDescent="0.3">
      <c r="A226" s="82">
        <v>2034</v>
      </c>
      <c r="B226" s="93">
        <v>45957</v>
      </c>
      <c r="C226" s="83" t="s">
        <v>1468</v>
      </c>
      <c r="D226" s="113" t="s">
        <v>4058</v>
      </c>
      <c r="J226" s="80">
        <v>-1500000</v>
      </c>
    </row>
    <row r="227" spans="1:10" ht="18" customHeight="1" x14ac:dyDescent="0.3">
      <c r="A227" s="82">
        <v>2035</v>
      </c>
      <c r="B227" s="93">
        <v>45957</v>
      </c>
      <c r="C227" s="83" t="s">
        <v>1372</v>
      </c>
      <c r="D227" s="113" t="s">
        <v>4088</v>
      </c>
      <c r="J227" s="80">
        <v>-1550000</v>
      </c>
    </row>
    <row r="228" spans="1:10" ht="18" customHeight="1" x14ac:dyDescent="0.3">
      <c r="A228" s="82">
        <v>2036</v>
      </c>
      <c r="B228" s="93">
        <v>45957</v>
      </c>
      <c r="C228" s="83" t="s">
        <v>1576</v>
      </c>
      <c r="D228" s="113" t="s">
        <v>4070</v>
      </c>
      <c r="F228" s="120">
        <v>550000</v>
      </c>
      <c r="G228" s="85">
        <v>1</v>
      </c>
      <c r="H228" s="126">
        <v>55000</v>
      </c>
      <c r="I228" s="80">
        <v>605000</v>
      </c>
    </row>
    <row r="229" spans="1:10" ht="18" customHeight="1" x14ac:dyDescent="0.3">
      <c r="A229" s="82">
        <v>2037</v>
      </c>
      <c r="B229" s="93">
        <v>45957</v>
      </c>
      <c r="C229" s="83" t="s">
        <v>4066</v>
      </c>
      <c r="D229" s="113" t="s">
        <v>3041</v>
      </c>
      <c r="F229" s="120">
        <v>750000</v>
      </c>
      <c r="G229" s="85">
        <v>1</v>
      </c>
      <c r="I229" s="80">
        <v>750000</v>
      </c>
    </row>
    <row r="230" spans="1:10" ht="18" customHeight="1" x14ac:dyDescent="0.3">
      <c r="A230" s="82">
        <v>2038</v>
      </c>
      <c r="B230" s="93">
        <v>45957</v>
      </c>
      <c r="C230" s="83" t="s">
        <v>1746</v>
      </c>
      <c r="D230" s="113" t="s">
        <v>3964</v>
      </c>
      <c r="F230" s="120">
        <v>430000</v>
      </c>
      <c r="G230" s="85">
        <v>1</v>
      </c>
      <c r="H230" s="126">
        <v>43000</v>
      </c>
      <c r="I230" s="80">
        <v>473000</v>
      </c>
    </row>
    <row r="231" spans="1:10" ht="18" customHeight="1" x14ac:dyDescent="0.3">
      <c r="A231" s="82">
        <v>2039</v>
      </c>
      <c r="B231" s="93">
        <v>45957</v>
      </c>
      <c r="C231" s="83" t="s">
        <v>1746</v>
      </c>
      <c r="D231" s="113" t="s">
        <v>2190</v>
      </c>
      <c r="F231" s="120">
        <v>35000</v>
      </c>
      <c r="G231" s="85">
        <v>2</v>
      </c>
      <c r="H231" s="126">
        <v>7000</v>
      </c>
      <c r="I231" s="80">
        <v>77000</v>
      </c>
    </row>
    <row r="232" spans="1:10" ht="18" customHeight="1" x14ac:dyDescent="0.3">
      <c r="A232" s="82">
        <v>2040</v>
      </c>
      <c r="B232" s="93">
        <v>45957</v>
      </c>
      <c r="C232" s="83" t="s">
        <v>1746</v>
      </c>
      <c r="D232" s="113" t="s">
        <v>2189</v>
      </c>
      <c r="F232" s="120">
        <v>70000</v>
      </c>
      <c r="G232" s="85">
        <v>1</v>
      </c>
      <c r="H232" s="126">
        <v>7000</v>
      </c>
      <c r="I232" s="80">
        <v>77000</v>
      </c>
    </row>
    <row r="233" spans="1:10" ht="18" customHeight="1" x14ac:dyDescent="0.3">
      <c r="A233" s="82">
        <v>2041</v>
      </c>
      <c r="B233" s="93">
        <v>45957</v>
      </c>
      <c r="C233" s="83" t="s">
        <v>4062</v>
      </c>
      <c r="D233" s="113" t="s">
        <v>2193</v>
      </c>
      <c r="F233" s="120">
        <v>700000</v>
      </c>
      <c r="G233" s="85">
        <v>1</v>
      </c>
      <c r="H233" s="126">
        <v>70000</v>
      </c>
      <c r="I233" s="80">
        <v>770000</v>
      </c>
    </row>
    <row r="234" spans="1:10" ht="18" customHeight="1" x14ac:dyDescent="0.3">
      <c r="A234" s="82">
        <v>2042</v>
      </c>
      <c r="B234" s="93">
        <v>45957</v>
      </c>
      <c r="C234" s="83" t="s">
        <v>4062</v>
      </c>
      <c r="D234" s="113" t="s">
        <v>3463</v>
      </c>
      <c r="F234" s="120">
        <v>540000</v>
      </c>
      <c r="G234" s="85">
        <v>1</v>
      </c>
      <c r="H234" s="126">
        <v>54000</v>
      </c>
      <c r="I234" s="80">
        <v>594000</v>
      </c>
    </row>
    <row r="235" spans="1:10" ht="18" customHeight="1" x14ac:dyDescent="0.3">
      <c r="A235" s="82">
        <v>2043</v>
      </c>
      <c r="B235" s="93">
        <v>45957</v>
      </c>
      <c r="C235" s="83" t="s">
        <v>4062</v>
      </c>
      <c r="D235" s="113" t="s">
        <v>2189</v>
      </c>
      <c r="F235" s="120">
        <v>70000</v>
      </c>
      <c r="G235" s="85">
        <v>1</v>
      </c>
      <c r="H235" s="126">
        <v>7000</v>
      </c>
      <c r="I235" s="80">
        <v>77000</v>
      </c>
    </row>
    <row r="236" spans="1:10" ht="18" customHeight="1" x14ac:dyDescent="0.3">
      <c r="A236" s="82">
        <v>2044</v>
      </c>
      <c r="B236" s="93">
        <v>45957</v>
      </c>
      <c r="C236" s="83" t="s">
        <v>4062</v>
      </c>
      <c r="D236" s="113" t="s">
        <v>2190</v>
      </c>
      <c r="F236" s="120">
        <v>35000</v>
      </c>
      <c r="G236" s="85">
        <v>1</v>
      </c>
      <c r="H236" s="126">
        <v>3500</v>
      </c>
      <c r="I236" s="80">
        <v>38500</v>
      </c>
    </row>
    <row r="237" spans="1:10" ht="18" customHeight="1" x14ac:dyDescent="0.3">
      <c r="A237" s="82">
        <v>2045</v>
      </c>
      <c r="B237" s="93">
        <v>45957</v>
      </c>
      <c r="C237" s="83" t="s">
        <v>4062</v>
      </c>
      <c r="D237" s="113" t="s">
        <v>2191</v>
      </c>
      <c r="F237" s="120">
        <v>10000</v>
      </c>
      <c r="G237" s="85">
        <v>2</v>
      </c>
      <c r="H237" s="126">
        <v>2000</v>
      </c>
      <c r="I237" s="80">
        <v>22000</v>
      </c>
    </row>
    <row r="238" spans="1:10" ht="18" customHeight="1" x14ac:dyDescent="0.3">
      <c r="A238" s="82">
        <v>2046</v>
      </c>
      <c r="B238" s="93">
        <v>45957</v>
      </c>
      <c r="C238" s="83" t="s">
        <v>1398</v>
      </c>
      <c r="D238" s="113" t="s">
        <v>1742</v>
      </c>
      <c r="F238" s="120">
        <v>650000</v>
      </c>
      <c r="G238" s="85">
        <v>1</v>
      </c>
      <c r="I238" s="80">
        <v>650000</v>
      </c>
    </row>
    <row r="239" spans="1:10" ht="18" customHeight="1" x14ac:dyDescent="0.3">
      <c r="A239" s="82">
        <v>2047</v>
      </c>
      <c r="B239" s="93">
        <v>45957</v>
      </c>
      <c r="C239" s="83" t="s">
        <v>1579</v>
      </c>
      <c r="D239" s="113" t="s">
        <v>1704</v>
      </c>
      <c r="F239" s="120">
        <v>50000</v>
      </c>
      <c r="G239" s="85">
        <v>1</v>
      </c>
      <c r="H239" s="126">
        <v>5000</v>
      </c>
      <c r="I239" s="80">
        <v>55000</v>
      </c>
    </row>
    <row r="240" spans="1:10" ht="18" customHeight="1" x14ac:dyDescent="0.3">
      <c r="A240" s="82">
        <v>2048</v>
      </c>
      <c r="B240" s="93">
        <v>45957</v>
      </c>
      <c r="C240" s="83" t="s">
        <v>1553</v>
      </c>
      <c r="D240" s="113" t="s">
        <v>4083</v>
      </c>
      <c r="J240" s="80">
        <v>-1800000</v>
      </c>
    </row>
    <row r="241" spans="1:10" ht="18" customHeight="1" x14ac:dyDescent="0.3">
      <c r="A241" s="82">
        <v>2049</v>
      </c>
      <c r="B241" s="93">
        <v>45957</v>
      </c>
      <c r="C241" s="83" t="s">
        <v>4066</v>
      </c>
      <c r="D241" s="113" t="s">
        <v>4084</v>
      </c>
      <c r="J241" s="80">
        <v>-750000</v>
      </c>
    </row>
    <row r="242" spans="1:10" ht="18" customHeight="1" x14ac:dyDescent="0.3">
      <c r="A242" s="82">
        <v>2050</v>
      </c>
      <c r="B242" s="93">
        <v>45957</v>
      </c>
      <c r="C242" s="83" t="s">
        <v>4062</v>
      </c>
      <c r="D242" s="113" t="s">
        <v>4085</v>
      </c>
      <c r="J242" s="80">
        <v>-1501500</v>
      </c>
    </row>
    <row r="243" spans="1:10" ht="18" customHeight="1" x14ac:dyDescent="0.3">
      <c r="A243" s="82">
        <v>2051</v>
      </c>
      <c r="B243" s="93">
        <v>45957</v>
      </c>
      <c r="C243" s="83" t="s">
        <v>1398</v>
      </c>
      <c r="D243" s="113" t="s">
        <v>2298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2052</v>
      </c>
      <c r="B244" s="93">
        <v>45957</v>
      </c>
      <c r="C244" s="83" t="s">
        <v>1930</v>
      </c>
      <c r="D244" s="113" t="s">
        <v>3463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2053</v>
      </c>
      <c r="B245" s="93">
        <v>45957</v>
      </c>
      <c r="C245" s="83" t="s">
        <v>1930</v>
      </c>
      <c r="D245" s="113" t="s">
        <v>2189</v>
      </c>
      <c r="F245" s="120">
        <v>80000</v>
      </c>
      <c r="G245" s="85">
        <v>1</v>
      </c>
      <c r="I245" s="80">
        <v>80000</v>
      </c>
    </row>
    <row r="246" spans="1:10" ht="18" customHeight="1" x14ac:dyDescent="0.3">
      <c r="A246" s="82">
        <v>2054</v>
      </c>
      <c r="B246" s="93">
        <v>45957</v>
      </c>
      <c r="C246" s="83" t="s">
        <v>1930</v>
      </c>
      <c r="D246" s="113" t="s">
        <v>2190</v>
      </c>
      <c r="F246" s="120">
        <v>30000</v>
      </c>
      <c r="G246" s="85">
        <v>2</v>
      </c>
      <c r="I246" s="80">
        <v>60000</v>
      </c>
    </row>
    <row r="247" spans="1:10" ht="18" customHeight="1" x14ac:dyDescent="0.3">
      <c r="A247" s="82">
        <v>2055</v>
      </c>
      <c r="B247" s="93">
        <v>45958</v>
      </c>
      <c r="C247" s="83" t="s">
        <v>2782</v>
      </c>
      <c r="D247" s="113" t="s">
        <v>4129</v>
      </c>
      <c r="J247" s="80">
        <v>-1550000</v>
      </c>
    </row>
    <row r="248" spans="1:10" ht="18" customHeight="1" x14ac:dyDescent="0.3">
      <c r="A248" s="82">
        <v>2056</v>
      </c>
      <c r="B248" s="93">
        <v>45958</v>
      </c>
      <c r="C248" s="83" t="s">
        <v>1436</v>
      </c>
      <c r="D248" s="113" t="s">
        <v>1125</v>
      </c>
      <c r="J248" s="80">
        <v>-1430000</v>
      </c>
    </row>
    <row r="249" spans="1:10" ht="18" customHeight="1" x14ac:dyDescent="0.3">
      <c r="A249" s="82">
        <v>2057</v>
      </c>
      <c r="B249" s="93">
        <v>45958</v>
      </c>
      <c r="C249" s="83" t="s">
        <v>1893</v>
      </c>
      <c r="D249" s="113" t="s">
        <v>1202</v>
      </c>
      <c r="F249" s="120">
        <v>1200000</v>
      </c>
      <c r="G249" s="85">
        <v>1</v>
      </c>
      <c r="I249" s="80">
        <v>1200000</v>
      </c>
    </row>
    <row r="250" spans="1:10" ht="18" customHeight="1" x14ac:dyDescent="0.3">
      <c r="A250" s="82">
        <v>2058</v>
      </c>
      <c r="B250" s="93">
        <v>45958</v>
      </c>
      <c r="C250" s="83" t="s">
        <v>1172</v>
      </c>
      <c r="D250" s="113" t="s">
        <v>1560</v>
      </c>
      <c r="F250" s="120">
        <v>1600000</v>
      </c>
      <c r="G250" s="85">
        <v>1</v>
      </c>
      <c r="I250" s="80">
        <v>1600000</v>
      </c>
    </row>
    <row r="251" spans="1:10" ht="18" customHeight="1" x14ac:dyDescent="0.3">
      <c r="A251" s="82">
        <v>2059</v>
      </c>
      <c r="B251" s="93">
        <v>45958</v>
      </c>
      <c r="C251" s="83" t="s">
        <v>1018</v>
      </c>
      <c r="D251" s="113" t="s">
        <v>3912</v>
      </c>
      <c r="F251" s="120">
        <v>80000</v>
      </c>
      <c r="G251" s="85">
        <v>1</v>
      </c>
      <c r="I251" s="80">
        <v>80000</v>
      </c>
    </row>
    <row r="252" spans="1:10" ht="18" customHeight="1" x14ac:dyDescent="0.3">
      <c r="A252" s="82">
        <v>2060</v>
      </c>
      <c r="B252" s="93">
        <v>45958</v>
      </c>
      <c r="C252" s="83" t="s">
        <v>1746</v>
      </c>
      <c r="D252" s="113" t="s">
        <v>3964</v>
      </c>
      <c r="F252" s="120">
        <v>430000</v>
      </c>
      <c r="G252" s="85">
        <v>1</v>
      </c>
      <c r="H252" s="126">
        <v>43000</v>
      </c>
      <c r="I252" s="80">
        <v>473000</v>
      </c>
    </row>
    <row r="253" spans="1:10" ht="18" customHeight="1" x14ac:dyDescent="0.3">
      <c r="A253" s="82">
        <v>2061</v>
      </c>
      <c r="B253" s="93">
        <v>45958</v>
      </c>
      <c r="C253" s="83" t="s">
        <v>1746</v>
      </c>
      <c r="D253" s="113" t="s">
        <v>2187</v>
      </c>
      <c r="F253" s="120">
        <v>130000</v>
      </c>
      <c r="G253" s="85">
        <v>1</v>
      </c>
      <c r="H253" s="126">
        <v>13000</v>
      </c>
      <c r="I253" s="80">
        <v>143000</v>
      </c>
    </row>
    <row r="254" spans="1:10" ht="18" customHeight="1" x14ac:dyDescent="0.3">
      <c r="A254" s="82">
        <v>2062</v>
      </c>
      <c r="B254" s="93">
        <v>45958</v>
      </c>
      <c r="C254" s="83" t="s">
        <v>1746</v>
      </c>
      <c r="D254" s="113" t="s">
        <v>2189</v>
      </c>
      <c r="F254" s="120">
        <v>70000</v>
      </c>
      <c r="G254" s="85">
        <v>1</v>
      </c>
      <c r="H254" s="126">
        <v>7000</v>
      </c>
      <c r="I254" s="80">
        <v>77000</v>
      </c>
    </row>
    <row r="255" spans="1:10" ht="18" customHeight="1" x14ac:dyDescent="0.3">
      <c r="A255" s="82">
        <v>2063</v>
      </c>
      <c r="B255" s="93">
        <v>45958</v>
      </c>
      <c r="C255" s="83" t="s">
        <v>1398</v>
      </c>
      <c r="D255" s="113" t="s">
        <v>3964</v>
      </c>
      <c r="F255" s="120">
        <v>400000</v>
      </c>
      <c r="G255" s="85">
        <v>1</v>
      </c>
      <c r="I255" s="80">
        <v>400000</v>
      </c>
    </row>
    <row r="256" spans="1:10" ht="18" customHeight="1" x14ac:dyDescent="0.3">
      <c r="A256" s="82">
        <v>2064</v>
      </c>
      <c r="B256" s="93">
        <v>45958</v>
      </c>
      <c r="C256" s="83" t="s">
        <v>1398</v>
      </c>
      <c r="D256" s="113" t="s">
        <v>2190</v>
      </c>
      <c r="F256" s="120">
        <v>30000</v>
      </c>
      <c r="G256" s="85">
        <v>2</v>
      </c>
      <c r="I256" s="80">
        <v>60000</v>
      </c>
    </row>
    <row r="257" spans="1:10" ht="18" customHeight="1" x14ac:dyDescent="0.3">
      <c r="A257" s="82">
        <v>2065</v>
      </c>
      <c r="B257" s="93">
        <v>45958</v>
      </c>
      <c r="C257" s="83" t="s">
        <v>1398</v>
      </c>
      <c r="D257" s="113" t="s">
        <v>2191</v>
      </c>
      <c r="F257" s="120">
        <v>10000</v>
      </c>
      <c r="G257" s="85">
        <v>1</v>
      </c>
      <c r="I257" s="80">
        <v>10000</v>
      </c>
    </row>
    <row r="258" spans="1:10" ht="18" customHeight="1" x14ac:dyDescent="0.3">
      <c r="A258" s="82">
        <v>2066</v>
      </c>
      <c r="B258" s="93">
        <v>45958</v>
      </c>
      <c r="C258" s="83" t="s">
        <v>4092</v>
      </c>
      <c r="D258" s="113" t="s">
        <v>1204</v>
      </c>
      <c r="F258" s="120">
        <v>1300000</v>
      </c>
      <c r="G258" s="85">
        <v>1</v>
      </c>
      <c r="I258" s="80">
        <v>1300000</v>
      </c>
    </row>
    <row r="259" spans="1:10" ht="18" customHeight="1" x14ac:dyDescent="0.3">
      <c r="A259" s="82">
        <v>2067</v>
      </c>
      <c r="B259" s="93">
        <v>45958</v>
      </c>
      <c r="C259" s="83" t="s">
        <v>1670</v>
      </c>
      <c r="D259" s="113" t="s">
        <v>2201</v>
      </c>
      <c r="F259" s="120">
        <v>1900000</v>
      </c>
      <c r="G259" s="85">
        <v>1</v>
      </c>
      <c r="H259" s="126">
        <v>190000</v>
      </c>
      <c r="I259" s="80">
        <v>2090000</v>
      </c>
    </row>
    <row r="260" spans="1:10" ht="18" customHeight="1" x14ac:dyDescent="0.3">
      <c r="A260" s="82">
        <v>2068</v>
      </c>
      <c r="B260" s="93">
        <v>45958</v>
      </c>
      <c r="C260" s="83" t="s">
        <v>1670</v>
      </c>
      <c r="D260" s="113" t="s">
        <v>2180</v>
      </c>
      <c r="F260" s="120">
        <v>50000</v>
      </c>
      <c r="G260" s="85">
        <v>1</v>
      </c>
      <c r="H260" s="126">
        <v>5000</v>
      </c>
      <c r="I260" s="80">
        <v>55000</v>
      </c>
    </row>
    <row r="261" spans="1:10" ht="18" customHeight="1" x14ac:dyDescent="0.3">
      <c r="A261" s="82">
        <v>2069</v>
      </c>
      <c r="B261" s="93">
        <v>45958</v>
      </c>
      <c r="C261" s="83" t="s">
        <v>1670</v>
      </c>
      <c r="D261" s="113" t="s">
        <v>3654</v>
      </c>
      <c r="F261" s="120">
        <v>150000</v>
      </c>
      <c r="G261" s="85">
        <v>1</v>
      </c>
      <c r="H261" s="126">
        <v>15000</v>
      </c>
      <c r="I261" s="80">
        <v>165000</v>
      </c>
    </row>
    <row r="262" spans="1:10" ht="18" customHeight="1" x14ac:dyDescent="0.3">
      <c r="A262" s="82">
        <v>2070</v>
      </c>
      <c r="B262" s="93">
        <v>45958</v>
      </c>
      <c r="C262" s="83" t="s">
        <v>1585</v>
      </c>
      <c r="D262" s="113" t="s">
        <v>1125</v>
      </c>
      <c r="J262" s="80">
        <v>-1848000</v>
      </c>
    </row>
    <row r="263" spans="1:10" ht="18" customHeight="1" x14ac:dyDescent="0.3">
      <c r="A263" s="82">
        <v>2071</v>
      </c>
      <c r="B263" s="93">
        <v>45958</v>
      </c>
      <c r="C263" s="83" t="s">
        <v>1443</v>
      </c>
      <c r="D263" s="113" t="s">
        <v>2055</v>
      </c>
      <c r="J263" s="80">
        <v>-9000000</v>
      </c>
    </row>
    <row r="264" spans="1:10" ht="18" customHeight="1" x14ac:dyDescent="0.3">
      <c r="A264" s="82">
        <v>2072</v>
      </c>
      <c r="B264" s="93">
        <v>45958</v>
      </c>
      <c r="C264" s="83" t="s">
        <v>4092</v>
      </c>
      <c r="D264" s="113" t="s">
        <v>4106</v>
      </c>
      <c r="J264" s="80">
        <v>-1300000</v>
      </c>
    </row>
    <row r="265" spans="1:10" ht="18" customHeight="1" x14ac:dyDescent="0.3">
      <c r="A265" s="82">
        <v>2073</v>
      </c>
      <c r="B265" s="93">
        <v>45959</v>
      </c>
      <c r="C265" s="83" t="s">
        <v>1398</v>
      </c>
      <c r="D265" s="113" t="s">
        <v>2187</v>
      </c>
      <c r="F265" s="120">
        <v>130000</v>
      </c>
      <c r="G265" s="85">
        <v>1</v>
      </c>
      <c r="I265" s="80">
        <v>130000</v>
      </c>
    </row>
    <row r="266" spans="1:10" ht="18" customHeight="1" x14ac:dyDescent="0.3">
      <c r="A266" s="82">
        <v>2074</v>
      </c>
      <c r="B266" s="93">
        <v>45959</v>
      </c>
      <c r="C266" s="83" t="s">
        <v>3148</v>
      </c>
      <c r="D266" s="113" t="s">
        <v>3215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2075</v>
      </c>
      <c r="B267" s="93">
        <v>45959</v>
      </c>
      <c r="C267" s="83" t="s">
        <v>3148</v>
      </c>
      <c r="D267" s="113" t="s">
        <v>2111</v>
      </c>
      <c r="F267" s="120">
        <v>65000</v>
      </c>
      <c r="G267" s="85">
        <v>1</v>
      </c>
      <c r="I267" s="80">
        <v>65000</v>
      </c>
    </row>
    <row r="268" spans="1:10" ht="18" customHeight="1" x14ac:dyDescent="0.3">
      <c r="A268" s="82">
        <v>2076</v>
      </c>
      <c r="B268" s="93">
        <v>45959</v>
      </c>
      <c r="C268" s="83" t="s">
        <v>3148</v>
      </c>
      <c r="D268" s="113" t="s">
        <v>2798</v>
      </c>
      <c r="F268" s="120">
        <v>330000</v>
      </c>
      <c r="G268" s="85">
        <v>1</v>
      </c>
      <c r="I268" s="80">
        <v>330000</v>
      </c>
    </row>
    <row r="269" spans="1:10" ht="18" customHeight="1" x14ac:dyDescent="0.3">
      <c r="A269" s="82">
        <v>2077</v>
      </c>
      <c r="B269" s="93">
        <v>45959</v>
      </c>
      <c r="C269" s="83" t="s">
        <v>3148</v>
      </c>
      <c r="D269" s="113" t="s">
        <v>3630</v>
      </c>
      <c r="F269" s="120">
        <v>30000</v>
      </c>
      <c r="G269" s="85">
        <v>1</v>
      </c>
      <c r="I269" s="80">
        <v>30000</v>
      </c>
    </row>
    <row r="270" spans="1:10" ht="18" customHeight="1" x14ac:dyDescent="0.3">
      <c r="A270" s="82">
        <v>2078</v>
      </c>
      <c r="B270" s="93">
        <v>45959</v>
      </c>
      <c r="C270" s="83" t="s">
        <v>4112</v>
      </c>
      <c r="D270" s="113" t="s">
        <v>2918</v>
      </c>
      <c r="F270" s="120">
        <v>396000</v>
      </c>
      <c r="G270" s="85">
        <v>1</v>
      </c>
      <c r="I270" s="80">
        <v>396000</v>
      </c>
    </row>
    <row r="271" spans="1:10" ht="18" customHeight="1" x14ac:dyDescent="0.3">
      <c r="A271" s="82">
        <v>2079</v>
      </c>
      <c r="B271" s="93">
        <v>45959</v>
      </c>
      <c r="C271" s="83" t="s">
        <v>1811</v>
      </c>
      <c r="D271" s="113" t="s">
        <v>1202</v>
      </c>
      <c r="F271" s="120">
        <v>1200000</v>
      </c>
      <c r="G271" s="85">
        <v>1</v>
      </c>
      <c r="H271" s="126">
        <v>120000</v>
      </c>
      <c r="I271" s="80">
        <v>1320000</v>
      </c>
    </row>
    <row r="272" spans="1:10" ht="18" customHeight="1" x14ac:dyDescent="0.3">
      <c r="A272" s="82">
        <v>2080</v>
      </c>
      <c r="B272" s="93">
        <v>45959</v>
      </c>
      <c r="C272" s="83" t="s">
        <v>1811</v>
      </c>
      <c r="D272" s="113" t="s">
        <v>1495</v>
      </c>
      <c r="F272" s="120">
        <v>350000</v>
      </c>
      <c r="G272" s="85">
        <v>1</v>
      </c>
      <c r="H272" s="126">
        <v>35000</v>
      </c>
      <c r="I272" s="80">
        <v>385000</v>
      </c>
    </row>
    <row r="273" spans="1:9" ht="18" customHeight="1" x14ac:dyDescent="0.3">
      <c r="A273" s="82">
        <v>2081</v>
      </c>
      <c r="B273" s="93">
        <v>45959</v>
      </c>
      <c r="C273" s="83" t="s">
        <v>1811</v>
      </c>
      <c r="D273" s="113" t="s">
        <v>1518</v>
      </c>
      <c r="F273" s="120">
        <v>30000</v>
      </c>
      <c r="G273" s="85">
        <v>1</v>
      </c>
      <c r="H273" s="126">
        <v>3000</v>
      </c>
      <c r="I273" s="80">
        <v>33000</v>
      </c>
    </row>
    <row r="274" spans="1:9" ht="18" customHeight="1" x14ac:dyDescent="0.3">
      <c r="A274" s="82">
        <v>2082</v>
      </c>
      <c r="B274" s="93">
        <v>45959</v>
      </c>
      <c r="C274" s="83" t="s">
        <v>4045</v>
      </c>
      <c r="D274" s="113" t="s">
        <v>2417</v>
      </c>
      <c r="F274" s="120">
        <v>1100000</v>
      </c>
      <c r="G274" s="85">
        <v>1</v>
      </c>
      <c r="I274" s="80">
        <v>1100000</v>
      </c>
    </row>
    <row r="275" spans="1:9" ht="18" customHeight="1" x14ac:dyDescent="0.3">
      <c r="A275" s="82">
        <v>2083</v>
      </c>
      <c r="B275" s="93">
        <v>45959</v>
      </c>
      <c r="C275" s="83" t="s">
        <v>1746</v>
      </c>
      <c r="D275" s="113" t="s">
        <v>2185</v>
      </c>
      <c r="F275" s="120">
        <v>1000000</v>
      </c>
      <c r="G275" s="85">
        <v>1</v>
      </c>
      <c r="H275" s="126">
        <v>100000</v>
      </c>
      <c r="I275" s="80">
        <v>1100000</v>
      </c>
    </row>
    <row r="276" spans="1:9" ht="18" customHeight="1" x14ac:dyDescent="0.3">
      <c r="A276" s="82">
        <v>2084</v>
      </c>
      <c r="B276" s="93">
        <v>45959</v>
      </c>
      <c r="C276" s="83" t="s">
        <v>1448</v>
      </c>
      <c r="D276" s="113" t="s">
        <v>3463</v>
      </c>
      <c r="F276" s="120">
        <v>526364</v>
      </c>
      <c r="G276" s="85">
        <v>1</v>
      </c>
      <c r="H276" s="126">
        <v>52636</v>
      </c>
      <c r="I276" s="80">
        <v>579000</v>
      </c>
    </row>
    <row r="277" spans="1:9" ht="18" customHeight="1" x14ac:dyDescent="0.3">
      <c r="A277" s="82">
        <v>2085</v>
      </c>
      <c r="B277" s="93">
        <v>45959</v>
      </c>
      <c r="C277" s="83" t="s">
        <v>1448</v>
      </c>
      <c r="D277" s="113" t="s">
        <v>2189</v>
      </c>
      <c r="F277" s="120">
        <v>70000</v>
      </c>
      <c r="G277" s="85">
        <v>1</v>
      </c>
      <c r="H277" s="126">
        <v>7000</v>
      </c>
      <c r="I277" s="80">
        <v>77000</v>
      </c>
    </row>
    <row r="278" spans="1:9" ht="18" customHeight="1" x14ac:dyDescent="0.3">
      <c r="A278" s="82">
        <v>2086</v>
      </c>
      <c r="B278" s="93">
        <v>45959</v>
      </c>
      <c r="C278" s="83" t="s">
        <v>1448</v>
      </c>
      <c r="D278" s="113" t="s">
        <v>2190</v>
      </c>
      <c r="F278" s="120">
        <v>35000</v>
      </c>
      <c r="G278" s="85">
        <v>1</v>
      </c>
      <c r="H278" s="126">
        <v>3500</v>
      </c>
      <c r="I278" s="80">
        <v>38500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3670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13579000</v>
      </c>
      <c r="D2" s="58">
        <f t="shared" ref="D2:D65" si="0">RANK(C2,C:C,0)</f>
        <v>1</v>
      </c>
    </row>
    <row r="3" spans="1:6" x14ac:dyDescent="0.3">
      <c r="B3" s="269" t="s">
        <v>1351</v>
      </c>
      <c r="C3" s="268">
        <f>SUMIF(BTS_매출관리!C:C,B3,BTS_매출관리!I:I)</f>
        <v>6290000</v>
      </c>
      <c r="D3" s="269">
        <f t="shared" si="0"/>
        <v>2</v>
      </c>
    </row>
    <row r="4" spans="1:6" x14ac:dyDescent="0.3">
      <c r="B4" s="58" t="s">
        <v>1278</v>
      </c>
      <c r="C4" s="301">
        <f>SUMIF(BTS_매출관리!C:C,B4,BTS_매출관리!I:I)</f>
        <v>5400000</v>
      </c>
      <c r="D4" s="58">
        <f t="shared" si="0"/>
        <v>3</v>
      </c>
    </row>
    <row r="5" spans="1:6" x14ac:dyDescent="0.3">
      <c r="B5" s="58" t="s">
        <v>1335</v>
      </c>
      <c r="C5" s="301">
        <f>SUMIF(BTS_매출관리!C:C,B5,BTS_매출관리!I:I)</f>
        <v>4155000</v>
      </c>
      <c r="D5" s="58">
        <f t="shared" si="0"/>
        <v>5</v>
      </c>
    </row>
    <row r="6" spans="1:6" x14ac:dyDescent="0.3">
      <c r="B6" s="58" t="s">
        <v>1352</v>
      </c>
      <c r="C6" s="301">
        <f>SUMIF(BTS_매출관리!C:C,B6,BTS_매출관리!I:I)</f>
        <v>5244000</v>
      </c>
      <c r="D6" s="58">
        <f t="shared" si="0"/>
        <v>4</v>
      </c>
    </row>
    <row r="7" spans="1:6" x14ac:dyDescent="0.3">
      <c r="B7" s="58" t="s">
        <v>1289</v>
      </c>
      <c r="C7" s="301">
        <f>SUMIF(BTS_매출관리!C:C,B7,BTS_매출관리!I:I)</f>
        <v>3685000</v>
      </c>
      <c r="D7" s="58">
        <f t="shared" si="0"/>
        <v>6</v>
      </c>
    </row>
    <row r="8" spans="1:6" x14ac:dyDescent="0.3">
      <c r="B8" s="58" t="s">
        <v>1273</v>
      </c>
      <c r="C8" s="301">
        <f>SUMIF(BTS_매출관리!C:C,B8,BTS_매출관리!I:I)</f>
        <v>3355000</v>
      </c>
      <c r="D8" s="58">
        <f t="shared" si="0"/>
        <v>8</v>
      </c>
    </row>
    <row r="9" spans="1:6" x14ac:dyDescent="0.3">
      <c r="B9" s="58" t="s">
        <v>2214</v>
      </c>
      <c r="C9" s="301">
        <f>SUMIF(BTS_매출관리!C:C,B9,BTS_매출관리!I:I)</f>
        <v>2970000</v>
      </c>
      <c r="D9" s="58">
        <f t="shared" si="0"/>
        <v>9</v>
      </c>
    </row>
    <row r="10" spans="1:6" x14ac:dyDescent="0.3">
      <c r="B10" s="269" t="s">
        <v>1323</v>
      </c>
      <c r="C10" s="268">
        <f>SUMIF(BTS_매출관리!C:C,B10,BTS_매출관리!I:I)</f>
        <v>2895000</v>
      </c>
      <c r="D10" s="269">
        <f t="shared" si="0"/>
        <v>10</v>
      </c>
    </row>
    <row r="11" spans="1:6" x14ac:dyDescent="0.3">
      <c r="B11" s="58" t="s">
        <v>1332</v>
      </c>
      <c r="C11" s="301">
        <f>SUMIF(BTS_매출관리!C:C,B11,BTS_매출관리!I:I)</f>
        <v>2750000</v>
      </c>
      <c r="D11" s="58">
        <f t="shared" si="0"/>
        <v>11</v>
      </c>
    </row>
    <row r="12" spans="1:6" x14ac:dyDescent="0.3">
      <c r="B12" s="58" t="s">
        <v>1333</v>
      </c>
      <c r="C12" s="301">
        <f>SUMIF(BTS_매출관리!C:C,B12,BTS_매출관리!I:I)</f>
        <v>3391000</v>
      </c>
      <c r="D12" s="58">
        <f t="shared" si="0"/>
        <v>7</v>
      </c>
      <c r="F12">
        <f>IF(D12 &lt; 10,,"")</f>
        <v>0</v>
      </c>
    </row>
    <row r="13" spans="1:6" x14ac:dyDescent="0.3">
      <c r="B13" s="269" t="s">
        <v>3400</v>
      </c>
      <c r="C13" s="268">
        <f>SUMIF(BTS_매출관리!C:C,B13,BTS_매출관리!I:I)</f>
        <v>2650000</v>
      </c>
      <c r="D13" s="269">
        <f t="shared" si="0"/>
        <v>12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2420000</v>
      </c>
      <c r="D14" s="58">
        <f t="shared" si="0"/>
        <v>13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2400000</v>
      </c>
      <c r="D15" s="58">
        <f t="shared" si="0"/>
        <v>14</v>
      </c>
    </row>
    <row r="16" spans="1:6" x14ac:dyDescent="0.3">
      <c r="B16" s="269" t="s">
        <v>1314</v>
      </c>
      <c r="C16" s="268">
        <f>SUMIF(BTS_매출관리!C:C,B16,BTS_매출관리!I:I)</f>
        <v>2400000</v>
      </c>
      <c r="D16" s="269">
        <f t="shared" si="0"/>
        <v>14</v>
      </c>
    </row>
    <row r="17" spans="2:18" x14ac:dyDescent="0.3">
      <c r="B17" s="269" t="s">
        <v>1280</v>
      </c>
      <c r="C17" s="268">
        <f>SUMIF(BTS_매출관리!C:C,B17,BTS_매출관리!I:I)</f>
        <v>2310000</v>
      </c>
      <c r="D17" s="269">
        <f t="shared" si="0"/>
        <v>16</v>
      </c>
    </row>
    <row r="18" spans="2:18" x14ac:dyDescent="0.3">
      <c r="B18" s="58" t="s">
        <v>1670</v>
      </c>
      <c r="C18" s="301">
        <f>SUMIF(BTS_매출관리!C:C,B18,BTS_매출관리!I:I)</f>
        <v>2310000</v>
      </c>
      <c r="D18" s="58">
        <f t="shared" si="0"/>
        <v>16</v>
      </c>
    </row>
    <row r="19" spans="2:18" x14ac:dyDescent="0.3">
      <c r="B19" s="58" t="s">
        <v>1148</v>
      </c>
      <c r="C19" s="301">
        <f>SUMIF(BTS_매출관리!C:C,B19,BTS_매출관리!I:I)</f>
        <v>2305000</v>
      </c>
      <c r="D19" s="58">
        <f t="shared" si="0"/>
        <v>18</v>
      </c>
    </row>
    <row r="20" spans="2:18" x14ac:dyDescent="0.3">
      <c r="B20" s="58" t="s">
        <v>1172</v>
      </c>
      <c r="C20" s="301">
        <f>SUMIF(BTS_매출관리!C:C,B20,BTS_매출관리!I:I)</f>
        <v>2250000</v>
      </c>
      <c r="D20" s="58">
        <f t="shared" si="0"/>
        <v>19</v>
      </c>
    </row>
    <row r="21" spans="2:18" x14ac:dyDescent="0.3">
      <c r="B21" s="58" t="s">
        <v>1340</v>
      </c>
      <c r="C21" s="301">
        <f>SUMIF(BTS_매출관리!C:C,B21,BTS_매출관리!I:I)</f>
        <v>2140000</v>
      </c>
      <c r="D21" s="58">
        <f t="shared" si="0"/>
        <v>20</v>
      </c>
      <c r="F21" t="s">
        <v>3696</v>
      </c>
    </row>
    <row r="22" spans="2:18" x14ac:dyDescent="0.3">
      <c r="B22" s="58" t="s">
        <v>1158</v>
      </c>
      <c r="C22" s="301">
        <f>SUMIF(BTS_매출관리!C:C,B22,BTS_매출관리!I:I)</f>
        <v>1943000</v>
      </c>
      <c r="D22" s="58">
        <f t="shared" si="0"/>
        <v>21</v>
      </c>
      <c r="F22" t="s">
        <v>3671</v>
      </c>
      <c r="G22" t="s">
        <v>3802</v>
      </c>
      <c r="I22" t="s">
        <v>3674</v>
      </c>
      <c r="J22" s="303" t="s">
        <v>3714</v>
      </c>
      <c r="O22" t="s">
        <v>3697</v>
      </c>
      <c r="P22">
        <v>2</v>
      </c>
      <c r="Q22" t="s">
        <v>3803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22</v>
      </c>
      <c r="F23" t="s">
        <v>3672</v>
      </c>
      <c r="G23" t="s">
        <v>3802</v>
      </c>
      <c r="I23" t="s">
        <v>3676</v>
      </c>
      <c r="J23" s="303" t="s">
        <v>3714</v>
      </c>
      <c r="O23" t="s">
        <v>3698</v>
      </c>
      <c r="P23">
        <v>3</v>
      </c>
      <c r="Q23" t="s">
        <v>3803</v>
      </c>
    </row>
    <row r="24" spans="2:18" x14ac:dyDescent="0.3">
      <c r="B24" s="58" t="s">
        <v>980</v>
      </c>
      <c r="C24" s="301">
        <f>SUMIF(BTS_매출관리!C:C,B24,BTS_매출관리!I:I)</f>
        <v>1848000</v>
      </c>
      <c r="D24" s="58">
        <f t="shared" si="0"/>
        <v>23</v>
      </c>
      <c r="F24" t="s">
        <v>3673</v>
      </c>
      <c r="G24" t="s">
        <v>3802</v>
      </c>
      <c r="I24" t="s">
        <v>3678</v>
      </c>
      <c r="J24" s="303" t="s">
        <v>3714</v>
      </c>
      <c r="O24" t="s">
        <v>3699</v>
      </c>
      <c r="P24">
        <v>2</v>
      </c>
      <c r="Q24" t="s">
        <v>3803</v>
      </c>
    </row>
    <row r="25" spans="2:18" x14ac:dyDescent="0.3">
      <c r="B25" s="58" t="s">
        <v>1035</v>
      </c>
      <c r="C25" s="301">
        <f>SUMIF(BTS_매출관리!C:C,B25,BTS_매출관리!I:I)</f>
        <v>1800000</v>
      </c>
      <c r="D25" s="58">
        <f t="shared" si="0"/>
        <v>24</v>
      </c>
      <c r="F25" t="s">
        <v>3675</v>
      </c>
      <c r="G25" t="s">
        <v>3714</v>
      </c>
      <c r="I25" t="s">
        <v>3681</v>
      </c>
      <c r="J25" s="303" t="s">
        <v>3802</v>
      </c>
      <c r="O25" t="s">
        <v>3700</v>
      </c>
      <c r="P25">
        <v>1</v>
      </c>
      <c r="R25" t="s">
        <v>3802</v>
      </c>
    </row>
    <row r="26" spans="2:18" x14ac:dyDescent="0.3">
      <c r="B26" s="269" t="s">
        <v>1190</v>
      </c>
      <c r="C26" s="268">
        <f>SUMIF(BTS_매출관리!C:C,B26,BTS_매출관리!I:I)</f>
        <v>1750000</v>
      </c>
      <c r="D26" s="269">
        <f t="shared" si="0"/>
        <v>25</v>
      </c>
      <c r="F26" t="s">
        <v>3677</v>
      </c>
      <c r="G26" t="s">
        <v>3802</v>
      </c>
      <c r="I26" t="s">
        <v>3694</v>
      </c>
      <c r="J26" s="303" t="s">
        <v>3733</v>
      </c>
      <c r="O26" t="s">
        <v>3701</v>
      </c>
      <c r="P26">
        <v>2</v>
      </c>
      <c r="Q26" t="s">
        <v>3715</v>
      </c>
    </row>
    <row r="27" spans="2:18" x14ac:dyDescent="0.3">
      <c r="B27" s="269" t="s">
        <v>1341</v>
      </c>
      <c r="C27" s="268">
        <f>SUMIF(BTS_매출관리!C:C,B27,BTS_매출관리!I:I)</f>
        <v>1650000</v>
      </c>
      <c r="D27" s="269">
        <f t="shared" si="0"/>
        <v>27</v>
      </c>
      <c r="F27" t="s">
        <v>3788</v>
      </c>
      <c r="G27" t="s">
        <v>3810</v>
      </c>
      <c r="I27" t="s">
        <v>2859</v>
      </c>
      <c r="J27" s="303" t="s">
        <v>3733</v>
      </c>
      <c r="O27" t="s">
        <v>3702</v>
      </c>
      <c r="P27">
        <v>1</v>
      </c>
      <c r="Q27" t="s">
        <v>3714</v>
      </c>
    </row>
    <row r="28" spans="2:18" x14ac:dyDescent="0.3">
      <c r="B28" s="58" t="s">
        <v>2360</v>
      </c>
      <c r="C28" s="301">
        <f>SUMIF(BTS_매출관리!C:C,B28,BTS_매출관리!I:I)</f>
        <v>1650000</v>
      </c>
      <c r="D28" s="58">
        <f t="shared" si="0"/>
        <v>27</v>
      </c>
      <c r="F28" t="s">
        <v>3680</v>
      </c>
      <c r="G28" t="s">
        <v>3808</v>
      </c>
      <c r="I28" t="s">
        <v>2257</v>
      </c>
      <c r="J28" s="303" t="s">
        <v>3733</v>
      </c>
      <c r="O28" t="s">
        <v>3703</v>
      </c>
      <c r="P28">
        <v>2</v>
      </c>
      <c r="R28" t="s">
        <v>3809</v>
      </c>
    </row>
    <row r="29" spans="2:18" x14ac:dyDescent="0.3">
      <c r="B29" s="269" t="s">
        <v>1373</v>
      </c>
      <c r="C29" s="268">
        <f>SUMIF(BTS_매출관리!C:C,B29,BTS_매출관리!I:I)</f>
        <v>1550000</v>
      </c>
      <c r="D29" s="269">
        <f t="shared" si="0"/>
        <v>29</v>
      </c>
      <c r="F29" t="s">
        <v>3682</v>
      </c>
      <c r="G29" t="s">
        <v>3802</v>
      </c>
      <c r="O29" t="s">
        <v>3704</v>
      </c>
      <c r="P29">
        <v>2</v>
      </c>
      <c r="Q29" t="s">
        <v>3803</v>
      </c>
    </row>
    <row r="30" spans="2:18" x14ac:dyDescent="0.3">
      <c r="B30" s="58" t="s">
        <v>2783</v>
      </c>
      <c r="C30" s="301">
        <f>SUMIF(BTS_매출관리!C:C,B30,BTS_매출관리!I:I)</f>
        <v>1550000</v>
      </c>
      <c r="D30" s="58">
        <f t="shared" si="0"/>
        <v>29</v>
      </c>
      <c r="F30" t="s">
        <v>3683</v>
      </c>
      <c r="G30" t="s">
        <v>3808</v>
      </c>
      <c r="O30" t="s">
        <v>3705</v>
      </c>
      <c r="P30">
        <v>2</v>
      </c>
      <c r="Q30" t="s">
        <v>3732</v>
      </c>
    </row>
    <row r="31" spans="2:18" x14ac:dyDescent="0.3">
      <c r="B31" s="58" t="s">
        <v>1329</v>
      </c>
      <c r="C31" s="301">
        <f>SUMIF(BTS_매출관리!C:C,B31,BTS_매출관리!I:I)</f>
        <v>1500000</v>
      </c>
      <c r="D31" s="58">
        <f t="shared" si="0"/>
        <v>31</v>
      </c>
      <c r="F31" t="s">
        <v>3684</v>
      </c>
      <c r="G31" t="s">
        <v>3802</v>
      </c>
      <c r="O31" t="s">
        <v>3706</v>
      </c>
      <c r="P31">
        <v>1</v>
      </c>
      <c r="R31" t="s">
        <v>3808</v>
      </c>
    </row>
    <row r="32" spans="2:18" x14ac:dyDescent="0.3">
      <c r="B32" s="58" t="s">
        <v>2560</v>
      </c>
      <c r="C32" s="301">
        <f>SUMIF(BTS_매출관리!C:C,B32,BTS_매출관리!I:I)</f>
        <v>1500000</v>
      </c>
      <c r="D32" s="58">
        <f t="shared" si="0"/>
        <v>31</v>
      </c>
      <c r="F32" t="s">
        <v>3685</v>
      </c>
      <c r="G32" t="s">
        <v>3802</v>
      </c>
      <c r="O32" t="s">
        <v>3707</v>
      </c>
      <c r="P32">
        <v>1</v>
      </c>
      <c r="R32" t="s">
        <v>3802</v>
      </c>
    </row>
    <row r="33" spans="2:17" x14ac:dyDescent="0.3">
      <c r="B33" s="269" t="s">
        <v>3633</v>
      </c>
      <c r="C33" s="268">
        <f>SUMIF(BTS_매출관리!C:C,B33,BTS_매출관리!I:I)</f>
        <v>1430000</v>
      </c>
      <c r="D33" s="269">
        <f t="shared" si="0"/>
        <v>33</v>
      </c>
      <c r="F33" t="s">
        <v>3686</v>
      </c>
      <c r="G33" t="s">
        <v>3802</v>
      </c>
      <c r="O33" t="s">
        <v>3708</v>
      </c>
      <c r="P33">
        <v>1</v>
      </c>
      <c r="Q33" t="s">
        <v>3716</v>
      </c>
    </row>
    <row r="34" spans="2:17" x14ac:dyDescent="0.3">
      <c r="B34" s="269" t="s">
        <v>1267</v>
      </c>
      <c r="C34" s="268">
        <f>SUMIF(BTS_매출관리!C:C,B34,BTS_매출관리!I:I)</f>
        <v>1429000</v>
      </c>
      <c r="D34" s="269">
        <f t="shared" si="0"/>
        <v>34</v>
      </c>
      <c r="F34" t="s">
        <v>3687</v>
      </c>
      <c r="G34" t="s">
        <v>3808</v>
      </c>
      <c r="O34" t="s">
        <v>3679</v>
      </c>
      <c r="P34">
        <v>2</v>
      </c>
      <c r="Q34" t="s">
        <v>3803</v>
      </c>
    </row>
    <row r="35" spans="2:17" x14ac:dyDescent="0.3">
      <c r="B35" s="58" t="s">
        <v>1288</v>
      </c>
      <c r="C35" s="301">
        <f>SUMIF(BTS_매출관리!C:C,B35,BTS_매출관리!I:I)</f>
        <v>1400000</v>
      </c>
      <c r="D35" s="58">
        <f t="shared" si="0"/>
        <v>35</v>
      </c>
      <c r="F35" t="s">
        <v>3688</v>
      </c>
      <c r="G35" t="s">
        <v>3808</v>
      </c>
      <c r="O35" t="s">
        <v>3709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1320000</v>
      </c>
      <c r="D36" s="58">
        <f t="shared" si="0"/>
        <v>36</v>
      </c>
      <c r="F36" t="s">
        <v>3689</v>
      </c>
      <c r="G36" t="s">
        <v>3802</v>
      </c>
      <c r="O36" t="s">
        <v>3710</v>
      </c>
      <c r="P36">
        <v>1</v>
      </c>
      <c r="Q36" t="s">
        <v>3803</v>
      </c>
    </row>
    <row r="37" spans="2:17" x14ac:dyDescent="0.3">
      <c r="B37" s="58" t="s">
        <v>1275</v>
      </c>
      <c r="C37" s="301">
        <f>SUMIF(BTS_매출관리!C:C,B37,BTS_매출관리!I:I)</f>
        <v>1320000</v>
      </c>
      <c r="D37" s="58">
        <f t="shared" si="0"/>
        <v>36</v>
      </c>
      <c r="F37" t="s">
        <v>3690</v>
      </c>
      <c r="G37" t="s">
        <v>3802</v>
      </c>
    </row>
    <row r="38" spans="2:17" x14ac:dyDescent="0.3">
      <c r="B38" s="58" t="s">
        <v>1325</v>
      </c>
      <c r="C38" s="301">
        <f>SUMIF(BTS_매출관리!C:C,B38,BTS_매출관리!I:I)</f>
        <v>1300000</v>
      </c>
      <c r="D38" s="58">
        <f t="shared" si="0"/>
        <v>38</v>
      </c>
      <c r="F38" t="s">
        <v>3691</v>
      </c>
      <c r="G38" t="s">
        <v>3808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39</v>
      </c>
      <c r="F39" t="s">
        <v>3692</v>
      </c>
      <c r="G39" t="s">
        <v>3808</v>
      </c>
    </row>
    <row r="40" spans="2:17" x14ac:dyDescent="0.3">
      <c r="B40" s="58" t="s">
        <v>1295</v>
      </c>
      <c r="C40" s="301">
        <f>SUMIF(BTS_매출관리!C:C,B40,BTS_매출관리!I:I)</f>
        <v>1200000</v>
      </c>
      <c r="D40" s="58">
        <f t="shared" si="0"/>
        <v>39</v>
      </c>
      <c r="F40" t="s">
        <v>3693</v>
      </c>
      <c r="G40" t="s">
        <v>3808</v>
      </c>
    </row>
    <row r="41" spans="2:17" x14ac:dyDescent="0.3">
      <c r="B41" s="269" t="s">
        <v>1007</v>
      </c>
      <c r="C41" s="268">
        <f>SUMIF(BTS_매출관리!C:C,B41,BTS_매출관리!I:I)</f>
        <v>1150000</v>
      </c>
      <c r="D41" s="269">
        <f t="shared" si="0"/>
        <v>41</v>
      </c>
      <c r="F41" t="s">
        <v>3695</v>
      </c>
      <c r="G41" t="s">
        <v>3802</v>
      </c>
    </row>
    <row r="42" spans="2:17" x14ac:dyDescent="0.3">
      <c r="B42" s="58" t="s">
        <v>1487</v>
      </c>
      <c r="C42" s="301">
        <f>SUMIF(BTS_매출관리!C:C,B42,BTS_매출관리!I:I)</f>
        <v>1100000</v>
      </c>
      <c r="D42" s="58">
        <f t="shared" si="0"/>
        <v>42</v>
      </c>
      <c r="F42" t="s">
        <v>1327</v>
      </c>
      <c r="G42" t="s">
        <v>3808</v>
      </c>
    </row>
    <row r="43" spans="2:17" x14ac:dyDescent="0.3">
      <c r="B43" s="269" t="s">
        <v>1233</v>
      </c>
      <c r="C43" s="268">
        <f>SUMIF(BTS_매출관리!C:C,B43,BTS_매출관리!I:I)</f>
        <v>1100000</v>
      </c>
      <c r="D43" s="269">
        <f t="shared" si="0"/>
        <v>42</v>
      </c>
      <c r="F43" t="s">
        <v>3789</v>
      </c>
      <c r="G43" t="s">
        <v>3802</v>
      </c>
    </row>
    <row r="44" spans="2:17" x14ac:dyDescent="0.3">
      <c r="B44" s="58" t="s">
        <v>1286</v>
      </c>
      <c r="C44" s="301">
        <f>SUMIF(BTS_매출관리!C:C,B44,BTS_매출관리!I:I)</f>
        <v>1041000</v>
      </c>
      <c r="D44" s="58">
        <f t="shared" si="0"/>
        <v>44</v>
      </c>
      <c r="F44" t="s">
        <v>3790</v>
      </c>
      <c r="G44" t="s">
        <v>3802</v>
      </c>
    </row>
    <row r="45" spans="2:17" x14ac:dyDescent="0.3">
      <c r="B45" s="269" t="s">
        <v>1319</v>
      </c>
      <c r="C45" s="268">
        <f>SUMIF(BTS_매출관리!C:C,B45,BTS_매출관리!I:I)</f>
        <v>835000</v>
      </c>
      <c r="D45" s="269">
        <f t="shared" si="0"/>
        <v>45</v>
      </c>
      <c r="F45" t="s">
        <v>3791</v>
      </c>
      <c r="G45" t="s">
        <v>3802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800000</v>
      </c>
      <c r="D46" s="269">
        <f t="shared" si="0"/>
        <v>46</v>
      </c>
      <c r="F46" t="s">
        <v>3804</v>
      </c>
      <c r="G46" t="s">
        <v>3802</v>
      </c>
    </row>
    <row r="47" spans="2:17" x14ac:dyDescent="0.3">
      <c r="B47" s="269" t="s">
        <v>1889</v>
      </c>
      <c r="C47" s="268">
        <f>SUMIF(BTS_매출관리!C:C,B47,BTS_매출관리!I:I)</f>
        <v>650000</v>
      </c>
      <c r="D47" s="269">
        <f t="shared" si="0"/>
        <v>48</v>
      </c>
      <c r="F47" s="58" t="s">
        <v>1035</v>
      </c>
      <c r="G47" t="s">
        <v>3802</v>
      </c>
      <c r="K47" t="s">
        <v>3802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650000</v>
      </c>
      <c r="D48" s="269">
        <f t="shared" si="0"/>
        <v>48</v>
      </c>
      <c r="F48" s="58" t="s">
        <v>1356</v>
      </c>
      <c r="G48" t="s">
        <v>3808</v>
      </c>
      <c r="K48" t="s">
        <v>3808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350000</v>
      </c>
      <c r="D49" s="58">
        <f t="shared" si="0"/>
        <v>51</v>
      </c>
      <c r="F49" t="s">
        <v>1320</v>
      </c>
      <c r="G49" t="s">
        <v>3808</v>
      </c>
    </row>
    <row r="50" spans="2:7" x14ac:dyDescent="0.3">
      <c r="B50" s="269" t="s">
        <v>1294</v>
      </c>
      <c r="C50" s="268">
        <f>SUMIF(BTS_매출관리!C:C,B50,BTS_매출관리!I:I)</f>
        <v>540000</v>
      </c>
      <c r="D50" s="269">
        <f t="shared" si="0"/>
        <v>50</v>
      </c>
    </row>
    <row r="51" spans="2:7" x14ac:dyDescent="0.3">
      <c r="B51" s="269" t="s">
        <v>1318</v>
      </c>
      <c r="C51" s="268">
        <f>SUMIF(BTS_매출관리!C:C,B51,BTS_매출관리!I:I)</f>
        <v>220000</v>
      </c>
      <c r="D51" s="269">
        <f t="shared" si="0"/>
        <v>52</v>
      </c>
    </row>
    <row r="52" spans="2:7" x14ac:dyDescent="0.3">
      <c r="B52" t="s">
        <v>3267</v>
      </c>
      <c r="C52" s="300">
        <f>SUMIF(BTS_매출관리!C:C,B52,BTS_매출관리!I:I)</f>
        <v>200000</v>
      </c>
      <c r="D52">
        <f t="shared" si="0"/>
        <v>53</v>
      </c>
    </row>
    <row r="53" spans="2:7" x14ac:dyDescent="0.3">
      <c r="B53" t="s">
        <v>2486</v>
      </c>
      <c r="C53" s="300">
        <f>SUMIF(BTS_매출관리!C:C,B53,BTS_매출관리!I:I)</f>
        <v>150000</v>
      </c>
      <c r="D53">
        <f t="shared" si="0"/>
        <v>54</v>
      </c>
    </row>
    <row r="54" spans="2:7" x14ac:dyDescent="0.3">
      <c r="B54" t="s">
        <v>1354</v>
      </c>
      <c r="C54" s="300">
        <f>SUMIF(BTS_매출관리!C:C,B54,BTS_매출관리!I:I)</f>
        <v>143000</v>
      </c>
      <c r="D54">
        <f t="shared" si="0"/>
        <v>55</v>
      </c>
    </row>
    <row r="55" spans="2:7" x14ac:dyDescent="0.3">
      <c r="B55" t="s">
        <v>2703</v>
      </c>
      <c r="C55" s="52">
        <f>SUMIF(BTS_매출관리!C:C,B55,BTS_매출관리!I:I)</f>
        <v>110000</v>
      </c>
      <c r="D55">
        <f t="shared" si="0"/>
        <v>56</v>
      </c>
    </row>
    <row r="56" spans="2:7" x14ac:dyDescent="0.3">
      <c r="B56" s="47" t="s">
        <v>1018</v>
      </c>
      <c r="C56" s="302">
        <f>SUMIF(BTS_매출관리!C:C,B56,BTS_매출관리!I:I)</f>
        <v>80000</v>
      </c>
      <c r="D56" s="47">
        <f t="shared" si="0"/>
        <v>57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58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58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58</v>
      </c>
    </row>
    <row r="60" spans="2:7" x14ac:dyDescent="0.3">
      <c r="B60" s="47" t="s">
        <v>1306</v>
      </c>
      <c r="C60" s="302">
        <f>SUMIF(BTS_매출관리!C:C,B60,BTS_매출관리!I:I)</f>
        <v>0</v>
      </c>
      <c r="D60" s="47">
        <f t="shared" si="0"/>
        <v>58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58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58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58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58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58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58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58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58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58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58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58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58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58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58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58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58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58</v>
      </c>
    </row>
    <row r="78" spans="2:4" x14ac:dyDescent="0.3">
      <c r="B78" t="s">
        <v>1350</v>
      </c>
      <c r="C78" s="52">
        <f>SUMIF(BTS_매출관리!C:C,B78,BTS_매출관리!I:I)</f>
        <v>1738000</v>
      </c>
      <c r="D78">
        <f t="shared" si="1"/>
        <v>26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58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58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58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58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58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58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58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58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58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58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58</v>
      </c>
    </row>
    <row r="90" spans="2:4" x14ac:dyDescent="0.3">
      <c r="B90" t="s">
        <v>2868</v>
      </c>
      <c r="C90" s="52">
        <f>SUMIF(BTS_매출관리!C:C,B90,BTS_매출관리!I:I)</f>
        <v>0</v>
      </c>
      <c r="D90">
        <f t="shared" si="1"/>
        <v>58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58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58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58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58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58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58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58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58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58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58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58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58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58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58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58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58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58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58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58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58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58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58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58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58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58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58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58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58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58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58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58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58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58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58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58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58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58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58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58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58</v>
      </c>
    </row>
    <row r="131" spans="2:4" x14ac:dyDescent="0.3">
      <c r="B131" t="s">
        <v>3574</v>
      </c>
      <c r="C131" s="52">
        <f>SUMIF(BTS_매출관리!C:C,B131,BTS_매출관리!I:I)</f>
        <v>0</v>
      </c>
      <c r="D131">
        <f t="shared" si="2"/>
        <v>58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58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58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58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58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58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58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58</v>
      </c>
    </row>
    <row r="139" spans="2:4" x14ac:dyDescent="0.3">
      <c r="B139" t="s">
        <v>1296</v>
      </c>
      <c r="C139" s="300">
        <f>SUMIF(BTS_매출관리!C:C,B139,BTS_매출관리!I:I)</f>
        <v>675000</v>
      </c>
      <c r="D139">
        <f t="shared" si="2"/>
        <v>47</v>
      </c>
    </row>
    <row r="140" spans="2:4" x14ac:dyDescent="0.3">
      <c r="B140" t="s">
        <v>2467</v>
      </c>
      <c r="C140" s="52">
        <f>SUMIF(BTS_매출관리!C:C,B140,BTS_매출관리!I:I)</f>
        <v>0</v>
      </c>
      <c r="D140">
        <f t="shared" si="2"/>
        <v>58</v>
      </c>
    </row>
    <row r="141" spans="2:4" x14ac:dyDescent="0.3">
      <c r="B141" t="s">
        <v>1313</v>
      </c>
      <c r="C141" s="300">
        <f>SUMIF(BTS_매출관리!C:C,B141,BTS_매출관리!I:I)</f>
        <v>0</v>
      </c>
      <c r="D141">
        <f t="shared" si="2"/>
        <v>58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58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58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58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58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58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58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58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58</v>
      </c>
    </row>
    <row r="150" spans="2:4" x14ac:dyDescent="0.3">
      <c r="B150" t="s">
        <v>3724</v>
      </c>
      <c r="C150" s="52">
        <f>SUMIF(BTS_매출관리!C:C,B150,BTS_매출관리!I:I)</f>
        <v>0</v>
      </c>
      <c r="D150">
        <f t="shared" si="2"/>
        <v>58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58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58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58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58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58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58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58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58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58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58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58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58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58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58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58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58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58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58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58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58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58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58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58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58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58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58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58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58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58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58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58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58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58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58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58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58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58</v>
      </c>
    </row>
    <row r="188" spans="2:4" x14ac:dyDescent="0.3">
      <c r="C188" s="52">
        <f>SUMIF(BTS_매출관리!C:C,B188,BTS_매출관리!I:I)</f>
        <v>0</v>
      </c>
      <c r="D188">
        <f t="shared" si="2"/>
        <v>58</v>
      </c>
    </row>
    <row r="189" spans="2:4" x14ac:dyDescent="0.3">
      <c r="C189" s="52">
        <f>SUMIF(BTS_매출관리!C:C,B189,BTS_매출관리!I:I)</f>
        <v>0</v>
      </c>
      <c r="D189">
        <f t="shared" si="2"/>
        <v>58</v>
      </c>
    </row>
    <row r="190" spans="2:4" x14ac:dyDescent="0.3">
      <c r="C190" s="52">
        <f>SUMIF(BTS_매출관리!C:C,B190,BTS_매출관리!I:I)</f>
        <v>0</v>
      </c>
      <c r="D190">
        <f t="shared" si="2"/>
        <v>58</v>
      </c>
    </row>
    <row r="191" spans="2:4" x14ac:dyDescent="0.3">
      <c r="C191" s="52">
        <f>SUMIF(BTS_매출관리!C:C,B191,BTS_매출관리!I:I)</f>
        <v>0</v>
      </c>
      <c r="D191">
        <f t="shared" si="2"/>
        <v>58</v>
      </c>
    </row>
    <row r="192" spans="2:4" x14ac:dyDescent="0.3">
      <c r="C192" s="52">
        <f>SUMIF(BTS_매출관리!C:C,B192,BTS_매출관리!I:I)</f>
        <v>0</v>
      </c>
      <c r="D192">
        <f t="shared" si="2"/>
        <v>58</v>
      </c>
    </row>
    <row r="193" spans="3:4" x14ac:dyDescent="0.3">
      <c r="C193" s="52">
        <f>SUMIF(BTS_매출관리!C:C,B193,BTS_매출관리!I:I)</f>
        <v>0</v>
      </c>
      <c r="D193">
        <f t="shared" si="2"/>
        <v>58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58</v>
      </c>
    </row>
    <row r="195" spans="3:4" x14ac:dyDescent="0.3">
      <c r="C195" s="52">
        <f>SUMIF(BTS_매출관리!C:C,B195,BTS_매출관리!I:I)</f>
        <v>0</v>
      </c>
      <c r="D195">
        <f t="shared" si="3"/>
        <v>58</v>
      </c>
    </row>
    <row r="196" spans="3:4" x14ac:dyDescent="0.3">
      <c r="C196" s="52">
        <f>SUMIF(BTS_매출관리!C:C,B196,BTS_매출관리!I:I)</f>
        <v>0</v>
      </c>
      <c r="D196">
        <f t="shared" si="3"/>
        <v>58</v>
      </c>
    </row>
    <row r="197" spans="3:4" x14ac:dyDescent="0.3">
      <c r="C197" s="52">
        <f>SUMIF(BTS_매출관리!C:C,B197,BTS_매출관리!I:I)</f>
        <v>0</v>
      </c>
      <c r="D197">
        <f t="shared" si="3"/>
        <v>58</v>
      </c>
    </row>
    <row r="198" spans="3:4" x14ac:dyDescent="0.3">
      <c r="C198" s="52">
        <f>SUMIF(BTS_매출관리!C:C,B198,BTS_매출관리!I:I)</f>
        <v>0</v>
      </c>
      <c r="D198">
        <f t="shared" si="3"/>
        <v>58</v>
      </c>
    </row>
    <row r="199" spans="3:4" x14ac:dyDescent="0.3">
      <c r="C199" s="52">
        <f>SUMIF(BTS_매출관리!C:C,B199,BTS_매출관리!I:I)</f>
        <v>0</v>
      </c>
      <c r="D199">
        <f t="shared" si="3"/>
        <v>58</v>
      </c>
    </row>
    <row r="200" spans="3:4" x14ac:dyDescent="0.3">
      <c r="C200" s="52">
        <f>SUMIF(BTS_매출관리!C:C,B200,BTS_매출관리!I:I)</f>
        <v>0</v>
      </c>
      <c r="D200">
        <f t="shared" si="3"/>
        <v>58</v>
      </c>
    </row>
    <row r="201" spans="3:4" x14ac:dyDescent="0.3">
      <c r="C201" s="52">
        <f>SUMIF(BTS_매출관리!C:C,B201,BTS_매출관리!I:I)</f>
        <v>0</v>
      </c>
      <c r="D201">
        <f t="shared" si="3"/>
        <v>58</v>
      </c>
    </row>
    <row r="202" spans="3:4" x14ac:dyDescent="0.3">
      <c r="C202" s="52">
        <f>SUMIF(BTS_매출관리!C:C,B202,BTS_매출관리!I:I)</f>
        <v>0</v>
      </c>
      <c r="D202">
        <f t="shared" si="3"/>
        <v>58</v>
      </c>
    </row>
    <row r="203" spans="3:4" x14ac:dyDescent="0.3">
      <c r="C203" s="52">
        <f>SUMIF(BTS_매출관리!C:C,B203,BTS_매출관리!I:I)</f>
        <v>0</v>
      </c>
      <c r="D203">
        <f t="shared" si="3"/>
        <v>58</v>
      </c>
    </row>
    <row r="204" spans="3:4" x14ac:dyDescent="0.3">
      <c r="C204" s="52">
        <f>SUMIF(BTS_매출관리!C:C,B204,BTS_매출관리!I:I)</f>
        <v>0</v>
      </c>
      <c r="D204">
        <f t="shared" si="3"/>
        <v>58</v>
      </c>
    </row>
    <row r="205" spans="3:4" x14ac:dyDescent="0.3">
      <c r="C205" s="52">
        <f>SUMIF(BTS_매출관리!C:C,B205,BTS_매출관리!I:I)</f>
        <v>0</v>
      </c>
      <c r="D205">
        <f t="shared" si="3"/>
        <v>58</v>
      </c>
    </row>
    <row r="206" spans="3:4" x14ac:dyDescent="0.3">
      <c r="C206" s="52">
        <f>SUMIF(BTS_매출관리!C:C,B206,BTS_매출관리!I:I)</f>
        <v>0</v>
      </c>
      <c r="D206">
        <f t="shared" si="3"/>
        <v>58</v>
      </c>
    </row>
    <row r="207" spans="3:4" x14ac:dyDescent="0.3">
      <c r="C207" s="52">
        <f>SUMIF(BTS_매출관리!C:C,B207,BTS_매출관리!I:I)</f>
        <v>0</v>
      </c>
      <c r="D207">
        <f t="shared" si="3"/>
        <v>58</v>
      </c>
    </row>
    <row r="208" spans="3:4" x14ac:dyDescent="0.3">
      <c r="C208" s="52">
        <f>SUMIF(BTS_매출관리!C:C,B208,BTS_매출관리!I:I)</f>
        <v>0</v>
      </c>
      <c r="D208">
        <f t="shared" si="3"/>
        <v>58</v>
      </c>
    </row>
    <row r="209" spans="3:4" x14ac:dyDescent="0.3">
      <c r="C209" s="52">
        <f>SUMIF(BTS_매출관리!C:C,B209,BTS_매출관리!I:I)</f>
        <v>0</v>
      </c>
      <c r="D209">
        <f t="shared" si="3"/>
        <v>58</v>
      </c>
    </row>
    <row r="210" spans="3:4" x14ac:dyDescent="0.3">
      <c r="C210" s="52">
        <f>SUMIF(BTS_매출관리!C:C,B210,BTS_매출관리!I:I)</f>
        <v>0</v>
      </c>
      <c r="D210">
        <f t="shared" si="3"/>
        <v>58</v>
      </c>
    </row>
    <row r="211" spans="3:4" x14ac:dyDescent="0.3">
      <c r="C211" s="52">
        <f>SUMIF(BTS_매출관리!C:C,B211,BTS_매출관리!I:I)</f>
        <v>0</v>
      </c>
      <c r="D211">
        <f t="shared" si="3"/>
        <v>58</v>
      </c>
    </row>
    <row r="212" spans="3:4" x14ac:dyDescent="0.3">
      <c r="C212" s="52">
        <f>SUMIF(BTS_매출관리!C:C,B212,BTS_매출관리!I:I)</f>
        <v>0</v>
      </c>
      <c r="D212">
        <f t="shared" si="3"/>
        <v>58</v>
      </c>
    </row>
    <row r="213" spans="3:4" x14ac:dyDescent="0.3">
      <c r="C213" s="52">
        <f>SUMIF(BTS_매출관리!C:C,B213,BTS_매출관리!I:I)</f>
        <v>0</v>
      </c>
      <c r="D213">
        <f t="shared" si="3"/>
        <v>58</v>
      </c>
    </row>
    <row r="214" spans="3:4" x14ac:dyDescent="0.3">
      <c r="C214" s="52">
        <f>SUMIF(BTS_매출관리!C:C,B214,BTS_매출관리!I:I)</f>
        <v>0</v>
      </c>
      <c r="D214">
        <f t="shared" si="3"/>
        <v>58</v>
      </c>
    </row>
    <row r="215" spans="3:4" x14ac:dyDescent="0.3">
      <c r="C215" s="52">
        <f>SUMIF(BTS_매출관리!C:C,B215,BTS_매출관리!I:I)</f>
        <v>0</v>
      </c>
      <c r="D215">
        <f t="shared" si="3"/>
        <v>58</v>
      </c>
    </row>
    <row r="216" spans="3:4" x14ac:dyDescent="0.3">
      <c r="C216" s="52">
        <f>SUMIF(BTS_매출관리!C:C,B216,BTS_매출관리!I:I)</f>
        <v>0</v>
      </c>
      <c r="D216">
        <f t="shared" si="3"/>
        <v>58</v>
      </c>
    </row>
    <row r="217" spans="3:4" x14ac:dyDescent="0.3">
      <c r="C217" s="52">
        <f>SUMIF(BTS_매출관리!C:C,B217,BTS_매출관리!I:I)</f>
        <v>0</v>
      </c>
      <c r="D217">
        <f t="shared" si="3"/>
        <v>58</v>
      </c>
    </row>
    <row r="218" spans="3:4" x14ac:dyDescent="0.3">
      <c r="C218" s="52">
        <f>SUMIF(BTS_매출관리!C:C,B218,BTS_매출관리!I:I)</f>
        <v>0</v>
      </c>
      <c r="D218">
        <f t="shared" si="3"/>
        <v>58</v>
      </c>
    </row>
    <row r="219" spans="3:4" x14ac:dyDescent="0.3">
      <c r="C219" s="52">
        <f>SUMIF(BTS_매출관리!C:C,B219,BTS_매출관리!I:I)</f>
        <v>0</v>
      </c>
      <c r="D219">
        <f t="shared" si="3"/>
        <v>58</v>
      </c>
    </row>
    <row r="220" spans="3:4" x14ac:dyDescent="0.3">
      <c r="C220" s="52">
        <f>SUMIF(BTS_매출관리!C:C,B220,BTS_매출관리!I:I)</f>
        <v>0</v>
      </c>
      <c r="D220">
        <f t="shared" si="3"/>
        <v>58</v>
      </c>
    </row>
    <row r="221" spans="3:4" x14ac:dyDescent="0.3">
      <c r="C221" s="52">
        <f>SUMIF(BTS_매출관리!C:C,B221,BTS_매출관리!I:I)</f>
        <v>0</v>
      </c>
      <c r="D221">
        <f t="shared" si="3"/>
        <v>58</v>
      </c>
    </row>
    <row r="222" spans="3:4" x14ac:dyDescent="0.3">
      <c r="C222" s="52">
        <f>SUMIF(BTS_매출관리!C:C,B222,BTS_매출관리!I:I)</f>
        <v>0</v>
      </c>
      <c r="D222">
        <f t="shared" si="3"/>
        <v>58</v>
      </c>
    </row>
    <row r="223" spans="3:4" x14ac:dyDescent="0.3">
      <c r="C223" s="52">
        <f>SUMIF(BTS_매출관리!C:C,B223,BTS_매출관리!I:I)</f>
        <v>0</v>
      </c>
      <c r="D223">
        <f t="shared" si="3"/>
        <v>58</v>
      </c>
    </row>
    <row r="224" spans="3:4" x14ac:dyDescent="0.3">
      <c r="C224" s="52">
        <f>SUMIF(BTS_매출관리!C:C,B224,BTS_매출관리!I:I)</f>
        <v>0</v>
      </c>
      <c r="D224">
        <f t="shared" si="3"/>
        <v>58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9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1121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3573</v>
      </c>
      <c r="D887" t="s">
        <v>3580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3581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3582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3584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3585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3586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3587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3599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3600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3601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3602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3604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3605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3606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3607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3608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3609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3610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3611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3612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3619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3620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3621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3623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3631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3636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3637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3638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3639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3640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3641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3642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3646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3648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3649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3650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3651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3652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3653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3655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3657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3664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3666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3667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3668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3669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3717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3718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3719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3720</v>
      </c>
    </row>
    <row r="937" spans="1:4" x14ac:dyDescent="0.3">
      <c r="A937">
        <v>961</v>
      </c>
      <c r="B937" s="13">
        <v>45926</v>
      </c>
      <c r="C937" t="s">
        <v>3721</v>
      </c>
      <c r="D937" t="s">
        <v>3723</v>
      </c>
    </row>
    <row r="938" spans="1:4" x14ac:dyDescent="0.3">
      <c r="A938">
        <v>962</v>
      </c>
      <c r="B938" s="13">
        <v>45927</v>
      </c>
      <c r="C938" t="s">
        <v>3724</v>
      </c>
      <c r="D938" t="s">
        <v>3728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3731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3736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3742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3744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3745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3746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3747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3749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3751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3753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3754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3755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3756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3757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3758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3768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3769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3771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3772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3773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3774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3775</v>
      </c>
    </row>
    <row r="961" spans="1:4" x14ac:dyDescent="0.3">
      <c r="A961">
        <v>985</v>
      </c>
      <c r="B961" s="13">
        <v>45930</v>
      </c>
      <c r="C961" t="s">
        <v>3761</v>
      </c>
      <c r="D961" t="s">
        <v>3776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3811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3812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3813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3814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3816</v>
      </c>
    </row>
    <row r="967" spans="1:4" x14ac:dyDescent="0.3">
      <c r="A967">
        <v>991</v>
      </c>
      <c r="B967" s="13">
        <v>45931</v>
      </c>
      <c r="C967" t="s">
        <v>3817</v>
      </c>
      <c r="D967" t="s">
        <v>3818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3823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3824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3829</v>
      </c>
    </row>
    <row r="971" spans="1:4" x14ac:dyDescent="0.3">
      <c r="A971">
        <v>995</v>
      </c>
      <c r="B971" s="13">
        <v>45932</v>
      </c>
      <c r="C971" t="s">
        <v>3820</v>
      </c>
      <c r="D971" t="s">
        <v>3831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3832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3838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3841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3842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3844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3845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3849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3855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3856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3857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3859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3860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3861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3862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3863</v>
      </c>
    </row>
    <row r="987" spans="1:4" x14ac:dyDescent="0.3">
      <c r="A987">
        <v>1011</v>
      </c>
      <c r="B987" s="13">
        <v>45940</v>
      </c>
      <c r="C987" t="s">
        <v>3817</v>
      </c>
      <c r="D987" t="s">
        <v>3864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3865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3866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3873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3874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3875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3876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3880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3882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3884</v>
      </c>
    </row>
    <row r="997" spans="1:4" x14ac:dyDescent="0.3">
      <c r="A997">
        <v>1021</v>
      </c>
      <c r="B997" s="13">
        <v>45943</v>
      </c>
      <c r="C997" t="s">
        <v>3885</v>
      </c>
      <c r="D997" t="s">
        <v>3888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3889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3890</v>
      </c>
    </row>
    <row r="1000" spans="1:4" x14ac:dyDescent="0.3">
      <c r="A1000">
        <v>1024</v>
      </c>
      <c r="B1000" s="13">
        <v>45943</v>
      </c>
      <c r="C1000" t="s">
        <v>3891</v>
      </c>
      <c r="D1000" t="s">
        <v>3892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3893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3907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3908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3911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3913</v>
      </c>
    </row>
    <row r="1006" spans="1:4" x14ac:dyDescent="0.3">
      <c r="A1006">
        <v>1030</v>
      </c>
      <c r="B1006" s="13">
        <v>45944</v>
      </c>
      <c r="C1006" t="s">
        <v>3914</v>
      </c>
      <c r="D1006" t="s">
        <v>3917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3918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3919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3920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3921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3923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3926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3927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3929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3930</v>
      </c>
    </row>
    <row r="1016" spans="1:4" x14ac:dyDescent="0.3">
      <c r="A1016">
        <v>1040</v>
      </c>
      <c r="B1016" s="13">
        <v>45945</v>
      </c>
      <c r="C1016" t="s">
        <v>3931</v>
      </c>
      <c r="D1016" t="s">
        <v>3935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3937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3938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3940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3951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3952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3953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3954</v>
      </c>
    </row>
    <row r="1025" spans="1:4" x14ac:dyDescent="0.3">
      <c r="A1025">
        <v>1049</v>
      </c>
      <c r="B1025" s="13">
        <v>45946</v>
      </c>
      <c r="C1025" t="s">
        <v>3945</v>
      </c>
      <c r="D1025" t="s">
        <v>3955</v>
      </c>
    </row>
    <row r="1026" spans="1:4" x14ac:dyDescent="0.3">
      <c r="A1026">
        <v>1050</v>
      </c>
      <c r="B1026" s="13">
        <v>45946</v>
      </c>
      <c r="C1026" t="s">
        <v>3817</v>
      </c>
      <c r="D1026" t="s">
        <v>3956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3958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3963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3965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3967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3968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3969</v>
      </c>
    </row>
    <row r="1033" spans="1:4" x14ac:dyDescent="0.3">
      <c r="A1033">
        <v>1057</v>
      </c>
      <c r="B1033" s="13">
        <v>45950</v>
      </c>
      <c r="C1033" t="s">
        <v>3970</v>
      </c>
      <c r="D1033" t="s">
        <v>3973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3974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3976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3977</v>
      </c>
    </row>
    <row r="1037" spans="1:4" x14ac:dyDescent="0.3">
      <c r="A1037">
        <v>1061</v>
      </c>
      <c r="B1037" s="13">
        <v>45950</v>
      </c>
      <c r="C1037" t="s">
        <v>3979</v>
      </c>
      <c r="D1037" t="s">
        <v>3980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3981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3983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3985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3987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3990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3991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3992</v>
      </c>
    </row>
    <row r="1046" spans="1:4" x14ac:dyDescent="0.3">
      <c r="A1046">
        <v>1070</v>
      </c>
      <c r="B1046" s="13">
        <v>45951</v>
      </c>
      <c r="C1046" t="s">
        <v>3931</v>
      </c>
      <c r="D1046" t="s">
        <v>3993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3997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3999</v>
      </c>
    </row>
    <row r="1049" spans="1:4" x14ac:dyDescent="0.3">
      <c r="A1049">
        <v>1073</v>
      </c>
      <c r="B1049" s="13">
        <v>45951</v>
      </c>
      <c r="C1049" t="s">
        <v>4000</v>
      </c>
      <c r="D1049" t="s">
        <v>4001</v>
      </c>
    </row>
    <row r="1050" spans="1:4" x14ac:dyDescent="0.3">
      <c r="A1050">
        <v>1074</v>
      </c>
      <c r="B1050" s="13">
        <v>45952</v>
      </c>
      <c r="C1050" t="s">
        <v>4002</v>
      </c>
      <c r="D1050" t="s">
        <v>4008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4009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4010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4011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4013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4014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4017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4018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4019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4020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4021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4022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4023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4025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4026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4035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4041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4042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4043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4044</v>
      </c>
    </row>
    <row r="1070" spans="1:4" x14ac:dyDescent="0.3">
      <c r="A1070">
        <v>1094</v>
      </c>
      <c r="B1070" s="13">
        <v>45955</v>
      </c>
      <c r="C1070" t="s">
        <v>4045</v>
      </c>
      <c r="D1070" t="s">
        <v>4049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4050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4051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4052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4056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4071</v>
      </c>
    </row>
    <row r="1076" spans="1:4" x14ac:dyDescent="0.3">
      <c r="A1076">
        <v>1100</v>
      </c>
      <c r="B1076" s="13">
        <v>45957</v>
      </c>
      <c r="C1076" t="s">
        <v>4066</v>
      </c>
      <c r="D1076" t="s">
        <v>4072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4073</v>
      </c>
    </row>
    <row r="1078" spans="1:4" x14ac:dyDescent="0.3">
      <c r="A1078">
        <v>1102</v>
      </c>
      <c r="B1078" s="13">
        <v>45957</v>
      </c>
      <c r="C1078" t="s">
        <v>4062</v>
      </c>
      <c r="D1078" t="s">
        <v>4074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4075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4076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4086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4087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4098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4100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4102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4103</v>
      </c>
    </row>
    <row r="1088" spans="1:4" x14ac:dyDescent="0.3">
      <c r="A1088">
        <v>1112</v>
      </c>
      <c r="B1088" s="13">
        <v>45958</v>
      </c>
      <c r="C1088" t="s">
        <v>4092</v>
      </c>
      <c r="D1088" t="s">
        <v>4104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4105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4116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4117</v>
      </c>
    </row>
    <row r="1092" spans="1:4" x14ac:dyDescent="0.3">
      <c r="A1092">
        <v>1116</v>
      </c>
      <c r="B1092" s="13">
        <v>45959</v>
      </c>
      <c r="C1092" t="s">
        <v>4112</v>
      </c>
      <c r="D1092" t="s">
        <v>4119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4120</v>
      </c>
    </row>
    <row r="1094" spans="1:4" x14ac:dyDescent="0.3">
      <c r="A1094">
        <v>1118</v>
      </c>
      <c r="B1094" s="13">
        <v>45959</v>
      </c>
      <c r="C1094" t="s">
        <v>4045</v>
      </c>
      <c r="D1094" t="s">
        <v>4121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4122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4127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199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3354999.6000000015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3643</v>
      </c>
      <c r="E4" t="s">
        <v>3644</v>
      </c>
      <c r="F4" t="s">
        <v>963</v>
      </c>
      <c r="G4" t="s">
        <v>3645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3949</v>
      </c>
      <c r="H11" s="194">
        <f>SUMIF(주문_리스트!C:C,거래처!B11,주문_리스트!K:K)+SUMIF(주문_리스트!C:C,거래처!B11,주문_리스트!L:L)+60000</f>
        <v>0</v>
      </c>
      <c r="J11" t="s">
        <v>4027</v>
      </c>
      <c r="K11">
        <v>232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3798</v>
      </c>
      <c r="F14" t="s">
        <v>3793</v>
      </c>
      <c r="G14" t="s">
        <v>3799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14933000.199999999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2845000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  <c r="J21" t="s">
        <v>4027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675000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3618</v>
      </c>
      <c r="J33" t="s">
        <v>3618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13579000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3807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3760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  <c r="I43" s="52" t="s">
        <v>3520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3867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2305000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4027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3998</v>
      </c>
      <c r="J61" t="s">
        <v>3998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3877</v>
      </c>
      <c r="H65" s="194">
        <f>SUMIF(주문_리스트!C:C,거래처!B65,주문_리스트!K:K)+SUMIF(주문_리스트!C:C,거래처!B65,주문_리스트!L:L)</f>
        <v>0</v>
      </c>
      <c r="J65" t="s">
        <v>3896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600000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3792</v>
      </c>
      <c r="F73" t="s">
        <v>3793</v>
      </c>
      <c r="G73" t="s">
        <v>3794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3852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2750000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694500</v>
      </c>
      <c r="I77" s="52" t="s">
        <v>3998</v>
      </c>
      <c r="J77" t="s">
        <v>3998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4155000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4027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3805</v>
      </c>
      <c r="F84" t="s">
        <v>3793</v>
      </c>
      <c r="G84" t="s">
        <v>3806</v>
      </c>
      <c r="H84" s="194">
        <f>SUMIF(주문_리스트!C:C,거래처!B84,주문_리스트!K:K)+SUMIF(주문_리스트!C:C,거래처!B84,주문_리스트!L:L)-1100000</f>
        <v>2140000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3760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3800</v>
      </c>
      <c r="F95" t="s">
        <v>3793</v>
      </c>
      <c r="G95" t="s">
        <v>3801</v>
      </c>
      <c r="H95" s="194">
        <f>SUMIF(주문_리스트!C:C,거래처!B95,주문_리스트!K:K)+SUMIF(주문_리스트!C:C,거래처!B95,주문_리스트!L:L)-715000</f>
        <v>1738000</v>
      </c>
      <c r="I95" s="52" t="s">
        <v>3568</v>
      </c>
    </row>
    <row r="96" spans="1:11" x14ac:dyDescent="0.3">
      <c r="A96" s="47">
        <v>95</v>
      </c>
      <c r="B96" t="s">
        <v>1351</v>
      </c>
      <c r="C96" t="s">
        <v>3596</v>
      </c>
      <c r="E96" t="s">
        <v>3597</v>
      </c>
      <c r="F96" t="s">
        <v>963</v>
      </c>
      <c r="G96" t="s">
        <v>3598</v>
      </c>
      <c r="H96" s="194">
        <f>SUMIF(주문_리스트!C:C,거래처!B96,주문_리스트!K:K)+SUMIF(주문_리스트!C:C,거래처!B96,주문_리스트!L:L)</f>
        <v>740000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5387000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4027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3950</v>
      </c>
      <c r="H102" s="194">
        <f>SUMIF(주문_리스트!C:C,거래처!B102,주문_리스트!K:K)+SUMIF(주문_리스트!C:C,거래처!B102,주문_리스트!L:L)</f>
        <v>0</v>
      </c>
      <c r="J102" t="s">
        <v>3898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3848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3894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  <c r="J109" t="s">
        <v>3900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3618</v>
      </c>
    </row>
    <row r="115" spans="1:10" x14ac:dyDescent="0.3">
      <c r="A115" s="47">
        <v>114</v>
      </c>
      <c r="B115" t="s">
        <v>4046</v>
      </c>
      <c r="C115" t="s">
        <v>4047</v>
      </c>
      <c r="E115" t="s">
        <v>4048</v>
      </c>
      <c r="F115" t="s">
        <v>4057</v>
      </c>
      <c r="G115" t="s">
        <v>1157</v>
      </c>
      <c r="H115" s="194">
        <f>SUMIF(주문_리스트!C:C,거래처!B115,주문_리스트!K:K)+SUMIF(주문_리스트!C:C,거래처!B115,주문_리스트!L:L)</f>
        <v>2650000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1600000</v>
      </c>
      <c r="J116" t="s">
        <v>3902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3941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2310000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3618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3795</v>
      </c>
      <c r="F148" t="s">
        <v>3796</v>
      </c>
      <c r="G148" t="s">
        <v>3797</v>
      </c>
      <c r="H148" s="194">
        <f>SUMIF(주문_리스트!C:C,거래처!B148,주문_리스트!K:K)+SUMIF(주문_리스트!C:C,거래처!B148,주문_리스트!L:L)</f>
        <v>0</v>
      </c>
      <c r="K148" t="s">
        <v>4027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3760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4027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3737</v>
      </c>
      <c r="C176" t="s">
        <v>3738</v>
      </c>
      <c r="E176" t="s">
        <v>3739</v>
      </c>
      <c r="F176" t="s">
        <v>3740</v>
      </c>
      <c r="G176" t="s">
        <v>3739</v>
      </c>
      <c r="H176" s="194">
        <f>SUMIF(주문_리스트!C:C,거래처!B176,주문_리스트!K:K)+SUMIF(주문_리스트!C:C,거래처!B176,주문_리스트!L:L)</f>
        <v>0</v>
      </c>
      <c r="J176" t="s">
        <v>3904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4027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3618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3760</v>
      </c>
    </row>
    <row r="183" spans="1:11" x14ac:dyDescent="0.3">
      <c r="A183" s="47">
        <v>182</v>
      </c>
      <c r="B183" t="s">
        <v>3762</v>
      </c>
      <c r="C183" t="s">
        <v>3763</v>
      </c>
      <c r="E183" t="s">
        <v>3764</v>
      </c>
      <c r="F183" t="s">
        <v>3765</v>
      </c>
      <c r="G183" t="s">
        <v>3766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3574</v>
      </c>
      <c r="C185" t="s">
        <v>3575</v>
      </c>
      <c r="E185" t="s">
        <v>3576</v>
      </c>
      <c r="F185" t="s">
        <v>963</v>
      </c>
      <c r="G185" t="s">
        <v>3577</v>
      </c>
      <c r="H185" s="194">
        <f>SUMIF(주문_리스트!C:C,거래처!B185,주문_리스트!K:K)+SUMIF(주문_리스트!C:C,거래처!B185,주문_리스트!L:L)</f>
        <v>0</v>
      </c>
      <c r="J185" t="s">
        <v>3618</v>
      </c>
    </row>
    <row r="186" spans="1:11" x14ac:dyDescent="0.3">
      <c r="A186" s="47">
        <v>185</v>
      </c>
      <c r="B186" t="s">
        <v>3633</v>
      </c>
      <c r="C186" t="s">
        <v>3634</v>
      </c>
      <c r="E186" t="s">
        <v>3635</v>
      </c>
      <c r="F186" t="s">
        <v>1180</v>
      </c>
      <c r="G186" t="s">
        <v>3632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3724</v>
      </c>
      <c r="C187" t="s">
        <v>3725</v>
      </c>
      <c r="E187" t="s">
        <v>3726</v>
      </c>
      <c r="F187" t="s">
        <v>1180</v>
      </c>
      <c r="G187" t="s">
        <v>3727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3820</v>
      </c>
      <c r="C188" t="s">
        <v>3821</v>
      </c>
      <c r="E188" t="s">
        <v>3822</v>
      </c>
      <c r="F188" t="s">
        <v>1180</v>
      </c>
      <c r="G188" t="s">
        <v>3822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3885</v>
      </c>
      <c r="C189" t="s">
        <v>3886</v>
      </c>
      <c r="E189" t="s">
        <v>3887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3906</v>
      </c>
    </row>
    <row r="190" spans="1:11" x14ac:dyDescent="0.3">
      <c r="A190" s="47">
        <v>189</v>
      </c>
      <c r="B190" t="s">
        <v>3914</v>
      </c>
      <c r="C190" t="s">
        <v>3915</v>
      </c>
      <c r="E190" t="s">
        <v>3916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3931</v>
      </c>
      <c r="C191" t="s">
        <v>3932</v>
      </c>
      <c r="E191" t="s">
        <v>3933</v>
      </c>
      <c r="F191" t="s">
        <v>976</v>
      </c>
      <c r="G191" t="s">
        <v>3934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3945</v>
      </c>
      <c r="C192" t="s">
        <v>3946</v>
      </c>
      <c r="E192" t="s">
        <v>3947</v>
      </c>
      <c r="F192" t="s">
        <v>963</v>
      </c>
      <c r="G192" t="s">
        <v>3948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3970</v>
      </c>
      <c r="C193" t="s">
        <v>3971</v>
      </c>
      <c r="E193" t="s">
        <v>3972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4003</v>
      </c>
      <c r="C194" t="s">
        <v>4004</v>
      </c>
      <c r="E194" t="s">
        <v>4005</v>
      </c>
      <c r="F194" t="s">
        <v>4006</v>
      </c>
      <c r="G194" t="s">
        <v>4007</v>
      </c>
      <c r="H194" s="194">
        <f>SUMIF(주문_리스트!C:C,거래처!B194,주문_리스트!K:K)+SUMIF(주문_리스트!C:C,거래처!B194,주문_리스트!L:L)</f>
        <v>0</v>
      </c>
      <c r="K194" t="s">
        <v>4027</v>
      </c>
    </row>
    <row r="195" spans="1:11" x14ac:dyDescent="0.3">
      <c r="A195" s="47">
        <v>195</v>
      </c>
      <c r="B195" t="s">
        <v>4062</v>
      </c>
      <c r="C195" t="s">
        <v>4063</v>
      </c>
      <c r="E195" t="s">
        <v>4064</v>
      </c>
      <c r="F195" t="s">
        <v>963</v>
      </c>
      <c r="G195" t="s">
        <v>4065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4066</v>
      </c>
      <c r="C196" t="s">
        <v>4067</v>
      </c>
      <c r="E196" t="s">
        <v>4068</v>
      </c>
      <c r="F196" t="s">
        <v>1180</v>
      </c>
      <c r="G196" t="s">
        <v>4069</v>
      </c>
      <c r="H196" s="194">
        <f>SUMIF(주문_리스트!C:C,거래처!B196,주문_리스트!K:K)+SUMIF(주문_리스트!C:C,거래처!B196,주문_리스트!L:L)</f>
        <v>0</v>
      </c>
    </row>
    <row r="197" spans="1:11" x14ac:dyDescent="0.3">
      <c r="A197" s="47">
        <v>197</v>
      </c>
      <c r="B197" t="s">
        <v>4092</v>
      </c>
      <c r="C197" t="s">
        <v>4093</v>
      </c>
      <c r="E197" t="s">
        <v>4094</v>
      </c>
      <c r="F197" t="s">
        <v>963</v>
      </c>
      <c r="G197" t="s">
        <v>4095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4112</v>
      </c>
      <c r="C198" t="s">
        <v>4113</v>
      </c>
      <c r="E198" t="s">
        <v>4114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1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255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-53</v>
      </c>
      <c r="I8"/>
    </row>
    <row r="9" spans="1:11" x14ac:dyDescent="0.3">
      <c r="A9">
        <v>8</v>
      </c>
      <c r="B9">
        <v>2</v>
      </c>
      <c r="C9" s="288" t="s">
        <v>3846</v>
      </c>
      <c r="D9" s="288" t="s">
        <v>1140</v>
      </c>
      <c r="E9" s="288" t="s">
        <v>3846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3995</v>
      </c>
      <c r="D15" s="288" t="s">
        <v>1653</v>
      </c>
      <c r="E15" s="288" t="s">
        <v>3995</v>
      </c>
      <c r="F15" s="52">
        <v>1100000</v>
      </c>
      <c r="H15">
        <v>-7</v>
      </c>
      <c r="I15" s="52" t="s">
        <v>3665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-20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-86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-110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-32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-32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-19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-13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-36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-49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-28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-7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-32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-12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-13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-22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-48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-48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4039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4040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-44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-71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-110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-13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-22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1912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1910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1912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-22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-32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3847</v>
      </c>
      <c r="D139" s="288" t="s">
        <v>2684</v>
      </c>
      <c r="E139" s="288" t="s">
        <v>3847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3578</v>
      </c>
      <c r="D140" s="288" t="s">
        <v>2682</v>
      </c>
      <c r="E140" s="288" t="s">
        <v>3578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3996</v>
      </c>
      <c r="D145" s="288" t="s">
        <v>2210</v>
      </c>
      <c r="E145" s="288" t="s">
        <v>3996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3767</v>
      </c>
      <c r="D148" s="288" t="s">
        <v>2682</v>
      </c>
      <c r="E148" s="288" t="s">
        <v>3767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3579</v>
      </c>
      <c r="D152" s="288" t="s">
        <v>2517</v>
      </c>
      <c r="E152" s="288" t="s">
        <v>3579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-22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4096</v>
      </c>
      <c r="D162" s="288" t="s">
        <v>2271</v>
      </c>
      <c r="E162" s="288" t="s">
        <v>4096</v>
      </c>
      <c r="F162" s="52">
        <v>80000</v>
      </c>
      <c r="G162" s="52">
        <v>45000</v>
      </c>
      <c r="H162">
        <v>-1</v>
      </c>
      <c r="I162" s="52" t="s">
        <v>4097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-22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-19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-22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4060</v>
      </c>
      <c r="D201" s="288" t="s">
        <v>4061</v>
      </c>
      <c r="E201" s="288" t="s">
        <v>4060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-22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3569</v>
      </c>
      <c r="D216" s="288" t="s">
        <v>3570</v>
      </c>
      <c r="E216" s="288" t="s">
        <v>3569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3571</v>
      </c>
      <c r="D229" s="288" t="s">
        <v>3572</v>
      </c>
      <c r="E229" s="288" t="s">
        <v>3571</v>
      </c>
      <c r="H229" s="52">
        <v>0</v>
      </c>
    </row>
    <row r="230" spans="1:8" x14ac:dyDescent="0.3">
      <c r="A230">
        <v>229</v>
      </c>
      <c r="B230">
        <v>3</v>
      </c>
      <c r="D230" s="288" t="s">
        <v>3583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3588</v>
      </c>
      <c r="D231" s="288" t="s">
        <v>3589</v>
      </c>
      <c r="E231" s="288" t="s">
        <v>3588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3591</v>
      </c>
      <c r="D232" s="288" t="s">
        <v>3592</v>
      </c>
      <c r="E232" s="288" t="s">
        <v>3591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3593</v>
      </c>
      <c r="D233" s="288" t="s">
        <v>3583</v>
      </c>
      <c r="E233" s="288" t="s">
        <v>3593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3594</v>
      </c>
      <c r="D234" s="288" t="s">
        <v>3595</v>
      </c>
      <c r="E234" s="288" t="s">
        <v>3594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3629</v>
      </c>
      <c r="D235" s="288" t="s">
        <v>3630</v>
      </c>
      <c r="E235" s="288" t="s">
        <v>3629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3827</v>
      </c>
      <c r="D236" s="288" t="s">
        <v>3828</v>
      </c>
      <c r="E236" s="288" t="s">
        <v>3827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3839</v>
      </c>
      <c r="D237" s="288" t="s">
        <v>3839</v>
      </c>
      <c r="E237" s="288" t="s">
        <v>3840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3853</v>
      </c>
      <c r="E238" s="288" t="s">
        <v>3854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3878</v>
      </c>
      <c r="D239" s="288" t="s">
        <v>3879</v>
      </c>
      <c r="E239" s="288" t="s">
        <v>3878</v>
      </c>
    </row>
    <row r="240" spans="1:8" x14ac:dyDescent="0.3">
      <c r="A240">
        <v>243</v>
      </c>
      <c r="B240">
        <v>4</v>
      </c>
      <c r="C240" s="288" t="s">
        <v>3924</v>
      </c>
      <c r="D240" s="288" t="s">
        <v>3925</v>
      </c>
      <c r="E240" s="288" t="s">
        <v>3924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3962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3988</v>
      </c>
      <c r="D245" s="288" t="s">
        <v>3989</v>
      </c>
      <c r="E245" s="288" t="s">
        <v>3988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4012</v>
      </c>
      <c r="D246" s="288" t="s">
        <v>2918</v>
      </c>
      <c r="E246" s="288" t="s">
        <v>4012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4015</v>
      </c>
      <c r="D247" s="288" t="s">
        <v>4016</v>
      </c>
      <c r="E247" s="288" t="s">
        <v>4015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4036</v>
      </c>
      <c r="D248" s="288" t="s">
        <v>4037</v>
      </c>
      <c r="E248" s="288" t="s">
        <v>4036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4054</v>
      </c>
      <c r="D249" s="288" t="s">
        <v>4055</v>
      </c>
      <c r="E249" s="288" t="s">
        <v>4054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4059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4118</v>
      </c>
      <c r="D251" s="288" t="s">
        <v>2918</v>
      </c>
      <c r="E251" s="288" t="s">
        <v>4118</v>
      </c>
      <c r="F251" s="52">
        <v>396000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4053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2025-10-29T09:16:36Z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