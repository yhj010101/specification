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BD74FD5-E0F3-4A4F-9C67-225EDC595155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<sst xmlns="http://schemas.openxmlformats.org/spreadsheetml/2006/main" count="12969" uniqueCount="4191">
  <si>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</si>
  <si>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</si>
  <si>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</si>
  <si>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</si>
  <si>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</si>
  <si>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</si>
  <si>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</si>
  <si>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</si>
  <si>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</si>
  <si>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</si>
  <si>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</si>
  <si>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</si>
  <si>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</si>
  <si>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</si>
  <si>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</si>
  <si>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</si>
  <si>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</si>
  <si>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</si>
  <si>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</si>
  <si>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</si>
  <si>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</si>
  <si>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</si>
  <si>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</si>
  <si>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</si>
  <si>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</si>
  <si>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</si>
  <si>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</si>
  <si>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</si>
  <si>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</si>
  <si>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</si>
  <si>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</si>
  <si>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</si>
  <si>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</si>
  <si>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</si>
  <si>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</si>
  <si>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</si>
  <si>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</si>
  <si>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</si>
  <si>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</si>
  <si>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</si>
  <si>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</si>
  <si>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</si>
  <si>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</si>
  <si>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</si>
  <si>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</si>
  <si>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</si>
  <si>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</si>
  <si>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</si>
  <si>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</si>
  <si>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</si>
  <si>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</si>
  <si>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</si>
  <si>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</si>
  <si>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</si>
  <si>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</si>
  <si>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</si>
  <si>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</si>
  <si>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</si>
  <si>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</si>
  <si>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</si>
  <si>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</si>
  <si>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</si>
  <si>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</si>
  <si>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</si>
  <si>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</si>
  <si>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</si>
  <si>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</si>
  <si>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</si>
  <si>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</si>
  <si>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</si>
  <si>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</si>
  <si>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</si>
  <si>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</si>
  <si>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</si>
  <si>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</si>
  <si>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</si>
  <si>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</si>
  <si>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</si>
  <si>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</si>
  <si>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</si>
  <si>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</si>
  <si>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</si>
  <si>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</si>
  <si>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</si>
  <si>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</si>
  <si>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</si>
  <si>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</si>
  <si>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</si>
  <si>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</si>
  <si>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</si>
  <si>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</si>
  <si>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</si>
  <si>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</si>
  <si>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</si>
  <si>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</si>
  <si>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</si>
  <si>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</si>
  <si>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</si>
  <si>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</si>
  <si>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</si>
  <si>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</si>
  <si>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</si>
  <si>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</si>
  <si>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</si>
  <si>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</si>
  <si>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</si>
  <si>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</si>
  <si>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</si>
  <si>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</si>
  <si>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</si>
  <si>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</si>
  <si>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</si>
  <si>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</si>
  <si>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</si>
  <si>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</si>
  <si>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</si>
  <si>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</si>
  <si>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</si>
  <si>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</si>
  <si>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</si>
  <si>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</si>
  <si>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</si>
  <si>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</si>
  <si>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</si>
  <si>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</si>
  <si>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</si>
  <si>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</si>
  <si>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</si>
  <si>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</si>
  <si>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</si>
  <si>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</si>
  <si>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</si>
  <si>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</si>
  <si>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</si>
  <si>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</si>
  <si>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</si>
  <si>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</si>
  <si>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</si>
  <si>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</si>
  <si>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</si>
  <si>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</si>
  <si>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</si>
  <si>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</si>
  <si>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</si>
  <si>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</si>
  <si>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</si>
  <si>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</si>
  <si>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</si>
  <si>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</si>
  <si>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</si>
  <si>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</si>
  <si>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</si>
  <si>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</si>
  <si>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</si>
  <si>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</si>
  <si>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</si>
  <si>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</si>
  <si>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</si>
  <si>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</si>
  <si>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</si>
  <si>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</si>
  <si>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</si>
  <si>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</si>
  <si>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</si>
  <si>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</si>
  <si>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</si>
  <si>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</si>
  <si>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</si>
  <si>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</si>
  <si>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</si>
  <si>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</si>
  <si>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</si>
  <si>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</si>
  <si>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</si>
  <si>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</si>
  <si>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</si>
  <si>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</si>
  <si>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</si>
  <si>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</si>
  <si>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</si>
  <si>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</si>
  <si>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</si>
  <si>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</si>
  <si>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</si>
  <si>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</si>
  <si>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</si>
  <si>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</si>
  <si>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</si>
  <si>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</si>
  <si>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</si>
  <si>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</si>
  <si>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</si>
  <si>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</si>
  <si>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</si>
  <si>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</si>
  <si>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</si>
  <si>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</si>
  <si>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</si>
  <si>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</si>
  <si>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</si>
  <si>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</si>
  <si>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</si>
  <si>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</si>
  <si>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</si>
  <si>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</si>
  <si>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</si>
  <si>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</si>
  <si>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</si>
  <si>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</si>
  <si>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</si>
  <si>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</si>
  <si>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</si>
  <si>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</si>
  <si>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</si>
  <si>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</si>
  <si>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</si>
  <si>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</si>
  <si>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</si>
  <si>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</si>
  <si>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</si>
  <si>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</si>
  <si>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</si>
  <si>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</si>
  <si>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</si>
  <si>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</si>
  <si>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</si>
  <si>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</si>
  <si>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</si>
  <si>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</si>
  <si>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</si>
  <si>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</si>
  <si>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</si>
  <si>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</si>
  <si>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</si>
  <si>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</si>
  <si>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</si>
  <si>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</si>
  <si>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</si>
  <si>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</si>
  <si>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</si>
  <si>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</si>
  <si>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</si>
  <si>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</si>
  <si>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</si>
  <si>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</si>
  <si>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</si>
  <si>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</si>
  <si>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</si>
  <si>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</si>
  <si>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</si>
  <si>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</si>
  <si>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</si>
  <si>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</si>
  <si>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</si>
  <si>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</si>
  <si>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</si>
  <si>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</si>
  <si>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</si>
  <si>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</si>
  <si>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</si>
  <si>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</si>
  <si>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</si>
  <si>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</si>
  <si>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</si>
  <si>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</si>
  <si>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</si>
  <si>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</si>
  <si>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</si>
  <si>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</si>
  <si>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</si>
  <si>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</si>
  <si>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</si>
  <si>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</si>
  <si>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</si>
  <si>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</si>
  <si>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</si>
  <si>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</si>
  <si>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</si>
  <si>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</si>
  <si>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</si>
  <si>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</si>
  <si>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</si>
  <si>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</si>
  <si>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</si>
  <si>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</si>
  <si>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</si>
  <si>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</si>
  <si>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</si>
  <si>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</si>
  <si>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</si>
  <si>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</si>
  <si>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</si>
  <si>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</si>
  <si>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</si>
  <si>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</si>
  <si>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</si>
  <si>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</si>
  <si>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</si>
  <si>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</si>
  <si>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</si>
  <si>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</si>
  <si>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</si>
  <si>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</si>
  <si>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</si>
  <si>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</si>
  <si>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</si>
  <si>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</si>
  <si>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</si>
  <si>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</si>
  <si>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</si>
  <si>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</si>
  <si>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</si>
  <si>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</si>
  <si>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</si>
  <si>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</si>
  <si>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</si>
  <si>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</si>
  <si>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</si>
  <si>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</si>
  <si>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</si>
  <si>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</si>
  <si>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</si>
  <si>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</si>
  <si>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</si>
  <si>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</si>
  <si>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</si>
  <si>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</si>
  <si>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</si>
  <si>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</si>
  <si>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</si>
  <si>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</si>
  <si>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</si>
  <si>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</si>
  <si>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</si>
  <si>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</si>
  <si>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</si>
  <si>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</si>
  <si>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</si>
  <si>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</si>
  <si>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</si>
  <si>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</si>
  <si>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</si>
  <si>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</si>
  <si>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</si>
  <si>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</si>
  <si>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</si>
  <si>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</si>
  <si>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</si>
  <si>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</si>
  <si>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</si>
  <si>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</si>
  <si>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</si>
  <si>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</si>
  <si>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</si>
  <si>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</si>
  <si>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</si>
  <si>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</si>
  <si>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</si>
  <si>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</si>
  <si>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</si>
  <si>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</si>
  <si>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</si>
  <si>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</si>
  <si>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</si>
  <si>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</si>
  <si>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</si>
  <si>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</si>
  <si>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</si>
  <si>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</si>
  <si>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</si>
  <si>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</si>
  <si>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</si>
  <si>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</si>
  <si>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</si>
  <si>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</si>
  <si>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</si>
  <si>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</si>
  <si>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</si>
  <si>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</si>
  <si>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</si>
  <si>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</si>
  <si>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</si>
  <si>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</si>
  <si>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</si>
  <si>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</si>
  <si>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</si>
  <si>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</si>
  <si>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</si>
  <si>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</si>
  <si>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</si>
  <si>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</si>
  <si>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</si>
  <si>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</si>
  <si>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</si>
  <si>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</si>
  <si>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</si>
  <si>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</si>
  <si>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</si>
  <si>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</si>
  <si>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</si>
  <si>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</si>
  <si>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</si>
  <si>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</si>
  <si>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</si>
  <si>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</si>
  <si>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</si>
  <si>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</si>
  <si>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</si>
  <si>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</si>
  <si>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</si>
  <si>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</si>
  <si>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</si>
  <si>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</si>
  <si>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</si>
  <si>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</si>
  <si>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</si>
  <si>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</si>
  <si>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</si>
  <si>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</si>
  <si>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</si>
  <si>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</si>
  <si>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</si>
  <si>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</si>
  <si>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</si>
  <si>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</si>
  <si>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</si>
  <si>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</si>
  <si>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</si>
  <si>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</si>
  <si>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</si>
  <si>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</si>
  <si>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</si>
  <si>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</si>
  <si>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</si>
  <si>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</si>
  <si>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</si>
  <si>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</si>
  <si>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</si>
  <si>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</si>
  <si>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</si>
  <si>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</si>
  <si>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</si>
  <si>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</si>
  <si>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</si>
  <si>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</si>
  <si>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</si>
  <si>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</si>
  <si>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</si>
  <si>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</si>
  <si>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</si>
  <si>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</si>
  <si>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</si>
  <si>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</si>
  <si>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</si>
  <si>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</si>
  <si>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</si>
  <si>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</si>
  <si>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</si>
  <si>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</si>
  <si>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</si>
  <si>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</si>
  <si>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</si>
  <si>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</si>
  <si>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</si>
  <si>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</si>
  <si>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</si>
  <si>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</si>
  <si>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</si>
  <si>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</si>
  <si>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</si>
  <si>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</si>
  <si>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</si>
  <si>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</si>
  <si>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</si>
  <si>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</si>
  <si>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</si>
  <si>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</si>
  <si>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</si>
  <si>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</si>
  <si>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</si>
  <si>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</si>
  <si>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</si>
  <si>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</si>
  <si>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</si>
  <si>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</si>
  <si>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</si>
  <si>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</si>
  <si>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</si>
  <si>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</si>
  <si>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</si>
  <si>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</si>
  <si>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</si>
  <si>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</si>
  <si>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</si>
  <si>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</si>
  <si>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</si>
  <si>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</si>
  <si>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</si>
  <si>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</si>
  <si>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</si>
  <si>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</si>
  <si>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</si>
  <si>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</si>
  <si>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</si>
  <si>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</si>
  <si>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</si>
  <si>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</si>
  <si>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</si>
  <si>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</si>
  <si>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</si>
  <si>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</si>
  <si>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</si>
  <si>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</si>
  <si>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</si>
  <si>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</si>
  <si>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</si>
  <si>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</si>
  <si>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</si>
  <si>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</si>
  <si>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</si>
  <si>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</si>
  <si>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</si>
  <si>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</si>
  <si>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</si>
  <si>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</si>
  <si>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</si>
  <si>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</si>
  <si>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</si>
  <si>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</si>
  <si>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</si>
  <si>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</si>
  <si>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</si>
  <si>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</si>
  <si>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</si>
  <si>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</si>
  <si>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</si>
  <si>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</si>
  <si>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</si>
  <si>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</si>
  <si>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</si>
  <si>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</si>
  <si>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</si>
  <si>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</si>
  <si>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</si>
  <si>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</si>
  <si>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</si>
  <si>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</si>
  <si>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</si>
  <si>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</si>
  <si>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</si>
  <si>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</si>
  <si>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</si>
  <si>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</si>
  <si>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</si>
  <si>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</si>
  <si>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</si>
  <si>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</si>
  <si>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</si>
  <si>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</si>
  <si>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</si>
  <si>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</si>
  <si>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</si>
  <si>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</si>
  <si>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</si>
  <si>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</si>
  <si>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</si>
  <si>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</si>
  <si>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</si>
  <si>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</si>
  <si>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</si>
  <si>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</si>
  <si>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</si>
  <si>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</si>
  <si>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</si>
  <si>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</si>
  <si>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</si>
  <si>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</si>
  <si>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</si>
  <si>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</si>
  <si>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</si>
  <si>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</si>
  <si>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</si>
  <si>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</si>
  <si>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</si>
  <si>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</si>
  <si>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</si>
  <si>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</si>
  <si>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</si>
  <si>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</si>
  <si>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</si>
  <si>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</si>
  <si>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</si>
  <si>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</si>
  <si>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</si>
  <si>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</si>
  <si>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</si>
  <si>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</si>
  <si>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</si>
  <si>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</si>
  <si>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</si>
  <si>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</si>
  <si>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</si>
  <si>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</si>
  <si>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</si>
  <si>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</si>
  <si>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</si>
  <si>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</si>
  <si>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</si>
  <si>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</si>
  <si>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</si>
  <si>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</si>
  <si>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</si>
  <si>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</si>
  <si>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</si>
  <si>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</si>
  <si>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</si>
  <si>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</si>
  <si>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</si>
  <si>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</si>
  <si>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</si>
  <si>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</si>
  <si>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</si>
  <si>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</si>
  <si>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</si>
  <si>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</si>
  <si>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</si>
  <si>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</si>
  <si>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</si>
  <si>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</si>
  <si>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</si>
  <si>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</si>
  <si>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</si>
  <si>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</si>
  <si>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</si>
  <si>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</si>
  <si>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</si>
  <si>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</si>
  <si>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</si>
  <si>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</si>
  <si>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</si>
  <si>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</si>
  <si>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</si>
  <si>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</si>
  <si>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</si>
  <si>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</si>
  <si>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</si>
  <si>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</si>
  <si>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</si>
  <si>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</si>
  <si>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</si>
  <si>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</si>
  <si>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</si>
  <si>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</si>
  <si>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</si>
  <si>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</si>
  <si>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</si>
  <si>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</si>
  <si>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</si>
  <si>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</si>
  <si>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</si>
  <si>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</si>
  <si>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</si>
  <si>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</si>
  <si>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</si>
  <si>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</si>
  <si>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</si>
  <si>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</si>
  <si>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</si>
  <si>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</si>
  <si>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</si>
  <si>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</si>
  <si>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</si>
  <si>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</si>
  <si>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</si>
  <si>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</si>
  <si>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</si>
  <si>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</si>
  <si>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</si>
  <si>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</si>
  <si>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</si>
  <si>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</si>
  <si>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</si>
  <si>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</si>
  <si>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</si>
  <si>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</si>
  <si>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</si>
  <si>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</si>
  <si>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</si>
  <si>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</si>
  <si>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</si>
  <si>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</si>
  <si>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</si>
  <si>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</si>
  <si>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</si>
  <si>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</si>
  <si>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</si>
  <si>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</si>
  <si>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</si>
  <si>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</si>
  <si>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</si>
  <si>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</si>
  <si>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</si>
  <si>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</si>
  <si>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</si>
  <si>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</si>
  <si>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</si>
  <si>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</si>
  <si>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</si>
  <si>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</si>
  <si>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</si>
  <si>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</si>
  <si>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</si>
  <si>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</si>
  <si>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</si>
  <si>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</si>
  <si>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</si>
  <si>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</si>
  <si>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</si>
  <si>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</si>
  <si>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</si>
  <si>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</si>
  <si>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</si>
  <si>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</si>
  <si>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</si>
  <si>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</si>
  <si>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</si>
  <si>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</si>
  <si>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</si>
  <si>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</si>
  <si>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</si>
  <si>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</si>
  <si>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</si>
  <si>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</si>
  <si>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</si>
  <si>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</si>
  <si>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</si>
  <si>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</si>
  <si>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</si>
  <si>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</si>
  <si>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</si>
  <si>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</si>
  <si>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</si>
  <si>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</si>
  <si>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</si>
  <si>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</si>
  <si>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</si>
  <si>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</si>
  <si>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</si>
  <si>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</si>
  <si>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</si>
  <si>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</si>
  <si>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</si>
  <si>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</si>
  <si>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</si>
  <si>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</si>
  <si>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</si>
  <si>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</si>
  <si>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</si>
  <si>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</si>
  <si>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</si>
  <si>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</si>
  <si>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</si>
  <si>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</si>
  <si>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</si>
  <si>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</si>
  <si>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</si>
  <si>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</si>
  <si>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</si>
  <si>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</si>
  <si>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</si>
  <si>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</si>
  <si>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</si>
  <si>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</si>
  <si>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</si>
  <si>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</si>
  <si>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</si>
  <si>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</si>
  <si>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</si>
  <si>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</si>
  <si>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</si>
  <si>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</si>
  <si>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</si>
  <si>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</si>
  <si>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</si>
  <si>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</si>
  <si>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</si>
  <si>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</si>
  <si>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</si>
  <si>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</si>
  <si>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</si>
  <si>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</si>
  <si>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</si>
  <si>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</si>
  <si>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</si>
  <si>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</si>
  <si>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</si>
  <si>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</si>
  <si>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</si>
  <si>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</si>
  <si>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</si>
  <si>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</si>
  <si>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</si>
  <si>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</si>
  <si>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</si>
  <si>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</si>
  <si>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</si>
  <si>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</si>
  <si>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</si>
  <si>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</si>
  <si>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</si>
  <si>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</si>
  <si>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</si>
  <si>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</si>
  <si>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</si>
  <si>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</si>
  <si>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</si>
  <si>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</si>
  <si>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</si>
  <si>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</si>
  <si>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</si>
  <si>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</si>
  <si>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</si>
  <si>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</si>
  <si>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</si>
  <si>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</si>
  <si>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</si>
  <si>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</si>
  <si>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</si>
  <si>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</si>
  <si>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</si>
  <si>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</si>
  <si>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</si>
  <si>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</si>
  <si>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</si>
  <si>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</si>
  <si>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</si>
  <si>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</si>
  <si>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</si>
  <si>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</si>
  <si>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</si>
  <si>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</si>
  <si>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</si>
  <si>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</si>
  <si>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</si>
  <si>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</si>
  <si>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</si>
  <si>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</si>
  <si>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</si>
  <si>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</si>
  <si>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</si>
  <si>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</si>
  <si>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</si>
  <si>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</si>
  <si>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</si>
  <si>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</si>
  <si>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</si>
  <si>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</si>
  <si>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</si>
  <si>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</si>
  <si>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</si>
  <si>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</si>
  <si>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</si>
  <si>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</si>
  <si>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</si>
  <si>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</si>
  <si>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</si>
  <si>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</si>
  <si>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</si>
  <si>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</si>
  <si>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</si>
  <si>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</si>
  <si>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</si>
  <si>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</si>
  <si>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</si>
  <si>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</si>
  <si>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</si>
  <si>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</si>
  <si>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</si>
  <si>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</si>
  <si>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</si>
  <si>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</si>
  <si>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</si>
  <si>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</si>
  <si>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</si>
  <si>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</si>
  <si>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</si>
  <si>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</si>
  <si>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</si>
  <si>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</si>
  <si>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</si>
  <si>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</si>
  <si>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</si>
  <si>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</si>
  <si>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</si>
  <si>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</si>
  <si>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</si>
  <si>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</si>
  <si>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</si>
  <si>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</si>
  <si>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</si>
  <si>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</si>
  <si>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</si>
  <si>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</si>
  <si>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</si>
  <si>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</si>
  <si>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</si>
  <si>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</si>
  <si>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</si>
  <si>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</si>
  <si>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</si>
  <si>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</si>
  <si>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</si>
  <si>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</si>
  <si>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</si>
  <si>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</si>
  <si>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</si>
  <si>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</si>
  <si>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</si>
  <si>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</si>
  <si>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</si>
  <si>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</si>
  <si>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</si>
  <si>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</si>
  <si>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</si>
  <si>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</si>
  <si>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</si>
  <si>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</si>
  <si>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</si>
  <si>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</si>
  <si>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</si>
  <si>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</si>
  <si>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</si>
  <si>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</si>
  <si>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</si>
  <si>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</si>
  <si>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</si>
  <si>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</si>
  <si>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</si>
  <si>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</si>
  <si>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</si>
  <si>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</si>
  <si>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</si>
  <si>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</si>
  <si>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</si>
  <si>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</si>
  <si>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</si>
  <si>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</si>
  <si>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</si>
  <si>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</si>
  <si>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</si>
  <si>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</si>
  <si>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</si>
  <si>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</si>
  <si>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</si>
  <si>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</si>
  <si>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</si>
  <si>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</si>
  <si>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</si>
  <si>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</si>
  <si>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</si>
  <si>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</si>
  <si>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</si>
  <si>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</si>
  <si>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</si>
  <si>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</si>
  <si>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</si>
  <si>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</si>
  <si>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</si>
  <si>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</si>
  <si>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</si>
  <si>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</si>
  <si>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</si>
  <si>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</si>
  <si>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</si>
  <si>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</si>
  <si>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</si>
  <si>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</si>
  <si>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</si>
  <si>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</si>
  <si>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</si>
  <si>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</si>
  <si>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</si>
  <si>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</si>
  <si>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</si>
  <si>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</si>
  <si>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</si>
  <si>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</si>
  <si>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</si>
  <si>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</si>
  <si>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</si>
  <si>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</si>
  <si>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</si>
  <si>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</si>
  <si>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</si>
  <si>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</si>
  <si>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</si>
  <si>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</si>
  <si>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</si>
  <si>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</si>
  <si>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</si>
  <si>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</si>
  <si>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</si>
  <si>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</si>
  <si>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</si>
  <si>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</si>
  <si>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</si>
  <si>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</si>
  <si>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</si>
  <si>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</si>
  <si>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</si>
  <si>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</si>
  <si>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</si>
  <si>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</si>
  <si>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</si>
  <si>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</si>
  <si>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</si>
  <si>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</si>
  <si>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</si>
  <si>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</si>
  <si>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</si>
  <si>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</si>
  <si>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</si>
  <si>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</si>
  <si>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</si>
  <si>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</si>
  <si>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</si>
  <si>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</si>
  <si>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</si>
  <si>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</si>
  <si>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</si>
  <si>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</si>
  <si>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</si>
  <si>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</si>
  <si>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</si>
  <si>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</si>
  <si>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</si>
  <si>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</si>
  <si>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</si>
  <si>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</si>
  <si>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</si>
  <si>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</si>
  <si>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</si>
  <si>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</si>
  <si>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</si>
  <si>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</si>
  <si>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</si>
  <si>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</si>
  <si>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</si>
  <si>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</si>
  <si>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</si>
  <si>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</si>
  <si>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</si>
  <si>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</si>
  <si>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</si>
  <si>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</si>
  <si>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</si>
  <si>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</si>
  <si>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</si>
  <si>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</si>
  <si>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</si>
  <si>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</si>
  <si>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</si>
  <si>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</si>
  <si>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</si>
  <si>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</si>
  <si>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</si>
  <si>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</si>
  <si>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</si>
  <si>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</si>
  <si>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</si>
  <si>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</si>
  <si>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</si>
  <si>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</si>
  <si>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</si>
  <si>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</si>
  <si>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</si>
  <si>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</si>
  <si>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</si>
  <si>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</si>
  <si>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</si>
  <si>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</si>
  <si>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</si>
  <si>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</si>
  <si>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</si>
  <si>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</si>
  <si>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</si>
  <si>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</si>
  <si>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</si>
  <si>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</si>
  <si>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</si>
  <si>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</si>
  <si>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</si>
  <si>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</si>
  <si>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</si>
  <si>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</si>
  <si>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</si>
  <si>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</si>
  <si>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</si>
  <si>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</si>
  <si>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</si>
  <si>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</si>
  <si>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</si>
  <si>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</si>
  <si>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</si>
  <si>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</si>
  <si>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</si>
  <si>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</si>
  <si>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</si>
  <si>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</si>
  <si>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</si>
  <si>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</si>
  <si>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</si>
  <si>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</si>
  <si>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</si>
  <si>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</si>
  <si>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</si>
  <si>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</si>
  <si>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</si>
  <si>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</si>
  <si>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</si>
  <si>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</si>
  <si>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</si>
  <si>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</si>
  <si>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</si>
  <si>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</si>
  <si>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</si>
  <si>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</si>
  <si>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</si>
  <si>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</si>
  <si>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</si>
  <si>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</si>
  <si>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</si>
  <si>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</si>
  <si>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</si>
  <si>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</si>
  <si>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</si>
  <si>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</si>
  <si>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</si>
  <si>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</si>
  <si>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</si>
  <si>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</si>
  <si>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</si>
  <si>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</si>
  <si>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</si>
  <si>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</si>
  <si>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</si>
  <si>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</si>
  <si>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</si>
  <si>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</si>
  <si>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</si>
  <si>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</si>
  <si>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</si>
  <si>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</si>
  <si>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</si>
  <si>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</si>
  <si>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</si>
  <si>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</si>
  <si>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</si>
  <si>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</si>
  <si>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</si>
  <si>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</si>
  <si>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</si>
  <si>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</si>
  <si>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</si>
  <si>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</si>
  <si>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</si>
  <si>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</si>
  <si>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</si>
  <si>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</si>
  <si>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</si>
  <si>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</si>
  <si>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</si>
  <si>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</si>
  <si>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</si>
  <si>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</si>
  <si>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</si>
  <si>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</si>
  <si>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</si>
  <si>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</si>
  <si>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</si>
  <si>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</si>
  <si>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</si>
  <si>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</si>
  <si>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</si>
  <si>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</si>
  <si>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</si>
  <si>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</si>
  <si>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</si>
  <si>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</si>
  <si>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</si>
  <si>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</si>
  <si>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</si>
  <si>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</si>
  <si>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</si>
  <si>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</si>
  <si>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</si>
  <si>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</si>
  <si>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</si>
  <si>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</si>
  <si>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</si>
  <si>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</si>
  <si>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</si>
  <si>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</si>
  <si>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</si>
  <si>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</si>
  <si>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</si>
  <si>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</si>
  <si>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</si>
  <si>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</si>
  <si>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</si>
  <si>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</si>
  <si>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</si>
  <si>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</si>
  <si>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</si>
  <si>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</si>
  <si>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</si>
  <si>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</si>
  <si>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</si>
  <si>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</si>
  <si>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</si>
  <si>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</si>
  <si>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</si>
  <si>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</si>
  <si>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</si>
  <si>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</si>
  <si>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</si>
  <si>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</si>
  <si>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</si>
  <si>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</si>
  <si>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</si>
  <si>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</si>
  <si>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</si>
  <si>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</si>
  <si>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</si>
  <si>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</si>
  <si>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</si>
  <si>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</si>
  <si>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</si>
  <si>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</si>
  <si>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</si>
  <si>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</si>
  <si>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</si>
  <si>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</si>
  <si>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</si>
  <si>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</si>
  <si>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</si>
  <si>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</si>
  <si>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</si>
  <si>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</si>
  <si>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</si>
  <si>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</si>
  <si>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</si>
  <si>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</si>
  <si>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</si>
  <si>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</si>
  <si>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</si>
  <si>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</si>
  <si>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</si>
  <si>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</si>
  <si>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</si>
  <si>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</si>
  <si>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</si>
  <si>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</si>
  <si>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</si>
  <si>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</si>
  <si>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</si>
  <si>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</si>
  <si>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</si>
  <si>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</si>
  <si>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</si>
  <si>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</si>
  <si>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</si>
  <si>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</si>
  <si>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</si>
  <si>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</si>
  <si>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</si>
  <si>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</si>
  <si>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</si>
  <si>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</si>
  <si>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</si>
  <si>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</si>
  <si>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</si>
  <si>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</si>
  <si>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</si>
  <si>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</si>
  <si>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</si>
  <si>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</si>
  <si>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</si>
  <si>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</si>
  <si>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</si>
  <si>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</si>
  <si>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</si>
  <si>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</si>
  <si>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</si>
  <si>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</si>
  <si>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</si>
  <si>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</si>
  <si>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</si>
  <si>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</si>
  <si>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</si>
  <si>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</si>
  <si>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</si>
  <si>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</si>
  <si>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</si>
  <si>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</si>
  <si>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</si>
  <si>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</si>
  <si>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</si>
  <si>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</si>
  <si>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</si>
  <si>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</si>
  <si>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</si>
  <si>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</si>
  <si>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</si>
  <si>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</si>
  <si>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</si>
  <si>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</si>
  <si>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</si>
  <si>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</si>
  <si>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</si>
  <si>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</si>
  <si>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</si>
  <si>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</si>
  <si>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</si>
  <si>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</si>
  <si>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</si>
  <si>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</si>
  <si>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</si>
  <si>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</si>
  <si>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</si>
  <si>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</si>
  <si>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</si>
  <si>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</si>
  <si>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</si>
  <si>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</si>
  <si>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</si>
  <si>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</si>
  <si>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</si>
  <si>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</si>
  <si>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</si>
  <si>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</si>
  <si>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</si>
  <si>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</si>
  <si>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</si>
  <si>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</si>
  <si>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</si>
  <si>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</si>
  <si>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</si>
  <si>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</si>
  <si>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</si>
  <si>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</si>
  <si>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</si>
  <si>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</si>
  <si>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</si>
  <si>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</si>
  <si>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</si>
  <si>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</si>
  <si>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</si>
  <si>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</si>
  <si>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</si>
  <si>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</si>
  <si>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</si>
  <si>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</si>
  <si>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</si>
  <si>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</si>
  <si>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</si>
  <si>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</si>
  <si>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</si>
  <si>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</si>
  <si>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</si>
  <si>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</si>
  <si>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</si>
  <si>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</si>
  <si>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</si>
  <si>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</si>
  <si>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</si>
  <si>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</si>
  <si>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</si>
  <si>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</si>
  <si>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</si>
  <si>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</si>
  <si>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</si>
  <si>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</si>
  <si>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</si>
  <si>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</si>
  <si>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</si>
  <si>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</si>
  <si>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</si>
  <si>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</si>
  <si>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</si>
  <si>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</si>
  <si>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</si>
  <si>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</si>
  <si>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</si>
  <si>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</si>
  <si>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</si>
  <si>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</si>
  <si>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</si>
  <si>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</si>
  <si>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</si>
  <si>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</si>
  <si>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</si>
  <si>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</si>
  <si>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</si>
  <si>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</si>
  <si>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</si>
  <si>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</si>
  <si>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</si>
  <si>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</si>
  <si>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</si>
  <si>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</si>
  <si>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</si>
  <si>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</si>
  <si>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</si>
  <si>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</si>
  <si>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</si>
  <si>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</si>
  <si>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</si>
  <si>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</si>
  <si>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</si>
  <si>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</si>
  <si>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</si>
  <si>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</si>
  <si>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</si>
  <si>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</si>
  <si>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</si>
  <si>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</si>
  <si>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</si>
  <si>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</si>
  <si>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</si>
  <si>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</si>
  <si>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</si>
  <si>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</si>
  <si>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</si>
  <si>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</si>
  <si>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</si>
  <si>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</si>
  <si>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</si>
  <si>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</si>
  <si>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</si>
  <si>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</si>
  <si>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</si>
  <si>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</si>
  <si>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</si>
  <si>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</si>
  <si>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</si>
  <si>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</si>
  <si>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</si>
  <si>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</si>
  <si>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</si>
  <si>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</si>
  <si>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</si>
  <si>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</si>
  <si>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</si>
  <si>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</si>
  <si>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</si>
  <si>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</si>
  <si>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</si>
  <si>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</si>
  <si>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</si>
  <si>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</si>
  <si>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</si>
  <si>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</si>
  <si>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</si>
  <si>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</si>
  <si>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</si>
  <si>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</si>
  <si>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</si>
  <si>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</si>
  <si>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</si>
  <si>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</si>
  <si>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</si>
  <si>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</si>
  <si>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</si>
  <si>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</si>
  <si>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</si>
  <si>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</si>
  <si>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</si>
  <si>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</si>
  <si>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</si>
  <si>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</si>
  <si>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</si>
  <si>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</si>
  <si>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</si>
  <si>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</si>
  <si>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</si>
  <si>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</si>
  <si>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</si>
  <si>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</si>
  <si>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</si>
  <si>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</si>
  <si>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</si>
  <si>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</si>
  <si>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</si>
  <si>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</si>
  <si>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</si>
  <si>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</si>
  <si>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</si>
  <si>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</si>
  <si>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</si>
  <si>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</si>
  <si>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</si>
  <si>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</si>
  <si>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</si>
  <si>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</si>
  <si>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</si>
  <si>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</si>
  <si>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</si>
  <si>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</si>
  <si>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</si>
  <si>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</si>
  <si>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</si>
  <si>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</si>
  <si>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</si>
  <si>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</si>
  <si>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</si>
  <si>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</si>
  <si>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</si>
  <si>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</si>
  <si>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</si>
  <si>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</si>
  <si>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</si>
  <si>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</si>
  <si>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</si>
  <si>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</si>
  <si>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</si>
  <si>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</si>
  <si>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</si>
  <si>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</si>
  <si>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</si>
  <si>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</si>
  <si>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</si>
  <si>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</si>
  <si>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</si>
  <si>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</si>
  <si>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</si>
  <si>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</si>
  <si>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</si>
  <si>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</si>
  <si>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</si>
  <si>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</si>
  <si>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</si>
  <si>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</si>
  <si>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</si>
  <si>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</si>
  <si>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</si>
  <si>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</si>
  <si>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</si>
  <si>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</si>
  <si>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</si>
  <si>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</si>
  <si>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</si>
  <si>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</si>
  <si>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</si>
  <si>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</si>
  <si>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</si>
  <si>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</si>
  <si>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</si>
  <si>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</si>
  <si>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</si>
  <si>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</si>
  <si>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</si>
  <si>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</si>
  <si>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</si>
  <si>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</si>
  <si>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</si>
  <si>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</si>
  <si>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</si>
  <si>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</si>
  <si>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</si>
  <si>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</si>
  <si>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</si>
  <si>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</si>
  <si>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</si>
  <si>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</si>
  <si>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</si>
  <si>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</si>
  <si>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</si>
  <si>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</si>
  <si>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</si>
  <si>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</si>
  <si>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</si>
  <si>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</si>
  <si>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</si>
  <si>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</si>
  <si>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</si>
  <si>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</si>
  <si>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</si>
  <si>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</si>
  <si>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</si>
  <si>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</si>
  <si>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</si>
  <si>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</si>
  <si>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</si>
  <si>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</si>
  <si>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</si>
  <si>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</si>
  <si>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</si>
  <si>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</si>
  <si>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</si>
  <si>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</si>
  <si>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</si>
  <si>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</si>
  <si>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</si>
  <si>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</si>
  <si>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</si>
  <si>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</si>
  <si>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</si>
  <si>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</si>
  <si>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</si>
  <si>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</si>
  <si>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</si>
  <si>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</si>
  <si>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</si>
  <si>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</si>
  <si>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</si>
  <si>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</si>
  <si>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</si>
  <si>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</si>
  <si>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</si>
  <si>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</si>
  <si>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</si>
  <si>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</si>
  <si>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</si>
  <si>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</si>
  <si>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</si>
  <si>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</si>
  <si>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</si>
  <si>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</si>
  <si>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</si>
  <si>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</si>
  <si>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</si>
  <si>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</si>
  <si>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</si>
  <si>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</si>
  <si>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</si>
  <si>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</si>
  <si>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</si>
  <si>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</si>
  <si>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</si>
  <si>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</si>
  <si>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</si>
  <si>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</si>
  <si>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</si>
  <si>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</si>
  <si>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</si>
  <si>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</si>
  <si>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</si>
  <si>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</si>
  <si>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</si>
  <si>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</si>
  <si>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</si>
  <si>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</si>
  <si>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</si>
  <si>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</si>
  <si>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</si>
  <si>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</si>
  <si>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</si>
  <si>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</si>
  <si>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</si>
  <si>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</si>
  <si>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</si>
  <si>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</si>
  <si>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</si>
  <si>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</si>
  <si>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</si>
  <si>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</si>
  <si>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</si>
  <si>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</si>
  <si>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</si>
  <si>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</si>
  <si>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</si>
  <si>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</si>
  <si>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</si>
  <si>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</si>
  <si>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</si>
  <si>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</si>
  <si>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</si>
  <si>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</si>
  <si>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</si>
  <si>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</si>
  <si>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</si>
  <si>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</si>
  <si>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</si>
  <si>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</si>
  <si>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</si>
  <si>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</si>
  <si>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</si>
  <si>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</si>
  <si>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</si>
  <si>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</si>
  <si>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</si>
  <si>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</si>
  <si>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</si>
  <si>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</si>
  <si>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</si>
  <si>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</si>
  <si>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</si>
  <si>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</si>
  <si>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</si>
  <si>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</si>
  <si>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</si>
  <si>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</si>
  <si>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</si>
  <si>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</si>
  <si>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</si>
  <si>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</si>
  <si>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</si>
  <si>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</si>
  <si>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</si>
  <si>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</si>
  <si>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</si>
  <si>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</si>
  <si>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</si>
  <si>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</si>
  <si>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</si>
  <si>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</si>
  <si>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</si>
  <si>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</si>
  <si>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</si>
  <si>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</si>
  <si>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</si>
  <si>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</si>
  <si>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</si>
  <si>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</si>
  <si>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</si>
  <si>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</si>
  <si>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</si>
  <si>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</si>
  <si>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</si>
  <si>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</si>
  <si>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</si>
  <si>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</si>
  <si>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</si>
  <si>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</si>
  <si>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</si>
  <si>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</si>
  <si>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</si>
  <si>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</si>
  <si>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</si>
  <si>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</si>
  <si>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</si>
  <si>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</si>
  <si>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</si>
  <si>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</si>
  <si>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</si>
  <si>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</si>
  <si>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</si>
  <si>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</si>
  <si>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</si>
  <si>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</si>
  <si>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</si>
  <si>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</si>
  <si>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</si>
  <si>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</si>
  <si>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</si>
  <si>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</si>
  <si>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</si>
  <si>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</si>
  <si>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</si>
  <si>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</si>
  <si>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</si>
  <si>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</si>
  <si>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</si>
  <si>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</si>
  <si>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</si>
  <si>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</si>
  <si>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</si>
  <si>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</si>
  <si>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</si>
  <si>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</si>
  <si>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</si>
  <si>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</si>
  <si>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</si>
  <si>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</si>
  <si>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</si>
  <si>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</si>
  <si>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</si>
  <si>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</si>
  <si>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</si>
  <si>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</si>
  <si>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</si>
  <si>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</si>
  <si>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</si>
  <si>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</si>
  <si>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</si>
  <si>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</si>
  <si>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</si>
  <si>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</si>
  <si>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</si>
  <si>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</si>
  <si>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</si>
  <si>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</si>
  <si>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</si>
  <si>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</si>
  <si>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</si>
  <si>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</si>
  <si>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</si>
  <si>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</si>
  <si>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</si>
  <si>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</si>
  <si>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</si>
  <si>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</si>
  <si>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</si>
  <si>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</si>
  <si>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</si>
  <si>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</si>
  <si>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</si>
  <si>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</si>
  <si>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</si>
  <si>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</si>
  <si>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</si>
  <si>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</si>
  <si>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</si>
  <si>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</si>
  <si>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</si>
  <si>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</si>
  <si>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</si>
  <si>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</si>
  <si>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</si>
  <si>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</si>
  <si>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</si>
  <si>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</si>
  <si>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</si>
  <si>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</si>
  <si>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</si>
  <si>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</si>
  <si>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</si>
  <si>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</si>
  <si>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</si>
  <si>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</si>
  <si>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</si>
  <si>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</si>
  <si>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</si>
  <si>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</si>
  <si>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</si>
  <si>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</si>
  <si>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</si>
  <si>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</si>
  <si>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</si>
  <si>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</si>
  <si>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</si>
  <si>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</si>
  <si>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</si>
  <si>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</si>
  <si>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</si>
  <si>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</si>
  <si>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</si>
  <si>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</si>
  <si>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</si>
  <si>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</si>
  <si>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</si>
  <si>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</si>
  <si>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</si>
  <si>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</si>
  <si>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</si>
  <si>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</si>
  <si>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</si>
  <si>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</si>
  <si>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</si>
  <si>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</si>
  <si>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</si>
  <si>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</si>
  <si>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</si>
  <si>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</si>
  <si>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</si>
  <si>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</si>
  <si>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</si>
  <si>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</si>
  <si>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</si>
  <si>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</si>
  <si>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</si>
  <si>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</si>
  <si>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</si>
  <si>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</si>
  <si>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</si>
  <si>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</si>
  <si>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</si>
  <si>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</si>
  <si>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</si>
  <si>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</si>
  <si>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</si>
  <si>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</si>
  <si>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</si>
  <si>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</si>
  <si>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</si>
  <si>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</si>
  <si>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</si>
  <si>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</si>
  <si>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</si>
  <si>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</si>
  <si>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</si>
  <si>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</si>
  <si>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</si>
  <si>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</si>
  <si>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</si>
  <si>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</si>
  <si>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</si>
  <si>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</si>
  <si>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</si>
  <si>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</si>
  <si>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</si>
  <si>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</si>
  <si>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</si>
  <si>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</si>
  <si>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</si>
  <si>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</si>
  <si>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</si>
  <si>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</si>
  <si>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</si>
  <si>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</si>
  <si>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</si>
  <si>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</si>
  <si>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</si>
  <si>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</si>
  <si>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</si>
  <si>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</si>
  <si>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</si>
  <si>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</si>
  <si>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</si>
  <si>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</si>
  <si>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</si>
  <si>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</si>
  <si>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</si>
  <si>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</si>
  <si>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</si>
  <si>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</si>
  <si>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</si>
  <si>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</si>
  <si>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</si>
  <si>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</si>
  <si>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</si>
  <si>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</si>
  <si>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</si>
  <si>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</si>
  <si>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</si>
  <si>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</si>
  <si>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</si>
  <si>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</si>
  <si>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</si>
  <si>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</si>
  <si>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</si>
  <si>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</si>
  <si>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</si>
  <si>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</si>
  <si>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</si>
  <si>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</si>
  <si>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</si>
  <si>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</si>
  <si>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</si>
  <si>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</si>
  <si>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</si>
  <si>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</si>
  <si>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</si>
  <si>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</si>
  <si>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</si>
  <si>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</si>
  <si>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</si>
  <si>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</si>
  <si>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</si>
  <si>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</si>
  <si>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</si>
  <si>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</si>
  <si>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</si>
  <si>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</si>
  <si>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</si>
  <si>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</si>
  <si>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</si>
  <si>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</si>
  <si>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</si>
  <si>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</si>
  <si>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</si>
  <si>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</si>
  <si>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</si>
  <si>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</si>
  <si>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</si>
  <si>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</si>
  <si>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</si>
  <si>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</si>
  <si>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</si>
  <si>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</si>
  <si>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</si>
  <si>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</si>
  <si>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</si>
  <si>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</si>
  <si>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</si>
  <si>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</si>
  <si>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</si>
  <si>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</si>
  <si>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</si>
  <si>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</si>
  <si>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</si>
  <si>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</si>
  <si>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</si>
  <si>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</si>
  <si>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</si>
  <si>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</si>
  <si>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</si>
  <si>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</si>
  <si>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</si>
  <si>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</si>
  <si>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</si>
  <si>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</si>
  <si>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</si>
  <si>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</si>
  <si>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</si>
  <si>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</si>
  <si>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</si>
  <si>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</si>
  <si>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</si>
  <si>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</si>
  <si>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</si>
  <si>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</si>
  <si>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</si>
  <si>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</si>
  <si>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</si>
  <si>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</si>
  <si>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</si>
  <si>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</si>
  <si>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</si>
  <si>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</si>
  <si>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</si>
  <si>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</si>
  <si>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</si>
  <si>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</si>
  <si>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</si>
  <si>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</si>
  <si>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</si>
  <si>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</si>
  <si>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</si>
  <si>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</si>
  <si>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</si>
  <si>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</si>
  <si>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</si>
  <si>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</si>
  <si>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</si>
  <si>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</si>
  <si>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</si>
  <si>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</si>
  <si>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</si>
  <si>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</si>
  <si>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</si>
  <si>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</si>
  <si>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</si>
  <si>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</si>
  <si>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</si>
  <si>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</si>
  <si>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</si>
  <si>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</si>
  <si>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</si>
  <si>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</si>
  <si>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</si>
  <si>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</si>
  <si>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</si>
  <si>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</si>
  <si>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</si>
  <si>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</si>
  <si>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</si>
  <si>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</si>
  <si>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</si>
  <si>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</si>
  <si>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</si>
  <si>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</si>
  <si>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</si>
  <si>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</si>
  <si>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</si>
  <si>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</si>
  <si>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</si>
  <si>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</si>
  <si>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</si>
  <si>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</si>
  <si>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</si>
  <si>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</si>
  <si>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</si>
  <si>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</si>
  <si>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</si>
  <si>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</si>
  <si>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</si>
  <si>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</si>
  <si>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</si>
  <si>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</si>
  <si>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</si>
  <si>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</si>
  <si>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</si>
  <si>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</si>
  <si>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</si>
  <si>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</si>
  <si>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</si>
  <si>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</si>
  <si>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</si>
  <si>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</si>
  <si>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</si>
  <si>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</si>
  <si>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</si>
  <si>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</si>
  <si>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</si>
  <si>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</si>
  <si>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</si>
  <si>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</si>
  <si>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</si>
  <si>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</si>
  <si>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</si>
  <si>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</si>
  <si>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</si>
  <si>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</si>
  <si>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</si>
  <si>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</si>
  <si>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</si>
  <si>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</si>
  <si>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</si>
  <si>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</si>
  <si>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</si>
  <si>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</si>
  <si>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</si>
  <si>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</si>
  <si>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</si>
  <si>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</si>
  <si>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</si>
  <si>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</si>
  <si>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</si>
  <si>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</si>
  <si>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</si>
  <si>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</si>
  <si>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</si>
  <si>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</si>
  <si>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</si>
  <si>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</si>
  <si>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</si>
  <si>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</si>
  <si>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</si>
  <si>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</si>
  <si>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</si>
  <si>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</si>
  <si>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</si>
  <si>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</si>
  <si>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</si>
  <si>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</si>
  <si>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</si>
  <si>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</si>
  <si>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</si>
  <si>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</si>
  <si>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</si>
  <si>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</si>
  <si>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</si>
  <si>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</si>
  <si>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</si>
  <si>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</si>
  <si>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</si>
  <si>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</si>
  <si>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</si>
  <si>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</si>
  <si>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</si>
  <si>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</si>
  <si>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</si>
  <si>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</si>
  <si>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</si>
  <si>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</si>
  <si>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</si>
  <si>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</si>
  <si>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</si>
  <si>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</si>
  <si>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</si>
  <si>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</si>
  <si>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</si>
  <si>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</si>
  <si>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</si>
  <si>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</si>
  <si>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</si>
  <si>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</si>
  <si>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</si>
  <si>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</si>
  <si>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</si>
  <si>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</si>
  <si>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</si>
  <si>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</si>
  <si>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</si>
  <si>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</si>
  <si>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</si>
  <si>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</si>
  <si>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</si>
  <si>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</si>
  <si>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</si>
  <si>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</si>
  <si>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</si>
  <si>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</si>
  <si>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</si>
  <si>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</si>
  <si>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</si>
  <si>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</si>
  <si>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</si>
  <si>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</si>
  <si>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</si>
  <si>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</si>
  <si>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</si>
  <si>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</si>
  <si>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</si>
  <si>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</si>
  <si>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</si>
  <si>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</si>
  <si>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</si>
  <si>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</si>
  <si>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</si>
  <si>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</si>
  <si>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</si>
  <si>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</si>
  <si>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</si>
  <si>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</si>
  <si>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</si>
  <si>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</si>
  <si>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</si>
  <si>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</si>
  <si>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</si>
  <si>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</si>
  <si>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</si>
  <si>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</si>
  <si>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</si>
  <si>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</si>
  <si>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</si>
  <si>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</si>
  <si>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</si>
  <si>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</si>
  <si>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</si>
  <si>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</si>
  <si>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</si>
  <si>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</si>
  <si>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</si>
  <si>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</si>
  <si>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</si>
  <si>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</si>
  <si>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</si>
  <si>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</si>
  <si>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</si>
  <si>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</si>
  <si>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</si>
  <si>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</si>
  <si>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</si>
  <si>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</si>
  <si>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</si>
  <si>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</si>
  <si>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</si>
  <si>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</si>
  <si>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</si>
  <si>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</si>
  <si>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</si>
  <si>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</si>
  <si>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</si>
  <si>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</si>
  <si>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</si>
  <si>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</si>
  <si>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</si>
  <si>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</si>
  <si>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</si>
  <si>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</si>
  <si>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</si>
  <si>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</si>
  <si>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</si>
  <si>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</si>
  <si>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</si>
  <si>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</si>
  <si>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</si>
  <si>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</si>
  <si>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</si>
  <si>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</si>
  <si>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</si>
  <si>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</si>
  <si>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</si>
  <si>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</si>
  <si>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</si>
  <si>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</si>
  <si>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</si>
  <si>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</si>
  <si>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</si>
  <si>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</si>
  <si>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</si>
  <si>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</si>
  <si>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</si>
  <si>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</si>
  <si>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</si>
  <si>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</si>
  <si>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</si>
  <si>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</si>
  <si>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</si>
  <si>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</si>
  <si>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</si>
  <si>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</si>
  <si>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</si>
  <si>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</si>
  <si>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</si>
  <si>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</si>
  <si>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</si>
  <si>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</si>
  <si>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</si>
  <si>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</si>
  <si>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</si>
  <si>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</si>
  <si>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</si>
  <si>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</si>
  <si>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</si>
  <si>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</si>
  <si>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</si>
  <si>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</si>
  <si>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</si>
  <si>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</si>
  <si>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</si>
  <si>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</si>
  <si>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</si>
  <si>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</si>
  <si>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</si>
  <si>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</si>
  <si>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</si>
  <si>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</si>
  <si>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</si>
  <si>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</si>
  <si>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</si>
  <si>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</si>
  <si>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</si>
  <si>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</si>
  <si>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</si>
  <si>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</si>
  <si>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</si>
  <si>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</si>
  <si>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</si>
  <si>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</si>
  <si>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</si>
  <si>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</si>
  <si>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</si>
  <si>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</si>
  <si>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</si>
  <si>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</si>
  <si>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</si>
  <si>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</si>
  <si>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</si>
  <si>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</si>
  <si>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</si>
  <si>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</si>
  <si>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</si>
  <si>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</si>
  <si>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</si>
  <si>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</si>
  <si>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</si>
  <si>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</si>
  <si>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</si>
  <si>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</si>
  <si>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</si>
  <si>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</si>
  <si>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</si>
  <si>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</si>
  <si>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</si>
  <si>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</si>
  <si>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</si>
  <si>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</si>
  <si>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</si>
  <si>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</si>
  <si>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</si>
  <si>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</si>
  <si>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</si>
  <si>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</si>
  <si>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</si>
  <si>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</si>
  <si>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</si>
  <si>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</si>
  <si>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</si>
  <si>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</si>
  <si>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</si>
  <si>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</si>
  <si>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</si>
  <si>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</si>
  <si>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</si>
  <si>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</si>
  <si>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</si>
  <si>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</si>
  <si>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</si>
  <si>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</si>
  <si>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</si>
  <si>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</si>
  <si>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</si>
  <si>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</si>
  <si>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</si>
  <si>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</si>
  <si>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</si>
  <si>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</si>
  <si>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</si>
  <si>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</si>
  <si>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</si>
  <si>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</si>
  <si>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</si>
  <si>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</si>
  <si>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</si>
  <si>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</si>
  <si>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</si>
  <si>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</si>
  <si>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</si>
  <si>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</si>
  <si>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</si>
  <si>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</si>
  <si>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</si>
  <si>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</si>
  <si>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</si>
  <si>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</si>
  <si>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</si>
  <si>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</si>
  <si>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</si>
  <si>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</si>
  <si>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</si>
  <si>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</si>
  <si>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</si>
  <si>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</si>
  <si>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</si>
  <si>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</si>
  <si>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</si>
  <si>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</si>
  <si>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</si>
  <si>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</si>
  <si>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</si>
  <si>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</si>
  <si>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</si>
  <si>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</si>
  <si>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</si>
  <si>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</si>
  <si>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</si>
  <si>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</si>
  <si>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</si>
  <si>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</si>
  <si>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</si>
  <si>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</si>
  <si>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</si>
  <si>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</si>
  <si>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</si>
  <si>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</si>
  <si>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</si>
  <si>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</si>
  <si>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</si>
  <si>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</si>
  <si>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</si>
  <si>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</si>
  <si>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</si>
  <si>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</si>
  <si>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</si>
  <si>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</si>
  <si>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</si>
  <si>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</si>
  <si>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</si>
  <si>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</si>
  <si>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</si>
  <si>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</si>
  <si>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</si>
  <si>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</si>
  <si>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</si>
  <si>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</si>
  <si>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</si>
  <si>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</si>
  <si>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</si>
  <si>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</si>
  <si>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</si>
  <si>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</si>
  <si>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</si>
  <si>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</si>
  <si>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</si>
  <si>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</si>
  <si>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</si>
  <si>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</si>
  <si>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</si>
  <si>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</si>
  <si>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</si>
  <si>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</si>
  <si>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</si>
  <si>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</si>
  <si>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</si>
  <si>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</si>
  <si>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</si>
  <si>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</si>
  <si>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</si>
  <si>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</si>
  <si>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</si>
  <si>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</si>
  <si>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</si>
  <si>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</si>
  <si>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</si>
  <si>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</si>
  <si>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</si>
  <si>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</si>
  <si>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</si>
  <si>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</si>
  <si>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</si>
  <si>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</si>
  <si>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</si>
  <si>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</si>
  <si>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</si>
  <si>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</si>
  <si>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</si>
  <si>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</si>
  <si>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</si>
  <si>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</si>
  <si>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</si>
  <si>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</si>
  <si>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</si>
  <si>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</si>
  <si>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</si>
  <si>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</si>
  <si>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</si>
  <si>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</si>
  <si>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</si>
  <si>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</si>
  <si>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</si>
  <si>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</si>
  <si>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</si>
  <si>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</si>
  <si>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</si>
  <si>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</si>
  <si>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</si>
  <si>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</si>
  <si>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</si>
  <si>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</si>
  <si>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</si>
  <si>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</si>
  <si>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</si>
  <si>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</si>
  <si>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</si>
  <si>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</si>
  <si>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</si>
  <si>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</si>
  <si>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</si>
  <si>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</si>
  <si>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</si>
  <si>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</si>
  <si>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</si>
  <si>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</si>
  <si>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</si>
  <si>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</si>
  <si>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</si>
  <si>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</si>
  <si>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</si>
  <si>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</si>
  <si>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</si>
  <si>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</si>
  <si>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</si>
  <si>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</si>
  <si>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</si>
  <si>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</si>
  <si>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</si>
  <si>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</si>
  <si>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</si>
  <si>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</si>
  <si>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</si>
  <si>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</si>
  <si>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</si>
  <si>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</si>
  <si>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</si>
  <si>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</si>
  <si>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</si>
  <si>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</si>
  <si>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</si>
  <si>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</si>
  <si>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</si>
  <si>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</si>
  <si>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</si>
  <si>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</si>
  <si>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</si>
  <si>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</si>
  <si>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</si>
  <si>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</si>
  <si>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</si>
  <si>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</si>
  <si>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</si>
  <si>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</si>
  <si>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</si>
  <si>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</si>
  <si>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</si>
  <si>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</si>
  <si>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</si>
  <si>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</si>
  <si>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</si>
  <si>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</si>
  <si>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</si>
  <si>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</si>
  <si>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</si>
  <si>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</si>
  <si>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</si>
  <si>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</si>
  <si>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</si>
  <si>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</si>
  <si>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</si>
  <si>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</si>
  <si>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</si>
  <si>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</si>
  <si>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</si>
  <si>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</si>
  <si>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</si>
  <si>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</si>
  <si>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</si>
  <si>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</si>
  <si>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</si>
  <si>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</si>
  <si>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</si>
  <si>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</si>
  <si>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</si>
  <si>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</si>
  <si>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</si>
  <si>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</si>
  <si>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</si>
  <si>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</si>
  <si>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</si>
  <si>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</si>
  <si>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</si>
  <si>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</si>
  <si>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</si>
  <si>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</si>
  <si>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</si>
  <si>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</si>
  <si>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</si>
  <si>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</si>
  <si>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</si>
  <si>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</si>
  <si>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</si>
  <si>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</si>
  <si>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</si>
  <si>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</si>
  <si>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</si>
  <si>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</si>
  <si>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</si>
  <si>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</si>
  <si>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</si>
  <si>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</si>
  <si>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</si>
  <si>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</si>
  <si>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</si>
  <si>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</si>
  <si>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</si>
  <si>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</si>
  <si>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</si>
  <si>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</si>
  <si>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</si>
  <si>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</si>
  <si>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</si>
  <si>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</si>
  <si>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</si>
  <si>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</si>
  <si>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</si>
  <si>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</si>
  <si>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</si>
  <si>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</si>
  <si>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</si>
  <si>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</si>
  <si>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</si>
  <si>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</si>
  <si>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</si>
  <si>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</si>
  <si>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</si>
  <si>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</si>
  <si>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</si>
  <si>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</si>
  <si>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</si>
  <si>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</si>
  <si>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</si>
  <si>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</si>
  <si>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</si>
  <si>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</si>
  <si>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</si>
  <si>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</si>
  <si>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</si>
  <si>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</si>
  <si>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</si>
  <si>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</si>
  <si>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</si>
  <si>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</si>
  <si>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</si>
  <si>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</si>
  <si>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</si>
  <si>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</si>
  <si>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</si>
  <si>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</si>
  <si>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</si>
  <si>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</si>
  <si>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</si>
  <si>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</si>
  <si>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</si>
  <si>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</si>
  <si>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</si>
  <si>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</si>
  <si>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</si>
  <si>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</si>
  <si>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</si>
  <si>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</si>
  <si>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</si>
  <si>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</si>
  <si>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</si>
  <si>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</si>
  <si>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</si>
  <si>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</si>
  <si>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</si>
  <si>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</si>
  <si>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</si>
  <si>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</si>
  <si>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</si>
  <si>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</si>
  <si>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</si>
  <si>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</si>
  <si>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</si>
  <si>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</si>
  <si>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</si>
  <si>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</si>
  <si>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</si>
  <si>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</si>
  <si>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</si>
  <si>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</si>
  <si>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</si>
  <si>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</si>
  <si>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</si>
  <si>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</si>
  <si>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</si>
  <si>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</si>
  <si>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</si>
  <si>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</si>
  <si>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</si>
  <si>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</si>
  <si>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</si>
  <si>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</si>
  <si>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</si>
  <si>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</si>
  <si>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</si>
  <si>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</si>
  <si>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</si>
  <si>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</si>
  <si>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</si>
  <si>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</si>
  <si>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</si>
  <si>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</si>
  <si>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</si>
  <si>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</si>
  <si>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</si>
  <si>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</si>
  <si>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</si>
  <si>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</si>
  <si>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</si>
  <si>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</si>
  <si>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</si>
  <si>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</si>
  <si>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</si>
  <si>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</si>
  <si>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</si>
  <si>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</si>
  <si>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</si>
  <si>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</si>
  <si>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</si>
  <si>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</si>
  <si>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</si>
  <si>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</si>
  <si>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</si>
  <si>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</si>
  <si>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</si>
  <si>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</si>
  <si>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</si>
  <si>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</si>
  <si>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</si>
  <si>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</si>
  <si>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</si>
  <si>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</si>
  <si>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</si>
  <si>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</si>
  <si>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</si>
  <si>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</si>
  <si>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</si>
  <si>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</si>
  <si>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</si>
  <si>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</si>
  <si>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</si>
  <si>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</si>
  <si>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</si>
  <si>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</si>
  <si>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</si>
  <si>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</si>
  <si>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</si>
  <si>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</si>
  <si>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</si>
  <si>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</si>
  <si>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</si>
  <si>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</si>
  <si>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</si>
  <si>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</si>
  <si>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</si>
  <si>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</si>
  <si>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</si>
  <si>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</si>
  <si>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</si>
  <si>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</si>
  <si>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</si>
  <si>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</si>
  <si>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</si>
  <si>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</si>
  <si>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</si>
  <si>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</si>
  <si>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</si>
  <si>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</si>
  <si>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</si>
  <si>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</si>
  <si>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</si>
  <si>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</si>
  <si>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</si>
  <si>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</si>
  <si>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</si>
  <si>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</si>
  <si>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</si>
  <si>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</si>
  <si>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</si>
  <si>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</si>
  <si>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</si>
  <si>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</si>
  <si>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</si>
  <si>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</si>
  <si>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</si>
  <si>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</si>
  <si>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</si>
  <si>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</si>
  <si>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</si>
  <si>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</si>
  <si>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</si>
  <si>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</si>
  <si>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</si>
  <si>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</si>
  <si>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</si>
  <si>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</si>
  <si>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</si>
  <si>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</si>
  <si>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</si>
  <si>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</si>
  <si>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</si>
  <si>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</si>
  <si>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</si>
  <si>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</si>
  <si>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</si>
  <si>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</si>
  <si>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</si>
  <si>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</si>
  <si>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</si>
  <si>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</si>
  <si>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</si>
  <si>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</si>
  <si>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</si>
  <si>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</si>
  <si>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</si>
  <si>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</si>
  <si>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</si>
  <si>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</si>
  <si>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</si>
  <si>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</si>
  <si>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</si>
  <si>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</si>
  <si>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</si>
  <si>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</si>
  <si>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</si>
  <si>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</si>
  <si>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</si>
  <si>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</si>
  <si>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</si>
  <si>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</si>
  <si>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</si>
  <si>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</si>
  <si>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</si>
  <si>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</si>
  <si>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</si>
  <si>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</si>
  <si>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</si>
  <si>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</si>
  <si>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</si>
  <si>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</si>
  <si>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</si>
  <si>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</si>
  <si>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</si>
  <si>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</si>
  <si>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</si>
  <si>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</si>
  <si>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</si>
  <si>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</si>
  <si>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</si>
  <si>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</si>
  <si>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</si>
  <si>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</si>
  <si>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</si>
  <si>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</si>
  <si>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</si>
  <si>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</si>
  <si>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</si>
  <si>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</si>
  <si>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</si>
  <si>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</si>
  <si>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</si>
  <si>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</si>
  <si>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</si>
  <si>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</si>
  <si>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</si>
  <si>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</si>
  <si>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</si>
  <si>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</si>
  <si>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</si>
  <si>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</si>
  <si>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</si>
  <si>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</si>
  <si>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</si>
  <si>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</si>
  <si>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</si>
  <si>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</si>
  <si>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</si>
  <si>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</si>
  <si>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</si>
  <si>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</si>
  <si>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</si>
  <si>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</si>
  <si>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</si>
  <si>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</si>
  <si>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</si>
  <si>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</si>
  <si>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</si>
  <si>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</si>
  <si>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</si>
  <si>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</si>
  <si>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</si>
  <si>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</si>
  <si>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</si>
  <si>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</si>
  <si>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</si>
  <si>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</si>
  <si>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</si>
  <si>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</si>
  <si>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</si>
  <si>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</si>
  <si>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</si>
  <si>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</si>
  <si>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</si>
  <si>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</si>
  <si>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</si>
  <si>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</si>
  <si>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</si>
  <si>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</si>
  <si>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</si>
  <si>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</si>
  <si>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</si>
  <si>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</si>
  <si>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</si>
  <si>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</si>
  <si>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</si>
  <si>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</si>
  <si>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</si>
  <si>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</si>
  <si>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</si>
  <si>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</si>
  <si>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</si>
  <si>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</si>
  <si>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</si>
  <si>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</si>
  <si>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</si>
  <si>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</si>
  <si>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</si>
  <si>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</si>
  <si>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</si>
  <si>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</si>
  <si>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</si>
  <si>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</si>
  <si>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</si>
  <si>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</si>
  <si>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</si>
  <si>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</si>
  <si>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</si>
  <si>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</si>
  <si>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</si>
  <si>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</si>
  <si>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</si>
  <si>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</si>
  <si>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</si>
  <si>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</si>
  <si>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</si>
  <si>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</si>
  <si>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</si>
  <si>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</si>
  <si>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</si>
  <si>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</si>
  <si>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</si>
  <si>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</si>
  <si>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</si>
  <si>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</si>
  <si>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</si>
  <si>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</si>
  <si>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</si>
  <si>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</si>
  <si>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</si>
  <si>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</si>
  <si>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</si>
  <si>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</si>
  <si>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</si>
  <si>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</si>
  <si>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</si>
  <si>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</si>
  <si>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</si>
  <si>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</si>
  <si>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</si>
  <si>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</si>
  <si>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</si>
  <si>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</si>
  <si>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</si>
  <si>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</si>
  <si>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</si>
  <si>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</si>
  <si>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</si>
  <si>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</si>
  <si>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</si>
  <si>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</si>
  <si>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</si>
  <si>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</si>
  <si>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</si>
  <si>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</si>
  <si>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</si>
  <si>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</si>
  <si>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</si>
  <si>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</si>
  <si>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</si>
  <si>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</si>
  <si>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</si>
  <si>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</si>
  <si>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</si>
  <si>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</si>
  <si>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</si>
  <si>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</si>
  <si>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</si>
  <si>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</si>
  <si>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</si>
  <si>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</si>
  <si>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</si>
  <si>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</si>
  <si>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</si>
  <si>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</si>
  <si>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</si>
  <si>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</si>
  <si>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</si>
  <si>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</si>
  <si>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</si>
  <si>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</si>
  <si>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</si>
  <si>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</si>
  <si>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</si>
  <si>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</si>
  <si>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</si>
  <si>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</si>
  <si>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</si>
  <si>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</si>
  <si>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</si>
  <si>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</si>
  <si>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</si>
  <si>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</si>
  <si>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</si>
  <si>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</si>
  <si>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</si>
  <si>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</si>
  <si>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</si>
  <si>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</si>
  <si>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</si>
  <si>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</si>
  <si>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</si>
  <si>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</si>
  <si>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</si>
  <si>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</si>
  <si>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</si>
  <si>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</si>
  <si>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</si>
  <si>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</si>
  <si>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</si>
  <si>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</si>
  <si>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</si>
  <si>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</si>
  <si>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</si>
  <si>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</si>
  <si>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</si>
  <si>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</si>
  <si>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</si>
  <si>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</si>
  <si>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</si>
  <si>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</si>
  <si>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</si>
  <si>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</si>
  <si>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</si>
  <si>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</si>
  <si>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</si>
  <si>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</si>
  <si>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</si>
  <si>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</si>
  <si>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</si>
  <si>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</si>
  <si>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</si>
  <si>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</si>
  <si>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</si>
  <si>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</si>
  <si>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</si>
  <si>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</si>
  <si>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</si>
  <si>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</si>
  <si>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</si>
  <si>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</si>
  <si>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</si>
  <si>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</si>
  <si>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</si>
  <si>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</si>
  <si>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</si>
  <si>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</si>
  <si>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</si>
  <si>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</si>
  <si>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</si>
  <si>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</si>
  <si>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</si>
  <si>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</si>
  <si>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</si>
  <si>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</si>
  <si>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</si>
  <si>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</si>
  <si>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</si>
  <si>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</si>
  <si>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</si>
  <si>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</si>
  <si>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</si>
  <si>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</si>
  <si>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</si>
  <si>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</si>
  <si>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</si>
  <si>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</si>
  <si>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</si>
  <si>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</si>
  <si>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</si>
  <si>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</si>
  <si>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</si>
  <si>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</si>
  <si>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</si>
  <si>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</si>
  <si>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</si>
  <si>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</si>
  <si>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</si>
  <si>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</si>
  <si>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</si>
  <si>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</si>
  <si>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</si>
  <si>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</si>
  <si>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</si>
  <si>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</si>
  <si>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</si>
  <si>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</si>
  <si>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</si>
  <si>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</si>
  <si>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</si>
  <si>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</si>
  <si>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</si>
  <si>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</si>
  <si>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</si>
  <si>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</si>
  <si>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</si>
  <si>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</si>
  <si>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</si>
  <si>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</si>
  <si>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</si>
  <si>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</si>
  <si>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</si>
  <si>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</si>
  <si>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</si>
  <si>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</si>
  <si>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</si>
  <si>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</si>
  <si>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</si>
  <si>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</si>
  <si>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</si>
  <si>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</si>
  <si>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</si>
  <si>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</si>
  <si>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</si>
  <si>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</si>
  <si>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</si>
  <si>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</si>
  <si>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</si>
  <si>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</si>
  <si>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</si>
  <si>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</si>
  <si>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</si>
  <si>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</si>
  <si>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</si>
  <si>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</si>
  <si>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</si>
  <si>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</si>
  <si>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</si>
  <si>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</si>
  <si>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</si>
  <si>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</si>
  <si>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</si>
  <si>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</si>
  <si>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</si>
  <si>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</si>
  <si>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</si>
  <si>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</si>
  <si>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</si>
  <si>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</si>
  <si>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</si>
  <si>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</si>
  <si>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</si>
  <si>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</si>
  <si>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</si>
  <si>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</si>
  <si>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</si>
  <si>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</si>
  <si>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</si>
  <si>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</si>
  <si>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</si>
  <si>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</si>
  <si>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</si>
  <si>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</si>
  <si>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</si>
  <si>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</si>
  <si>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</si>
  <si>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</si>
  <si>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</si>
  <si>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</si>
  <si>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</si>
  <si>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</si>
  <si>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</si>
  <si>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</si>
  <si>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</si>
  <si>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</si>
  <si>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</si>
  <si>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</si>
  <si>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</si>
  <si>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</si>
  <si>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</si>
  <si>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</si>
  <si>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</si>
  <si>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</si>
  <si>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</si>
  <si>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</si>
  <si>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</si>
  <si>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</si>
  <si>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</si>
  <si>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</si>
  <si>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</si>
  <si>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</si>
  <si>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</si>
  <si>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</si>
  <si>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</si>
  <si>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</si>
  <si>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</si>
  <si>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</si>
  <si>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</si>
  <si>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</si>
  <si>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</si>
  <si>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</si>
  <si>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</si>
  <si>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</si>
  <si>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</si>
  <si>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</si>
  <si>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</si>
  <si>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</si>
  <si>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</si>
  <si>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</si>
  <si>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</si>
  <si>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</si>
  <si>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</si>
  <si>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</si>
  <si>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</si>
  <si>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</si>
  <si>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</si>
  <si>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</si>
  <si>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</si>
  <si>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</si>
  <si>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</si>
  <si>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</si>
  <si>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</si>
  <si>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</si>
  <si>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</si>
  <si>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</si>
  <si>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</si>
  <si>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</si>
  <si>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</si>
  <si>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</si>
  <si>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</si>
  <si>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</si>
  <si>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</si>
  <si>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</si>
  <si>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</si>
  <si>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</si>
  <si>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</si>
  <si>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</si>
  <si>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</si>
  <si>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</si>
  <si>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</si>
  <si>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</si>
  <si>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</si>
  <si>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</si>
  <si>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</si>
  <si>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</si>
  <si>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</si>
  <si>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</si>
  <si>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</si>
  <si>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</si>
  <si>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</si>
  <si>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</si>
  <si>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</si>
  <si>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</si>
  <si>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</si>
  <si>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</si>
  <si>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</si>
  <si>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</si>
  <si>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</si>
  <si>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</si>
  <si>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</si>
  <si>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</si>
  <si>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</si>
  <si>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</si>
  <si>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</si>
  <si>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</si>
  <si>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</si>
  <si>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</si>
  <si>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</si>
  <si>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</si>
  <si>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</si>
  <si>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</si>
  <si>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</si>
  <si>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</si>
  <si>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</si>
  <si>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</si>
  <si>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</si>
  <si>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</si>
  <si>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</si>
  <si>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</si>
  <si>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</si>
  <si>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</si>
  <si>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</si>
  <si>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</si>
  <si>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</si>
  <si>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</si>
  <si>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</si>
  <si>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</si>
  <si>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</si>
  <si>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</si>
  <si>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</si>
  <si>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</si>
  <si>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</si>
  <si>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</si>
  <si>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</si>
  <si>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</si>
  <si>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</si>
  <si>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</si>
  <si>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</si>
  <si>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</si>
  <si>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</si>
  <si>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</si>
  <si>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</si>
  <si>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</si>
  <si>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</si>
  <si>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</si>
  <si>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</si>
  <si>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</si>
  <si>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</si>
  <si>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</si>
  <si>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</si>
  <si>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</si>
  <si>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</si>
  <si>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</si>
  <si>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</si>
  <si>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</si>
  <si>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</si>
  <si>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</si>
  <si>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</si>
  <si>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</si>
  <si>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</si>
  <si>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</si>
  <si>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</si>
  <si>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</si>
  <si>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</si>
  <si>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</si>
  <si>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</si>
  <si>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</si>
  <si>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</si>
  <si>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</si>
  <si>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</si>
  <si>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</si>
  <si>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</si>
  <si>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</si>
  <si>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</si>
  <si>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</si>
  <si>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</si>
  <si>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</si>
  <si>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</si>
  <si>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</si>
  <si>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</si>
  <si>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</si>
  <si>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</si>
  <si>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</si>
  <si>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</si>
  <si>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</si>
  <si>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</si>
  <si>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</si>
  <si>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</si>
  <si>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</si>
  <si>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</si>
  <si>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</si>
  <si>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</si>
  <si>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</si>
  <si>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</si>
  <si>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</si>
  <si>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</si>
  <si>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</si>
  <si>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</si>
  <si>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</si>
  <si>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</si>
  <si>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</si>
  <si>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</si>
  <si>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</si>
  <si>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</si>
  <si>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</si>
  <si>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</si>
  <si>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</si>
  <si>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</si>
  <si>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</si>
  <si>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</si>
  <si>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</si>
  <si>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</si>
  <si>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</si>
  <si>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</si>
  <si>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</si>
  <si>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</si>
  <si>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</si>
  <si>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</si>
  <si>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</si>
  <si>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</si>
  <si>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</si>
  <si>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</si>
  <si>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</si>
  <si>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</si>
  <si>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</si>
  <si>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</si>
  <si>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</si>
  <si>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</si>
  <si>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</si>
  <si>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</si>
  <si>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</si>
  <si>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</si>
  <si>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</si>
  <si>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</si>
  <si>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</si>
  <si>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</si>
  <si>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</si>
  <si>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</si>
  <si>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</si>
  <si>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</si>
  <si>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</si>
  <si>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</si>
  <si>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</si>
  <si>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</si>
  <si>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</si>
  <si>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</si>
  <si>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</si>
  <si>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</si>
  <si>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</si>
  <si>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</si>
  <si>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</si>
  <si>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</si>
  <si>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</si>
  <si>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</si>
  <si>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</si>
  <si>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</si>
  <si>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</si>
  <si>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</si>
  <si>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</si>
  <si>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</si>
  <si>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</si>
  <si>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</si>
  <si>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</si>
  <si>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</si>
  <si>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</si>
  <si>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</si>
  <si>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</si>
  <si>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</si>
  <si>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</si>
  <si>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</si>
  <si>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</si>
  <si>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</si>
  <si>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</si>
  <si>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</si>
  <si>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</si>
  <si>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</si>
  <si>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</si>
  <si>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</si>
  <si>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</si>
  <si>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</si>
  <si>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</si>
  <si>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</si>
  <si>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</si>
  <si>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</si>
  <si>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</si>
  <si>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</si>
  <si>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</si>
  <si>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</si>
  <si>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</si>
  <si>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</si>
  <si>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</si>
  <si>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</si>
  <si>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</si>
  <si>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</si>
  <si>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</si>
  <si>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</si>
  <si>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</si>
  <si>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</si>
  <si>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</si>
  <si>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</si>
  <si>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</si>
  <si>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</si>
  <si>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</si>
  <si>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</si>
  <si>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</si>
  <si>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</si>
  <si>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</si>
  <si>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</si>
  <si>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</si>
  <si>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</si>
  <si>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</si>
  <si>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</si>
  <si>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</si>
  <si>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</si>
  <si>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</si>
  <si>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</si>
  <si>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</si>
  <si>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</si>
  <si>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</si>
  <si>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</si>
  <si>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</si>
  <si>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</si>
  <si>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</si>
  <si>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</si>
  <si>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</si>
  <si>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</si>
  <si>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</si>
  <si>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</si>
  <si>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</si>
  <si>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</si>
  <si>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</si>
  <si>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</si>
  <si>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</si>
  <si>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</si>
  <si>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</si>
  <si>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</si>
  <si>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</si>
  <si>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</si>
  <si>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</si>
  <si>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</si>
  <si>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</si>
  <si>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</si>
  <si>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</si>
  <si>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</si>
  <si>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</si>
  <si>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</si>
  <si>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</si>
  <si>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</si>
  <si>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</si>
  <si>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</si>
  <si>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</si>
  <si>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</si>
  <si>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</si>
  <si>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</si>
  <si>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</si>
  <si>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</si>
  <si>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</si>
  <si>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</si>
  <si>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</si>
  <si>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</si>
  <si>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</si>
  <si>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</si>
  <si>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</si>
  <si>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</si>
  <si>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</si>
  <si>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</si>
  <si>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</si>
  <si>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</si>
  <si>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</si>
  <si>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</si>
  <si>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</si>
  <si>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</si>
  <si>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</si>
  <si>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</si>
  <si>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</si>
  <si>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</si>
  <si>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</si>
  <si>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</si>
  <si>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</si>
  <si>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</si>
  <si>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</si>
  <si>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</si>
  <si>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</si>
  <si>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</si>
  <si>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</si>
  <si>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</si>
  <si>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</si>
  <si>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</si>
  <si>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</si>
  <si>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</si>
  <si>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</si>
  <si>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</si>
  <si>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</si>
  <si>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</si>
  <si>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</si>
  <si>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</si>
  <si>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</si>
  <si>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</si>
  <si>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</si>
  <si>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</si>
  <si>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</si>
  <si>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</si>
  <si>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</si>
  <si>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</si>
  <si>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</si>
  <si>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</si>
  <si>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</si>
  <si>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</si>
  <si>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</si>
  <si>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</si>
  <si>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</si>
  <si>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</si>
  <si>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</si>
  <si>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</si>
  <si>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</si>
  <si>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</si>
  <si>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</si>
  <si>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</si>
  <si>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</si>
  <si>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</si>
  <si>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</si>
  <si>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</si>
  <si>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</si>
  <si>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</si>
  <si>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</si>
  <si>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</si>
  <si>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</si>
  <si>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</si>
  <si>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</si>
  <si>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</si>
  <si>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</si>
  <si>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</si>
  <si>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</si>
  <si>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</si>
  <si>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</si>
  <si>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</si>
  <si>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</si>
  <si>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</si>
  <si>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</si>
  <si>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</si>
  <si>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</si>
  <si>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</si>
  <si>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</si>
  <si>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</si>
  <si>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</si>
  <si>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</si>
  <si>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</si>
  <si>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</si>
  <si>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</si>
  <si>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</si>
  <si>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</si>
  <si>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</si>
  <si>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</si>
  <si>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</si>
  <si>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</si>
  <si>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</si>
  <si>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</si>
  <si>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</si>
  <si>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</si>
  <si>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</si>
  <si>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</si>
  <si>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</si>
  <si>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</si>
  <si>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</si>
  <si>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</si>
  <si>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</si>
  <si>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</si>
  <si>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</si>
  <si>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</si>
  <si>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</si>
  <si>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</si>
  <si>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</si>
  <si>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</si>
  <si>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</si>
  <si>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</si>
  <si>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</si>
  <si>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</si>
  <si>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</si>
  <si>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</si>
  <si>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</si>
  <si>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</si>
  <si>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</si>
  <si>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</si>
  <si>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</si>
  <si>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</si>
  <si>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</si>
  <si>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</si>
  <si>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</si>
  <si>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</si>
  <si>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</si>
  <si>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</si>
  <si>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</si>
  <si>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</si>
  <si>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</si>
  <si>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</si>
  <si>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</si>
  <si>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</si>
  <si>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</si>
  <si>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</si>
  <si>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</si>
  <si>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</si>
  <si>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</si>
  <si>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</si>
  <si>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</si>
  <si>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</si>
  <si>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</si>
  <si>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</si>
  <si>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</si>
  <si>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</si>
  <si>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</si>
  <si>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</si>
  <si>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</si>
  <si>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</si>
  <si>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</si>
  <si>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</si>
  <si>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</si>
  <si>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</si>
  <si>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</si>
  <si>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</si>
  <si>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</si>
  <si>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</si>
  <si>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</si>
  <si>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</si>
  <si>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</si>
  <si>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</si>
  <si>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</si>
  <si>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</si>
  <si>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</si>
  <si>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</si>
  <si>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</si>
  <si>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</si>
  <si>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</si>
  <si>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</si>
  <si>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</si>
  <si>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</si>
  <si>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</si>
  <si>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</si>
  <si>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</si>
  <si>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</si>
  <si>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</si>
  <si>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</si>
  <si>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</si>
  <si>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</si>
  <si>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</si>
  <si>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</si>
  <si>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</si>
  <si>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</si>
  <si>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</si>
  <si>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</si>
  <si>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</si>
  <si>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</si>
  <si>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</si>
  <si>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</si>
  <si>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</si>
  <si>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</si>
  <si>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</si>
  <si>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</si>
  <si>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</si>
  <si>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</si>
  <si>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</si>
  <si>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</si>
  <si>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</si>
  <si>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</si>
  <si>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</si>
  <si>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</si>
  <si>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</si>
  <si>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</si>
  <si>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</si>
  <si>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</si>
  <si>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</si>
  <si>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</si>
  <si>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</si>
  <si>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</si>
  <si>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</si>
  <si>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</si>
  <si>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</si>
  <si>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</si>
  <si>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</si>
  <si>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</si>
  <si>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</si>
  <si>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</si>
  <si>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</si>
  <si>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</si>
  <si>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</si>
  <si>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</si>
  <si>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</si>
  <si>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</si>
  <si>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</si>
  <si>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</si>
  <si>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</si>
  <si>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</si>
  <si>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</si>
  <si>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</si>
  <si>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</si>
  <si>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</si>
  <si>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</si>
  <si>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</si>
  <si>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</si>
  <si>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</si>
  <si>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</si>
  <si>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</si>
  <si>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</si>
  <si>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</si>
  <si>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</si>
  <si>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</si>
  <si>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</si>
  <si>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</si>
  <si>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</si>
  <si>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</si>
  <si>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</si>
  <si>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</si>
  <si>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</si>
  <si>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</si>
  <si>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</si>
  <si>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</si>
  <si>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</si>
  <si>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</si>
  <si>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</si>
  <si>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</si>
  <si>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</si>
  <si>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</si>
  <si>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</si>
  <si>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</si>
  <si>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</si>
  <si>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</si>
  <si>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</si>
  <si>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</si>
  <si>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</si>
  <si>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</si>
  <si>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</si>
  <si>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</si>
  <si>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</si>
  <si>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</si>
  <si>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</si>
  <si>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</si>
  <si>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</si>
  <si>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</si>
  <si>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</si>
  <si>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</si>
  <si>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</si>
  <si>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</si>
  <si>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</si>
  <si>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</si>
  <si>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</si>
  <si>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</si>
  <si>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</si>
  <si>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</si>
  <si>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</si>
  <si>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</si>
  <si>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</si>
  <si>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</si>
  <si>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</si>
  <si>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</si>
  <si>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</si>
  <si>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</si>
  <si>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</si>
  <si>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</si>
  <si>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</si>
  <si>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</si>
  <si>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</si>
  <si>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</si>
  <si>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</si>
  <si>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</si>
  <si>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</si>
  <si>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</si>
  <si>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</si>
  <si>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</si>
  <si>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</si>
  <si>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</si>
  <si>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</si>
  <si>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</si>
  <si>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</si>
  <si>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</si>
  <si>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</si>
  <si>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</si>
  <si>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</si>
  <si>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</si>
  <si>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</si>
  <si>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</si>
  <si>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</si>
  <si>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</si>
  <si>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</si>
  <si>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</si>
  <si>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</si>
  <si>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</si>
  <si>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</si>
  <si>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</si>
  <si>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</si>
  <si>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</si>
  <si>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</si>
  <si>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</si>
  <si>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</si>
  <si>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</si>
  <si>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</si>
  <si>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</si>
  <si>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</si>
  <si>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</si>
  <si>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</si>
  <si>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</si>
  <si>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</si>
  <si>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</si>
  <si>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</si>
  <si>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</si>
  <si>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</si>
  <si>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</si>
  <si>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</si>
  <si>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</si>
  <si>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</si>
  <si>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</si>
  <si>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</si>
  <si>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</si>
  <si>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</si>
  <si>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</si>
  <si>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</si>
  <si>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</si>
  <si>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</si>
  <si>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</si>
  <si>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</si>
  <si>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</si>
  <si>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</si>
  <si>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</si>
  <si>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</si>
  <si>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</si>
  <si>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</si>
  <si>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</si>
  <si>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</si>
  <si>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</si>
  <si>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</si>
  <si>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</si>
  <si>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</si>
  <si>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</si>
  <si>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</si>
  <si>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</si>
  <si>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</si>
  <si>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</si>
  <si>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</si>
  <si>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</si>
  <si>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</si>
  <si>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</si>
  <si>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</si>
  <si>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</si>
  <si>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</si>
  <si>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</si>
  <si>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</si>
  <si>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</si>
  <si>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</si>
  <si>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</si>
  <si>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</si>
  <si>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</si>
  <si>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</si>
  <si>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</si>
  <si>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</si>
  <si>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</si>
  <si>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</si>
  <si>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</si>
  <si>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</si>
  <si>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</si>
  <si>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</si>
  <si>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</si>
  <si>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</si>
  <si>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</si>
  <si>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</si>
  <si>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</si>
  <si>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</si>
  <si>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</si>
  <si>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</si>
  <si>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</si>
  <si>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</si>
  <si>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</si>
  <si>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</si>
  <si>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</si>
  <si>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</si>
  <si>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</si>
  <si>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</si>
  <si>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</si>
  <si>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</si>
  <si>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</si>
  <si>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</si>
  <si>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</si>
  <si>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</si>
  <si>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</si>
  <si>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</si>
  <si>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</si>
  <si>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</si>
  <si>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</si>
  <si>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</si>
  <si>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</si>
  <si>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</si>
  <si>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</si>
  <si>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</si>
  <si>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</si>
  <si>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</si>
  <si>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</si>
  <si>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</si>
  <si>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</si>
  <si>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</si>
  <si>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</si>
  <si>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</si>
  <si>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</si>
  <si>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</si>
  <si>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</si>
  <si>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</si>
  <si>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</si>
  <si>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</si>
  <si>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</si>
  <si>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</si>
  <si>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</si>
  <si>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</si>
  <si>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</si>
  <si>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</si>
  <si>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</si>
  <si>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</si>
  <si>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</si>
  <si>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</si>
  <si>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</si>
  <si>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</si>
  <si>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</si>
  <si>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</si>
  <si>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</si>
  <si>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</si>
  <si>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</si>
  <si>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</si>
  <si>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</si>
  <si>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</si>
  <si>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</si>
  <si>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</si>
  <si>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</si>
  <si>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</si>
  <si>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</si>
  <si>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</si>
  <si>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</si>
  <si>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</si>
  <si>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</si>
  <si>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</si>
  <si>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</si>
  <si>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</si>
  <si>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</si>
  <si>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</si>
  <si>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</si>
  <si>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</si>
  <si>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</si>
  <si>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</si>
  <si>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</si>
  <si>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</si>
  <si>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</si>
  <si>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</si>
  <si>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</si>
  <si>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</si>
  <si>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</si>
  <si>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</si>
  <si>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</si>
  <si>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</si>
  <si>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</si>
  <si>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</si>
  <si>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</si>
  <si>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</si>
  <si>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</si>
  <si>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</si>
  <si>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</si>
  <si>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</si>
  <si>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</si>
  <si>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</si>
  <si>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</si>
  <si>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</si>
  <si>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</si>
  <si>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</si>
  <si>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</si>
  <si>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</si>
  <si>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</si>
  <si>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</si>
  <si>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</si>
  <si>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</si>
  <si>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</si>
  <si>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</si>
  <si>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</si>
  <si>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</si>
  <si>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</si>
  <si>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</si>
  <si>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</si>
  <si>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</si>
  <si>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</si>
  <si>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정인호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</si>
  <si>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</si>
  <si>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</si>
  <si>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</si>
  <si>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</si>
  <si>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</si>
  <si>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</si>
  <si>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</si>
  <si>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</si>
  <si>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</si>
  <si>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</si>
  <si>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</si>
  <si>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</si>
  <si>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농협 3520106511413</t>
    <phoneticPr fontId="2" type="noConversion"/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</si>
  <si>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</si>
  <si>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</si>
  <si>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</si>
  <si>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</si>
  <si>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</si>
  <si>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</si>
  <si>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</si>
  <si>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</si>
  <si>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</si>
  <si>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</si>
  <si>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</si>
  <si>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</si>
  <si>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</si>
  <si>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</si>
  <si>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</si>
  <si>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</si>
  <si>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</si>
  <si>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</si>
  <si>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</si>
  <si>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</si>
  <si>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</si>
  <si>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오시현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</si>
  <si>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</si>
  <si>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</si>
  <si>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</si>
  <si>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</si>
  <si>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</si>
  <si>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</si>
  <si>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</si>
  <si>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</si>
  <si>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</si>
  <si>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</si>
  <si>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</si>
  <si>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</si>
  <si>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</si>
  <si>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</si>
  <si>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</si>
  <si>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</si>
  <si>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</si>
  <si>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</si>
  <si>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</si>
  <si>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</si>
  <si>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</si>
  <si>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</si>
  <si>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윤일상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</si>
  <si>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</si>
  <si>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</si>
  <si>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</si>
  <si>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</si>
  <si>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</si>
  <si>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</si>
  <si>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</si>
  <si>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</si>
  <si>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</si>
  <si>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</si>
  <si>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</si>
  <si>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</si>
  <si>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</si>
  <si>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</si>
  <si>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</si>
  <si>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</si>
  <si>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</si>
  <si>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</si>
  <si>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</si>
  <si>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</si>
  <si>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</si>
  <si>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</si>
  <si>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</si>
  <si>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</si>
  <si>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</si>
  <si>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</si>
  <si>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</si>
  <si>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</si>
  <si>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</si>
  <si>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</si>
  <si>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</si>
  <si>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</si>
  <si>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</si>
  <si>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</si>
  <si>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</si>
  <si>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0CK_TCU_CLONE</t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</si>
  <si>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</si>
  <si>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</si>
  <si>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</si>
  <si>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</si>
  <si>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</si>
  <si>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</si>
  <si>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</si>
  <si>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</si>
  <si>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</si>
  <si>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</si>
  <si>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조이오토(대구)_251101_145719.xlsx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</si>
</sst>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13579000</c:v>
                </c:pt>
                <c:pt idx="1">
                  <c:v>6290000</c:v>
                </c:pt>
                <c:pt idx="2">
                  <c:v>5400000</c:v>
                </c:pt>
                <c:pt idx="3">
                  <c:v>5705000</c:v>
                </c:pt>
                <c:pt idx="4">
                  <c:v>7378000</c:v>
                </c:pt>
                <c:pt idx="5">
                  <c:v>3685000</c:v>
                </c:pt>
                <c:pt idx="6">
                  <c:v>3872000</c:v>
                </c:pt>
                <c:pt idx="7">
                  <c:v>2970000</c:v>
                </c:pt>
                <c:pt idx="8">
                  <c:v>2895000</c:v>
                </c:pt>
                <c:pt idx="9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6</c:v>
                      </c:pt>
                      <c:pt idx="3">
                        <c:v>5</c:v>
                      </c:pt>
                      <c:pt idx="4">
                        <c:v>2</c:v>
                      </c:pt>
                      <c:pt idx="5">
                        <c:v>9</c:v>
                      </c:pt>
                      <c:pt idx="6">
                        <c:v>8</c:v>
                      </c:pt>
                      <c:pt idx="7">
                        <c:v>12</c:v>
                      </c:pt>
                      <c:pt idx="8">
                        <c:v>13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3589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abSelected="1" zoomScaleNormal="100" workbookViewId="0">
      <selection activeCell="T2" sqref="T2:U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4098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 t="s">
        <v>4188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1335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57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56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25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1218</v>
      </c>
      <c r="B8" s="424"/>
      <c r="C8" s="424"/>
      <c r="D8" s="424"/>
      <c r="E8" s="425"/>
      <c r="F8" s="426" t="s">
        <v>2161</v>
      </c>
      <c r="G8" s="427"/>
      <c r="H8" s="427"/>
      <c r="I8" s="428"/>
      <c r="J8" s="434">
        <v>1200000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1200000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5705000</v>
      </c>
      <c r="G20" s="318"/>
      <c r="H20" s="318"/>
      <c r="I20" s="319"/>
      <c r="J20" s="355">
        <f>SUM(J8:N19)</f>
        <v>1200000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1200000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6905000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조이오토(대구)</v>
      </c>
      <c r="R21" s="326"/>
      <c r="S21" s="326"/>
      <c r="T21" s="326"/>
      <c r="U21" s="378"/>
    </row>
    <row r="22" spans="1:21" ht="20.100000000000001" customHeight="1" x14ac:dyDescent="0.3">
      <c r="A22" s="305" t="s">
        <v>4190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 t="str">
        <f>T2</f>
        <v>2025-11-01\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조이오토(대구)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대구광역시 북구 연암로42길 43-1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010-4141-9634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대구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VGSNAG3</v>
      </c>
      <c r="B31" s="373"/>
      <c r="C31" s="373"/>
      <c r="D31" s="373"/>
      <c r="E31" s="373"/>
      <c r="F31" s="373" t="str">
        <f>F8</f>
        <v>A7252709011-1</v>
      </c>
      <c r="G31" s="373"/>
      <c r="H31" s="373"/>
      <c r="I31" s="373"/>
      <c r="J31" s="377">
        <f>J8</f>
        <v>1200000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1200000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5705000</v>
      </c>
      <c r="G43" s="318"/>
      <c r="H43" s="318"/>
      <c r="I43" s="319"/>
      <c r="J43" s="355">
        <f>J20</f>
        <v>1200000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1200000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6905000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조이오토(대구)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4188</v>
      </c>
      <c r="C2" s="47" t="s">
        <v>1721</v>
      </c>
      <c r="D2" s="290" t="s">
        <v>1751</v>
      </c>
      <c r="E2" t="s">
        <v>1202</v>
      </c>
      <c r="F2" s="290" t="s">
        <v>1751</v>
      </c>
      <c r="G2">
        <v>1200000</v>
      </c>
      <c r="H2">
        <v>1</v>
      </c>
      <c r="I2" s="226"/>
      <c r="J2" s="226">
        <v>1200000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139"/>
  <sheetViews>
    <sheetView workbookViewId="0">
      <pane xSplit="1" ySplit="1" topLeftCell="B2097" activePane="bottomRight" state="frozen"/>
      <selection activeCell="N26" sqref="N26"/>
      <selection pane="topRight" activeCell="N26" sqref="N26"/>
      <selection pane="bottomLeft" activeCell="N26" sqref="N26"/>
      <selection pane="bottomRight" activeCell="H2122" sqref="H212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2140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3664</v>
      </c>
      <c r="E196" s="292" t="s">
        <v>1858</v>
      </c>
      <c r="F196" s="269" t="s">
        <v>3664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3664</v>
      </c>
      <c r="E236" s="292" t="s">
        <v>1858</v>
      </c>
      <c r="F236" s="269" t="s">
        <v>3664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4035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4035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4035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4035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3664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4035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3906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3906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3906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3906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3906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3906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3906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3906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3906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3906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3906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3906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3906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3906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3906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3906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3906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3906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3906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3906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3906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3906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3906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3906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3906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3906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3906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3906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3906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3906</v>
      </c>
    </row>
    <row r="1490" spans="1:14" x14ac:dyDescent="0.3">
      <c r="A1490" s="271">
        <v>1489</v>
      </c>
      <c r="B1490" s="264">
        <v>45903</v>
      </c>
      <c r="C1490" s="292" t="s">
        <v>3612</v>
      </c>
      <c r="E1490" s="292" t="s">
        <v>3613</v>
      </c>
      <c r="F1490" s="269" t="s">
        <v>3614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3906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3906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3906</v>
      </c>
    </row>
    <row r="1493" spans="1:14" x14ac:dyDescent="0.3">
      <c r="A1493" s="271">
        <v>1492</v>
      </c>
      <c r="B1493" s="264">
        <v>45903</v>
      </c>
      <c r="C1493" s="292" t="s">
        <v>3612</v>
      </c>
      <c r="E1493" s="292" t="s">
        <v>3615</v>
      </c>
      <c r="G1493" s="265">
        <v>150000</v>
      </c>
      <c r="H1493" s="269">
        <v>1</v>
      </c>
      <c r="J1493" s="266" t="s">
        <v>3616</v>
      </c>
      <c r="K1493" s="265">
        <v>165000</v>
      </c>
      <c r="M1493" s="269"/>
      <c r="N1493" t="s">
        <v>3906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3906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3906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3906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3906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3906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3906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3906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3906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3906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3906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3906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3906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3906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3906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3906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3906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3906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3906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3906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3906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3906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3906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4035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3906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3906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3906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3906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3906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3906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3906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3906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3906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3906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3906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3906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3906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3906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3906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3906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3906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3906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3906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3906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3906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3906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3906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3906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3906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3906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3906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3906</v>
      </c>
    </row>
    <row r="1578" spans="1:14" x14ac:dyDescent="0.3">
      <c r="A1578" s="271">
        <v>1577</v>
      </c>
      <c r="B1578" s="264">
        <v>45910</v>
      </c>
      <c r="C1578" s="292" t="s">
        <v>3658</v>
      </c>
      <c r="E1578" s="292" t="s">
        <v>3660</v>
      </c>
      <c r="F1578" s="269" t="s">
        <v>3661</v>
      </c>
      <c r="G1578" s="265">
        <v>150000</v>
      </c>
      <c r="H1578" s="269">
        <v>1</v>
      </c>
      <c r="K1578" s="265">
        <v>150000</v>
      </c>
      <c r="M1578" s="292" t="s">
        <v>3662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3906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3906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3906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3906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3906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3906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3906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3906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3906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3906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3906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3906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3906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3906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3906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3906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3906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3906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3906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3906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3906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3906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3906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3906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3906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3906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3906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3906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3906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3906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3906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3906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3906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3906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3906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3906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3906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3906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3906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3906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3906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3906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3906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3906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3906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3572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3906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3906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3906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3906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3906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3906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3906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3906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3906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3582</v>
      </c>
      <c r="G1667" s="265">
        <v>2200000</v>
      </c>
      <c r="H1667" s="269">
        <v>1</v>
      </c>
      <c r="K1667" s="265">
        <v>2200000</v>
      </c>
      <c r="N1667" t="s">
        <v>3906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3906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3906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3906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3906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3906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3906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3582</v>
      </c>
      <c r="F1675" s="269" t="s">
        <v>3592</v>
      </c>
      <c r="G1675" s="265">
        <v>900000</v>
      </c>
      <c r="H1675" s="269">
        <v>1</v>
      </c>
      <c r="K1675" s="265">
        <v>900000</v>
      </c>
      <c r="N1675" t="s">
        <v>3906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3906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3906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3602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3906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3906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3906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3594</v>
      </c>
      <c r="F1683" s="269" t="s">
        <v>3593</v>
      </c>
      <c r="G1683" s="265">
        <v>300000</v>
      </c>
      <c r="H1683" s="269">
        <v>1</v>
      </c>
      <c r="K1683" s="265">
        <v>300000</v>
      </c>
      <c r="N1683" t="s">
        <v>3906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3906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3591</v>
      </c>
      <c r="F1685" s="269" t="s">
        <v>3590</v>
      </c>
      <c r="G1685" s="265">
        <v>130000</v>
      </c>
      <c r="H1685" s="269">
        <v>1</v>
      </c>
      <c r="K1685" s="265">
        <v>130000</v>
      </c>
      <c r="N1685" t="s">
        <v>3906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3582</v>
      </c>
      <c r="F1686" s="269" t="s">
        <v>3592</v>
      </c>
      <c r="G1686" s="265">
        <v>2200000</v>
      </c>
      <c r="H1686" s="269">
        <v>1</v>
      </c>
      <c r="K1686" s="265">
        <v>2200000</v>
      </c>
      <c r="N1686" t="s">
        <v>3906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3588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3906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3906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3906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3907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3624</v>
      </c>
      <c r="E1692" s="292" t="s">
        <v>3625</v>
      </c>
      <c r="F1692" s="269" t="s">
        <v>3626</v>
      </c>
      <c r="G1692" s="265">
        <v>350000</v>
      </c>
      <c r="H1692" s="269">
        <v>2</v>
      </c>
      <c r="J1692" s="266" t="s">
        <v>3627</v>
      </c>
      <c r="K1692" s="265">
        <v>770000</v>
      </c>
      <c r="N1692" t="s">
        <v>3906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3572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3906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3582</v>
      </c>
      <c r="F1701" s="269" t="s">
        <v>3592</v>
      </c>
      <c r="G1701" s="265">
        <v>2000000</v>
      </c>
      <c r="H1701" s="269">
        <v>1</v>
      </c>
      <c r="K1701" s="265">
        <v>2000000</v>
      </c>
      <c r="N1701" t="s">
        <v>3906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3621</v>
      </c>
      <c r="G1702" s="265">
        <v>250000</v>
      </c>
      <c r="H1702" s="269">
        <v>1</v>
      </c>
      <c r="K1702" s="265">
        <v>250000</v>
      </c>
      <c r="N1702" t="s">
        <v>3906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3623</v>
      </c>
      <c r="L1703" s="265">
        <v>-2000000</v>
      </c>
      <c r="N1703" t="s">
        <v>3906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3906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3710</v>
      </c>
      <c r="E1714" s="292" t="s">
        <v>3711</v>
      </c>
      <c r="F1714" s="269" t="s">
        <v>3712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3906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3906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3906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3906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3906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3906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3906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3646</v>
      </c>
      <c r="N1730" t="s">
        <v>3906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3582</v>
      </c>
      <c r="F1732" s="269" t="s">
        <v>3592</v>
      </c>
      <c r="G1732" s="265">
        <v>2200000</v>
      </c>
      <c r="H1732" s="269">
        <v>1</v>
      </c>
      <c r="K1732" s="265">
        <v>2200000</v>
      </c>
      <c r="N1732" t="s">
        <v>3906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3906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3906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3906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3653</v>
      </c>
      <c r="G1742" s="265">
        <v>150000</v>
      </c>
      <c r="H1742" s="269">
        <v>1</v>
      </c>
      <c r="K1742" s="265">
        <v>150000</v>
      </c>
      <c r="N1742" t="s">
        <v>3906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3655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3906</v>
      </c>
    </row>
    <row r="1746" spans="1:14" x14ac:dyDescent="0.3">
      <c r="A1746" s="271">
        <v>1745</v>
      </c>
      <c r="B1746" s="264">
        <v>45924</v>
      </c>
      <c r="C1746" s="292" t="s">
        <v>3658</v>
      </c>
      <c r="E1746" s="292" t="s">
        <v>3659</v>
      </c>
      <c r="L1746" s="265">
        <v>-150000</v>
      </c>
      <c r="N1746" t="s">
        <v>3906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3657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3906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3664</v>
      </c>
      <c r="G1748" s="265">
        <v>1100000</v>
      </c>
      <c r="H1748" s="269">
        <v>1</v>
      </c>
      <c r="K1748" s="265">
        <v>1100000</v>
      </c>
      <c r="N1748" t="s">
        <v>3906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3582</v>
      </c>
      <c r="F1749" s="269" t="s">
        <v>3592</v>
      </c>
      <c r="G1749" s="265">
        <v>2200000</v>
      </c>
      <c r="H1749" s="269">
        <v>1</v>
      </c>
      <c r="K1749" s="265">
        <v>2200000</v>
      </c>
      <c r="N1749" t="s">
        <v>3906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3906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3906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3906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3906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3906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3906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3906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3906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3906</v>
      </c>
    </row>
    <row r="1768" spans="1:14" x14ac:dyDescent="0.3">
      <c r="A1768" s="271">
        <v>1767</v>
      </c>
      <c r="B1768" s="264">
        <v>45926</v>
      </c>
      <c r="C1768" s="292" t="s">
        <v>3720</v>
      </c>
      <c r="E1768" s="292">
        <v>2703900</v>
      </c>
      <c r="F1768" s="269" t="s">
        <v>3721</v>
      </c>
      <c r="G1768" s="265">
        <v>1000000</v>
      </c>
      <c r="H1768" s="269">
        <v>1</v>
      </c>
      <c r="K1768" s="265">
        <v>1000000</v>
      </c>
      <c r="N1768" t="s">
        <v>3906</v>
      </c>
    </row>
    <row r="1769" spans="1:14" x14ac:dyDescent="0.3">
      <c r="A1769" s="271">
        <v>1768</v>
      </c>
      <c r="B1769" s="264">
        <v>45927</v>
      </c>
      <c r="C1769" s="292" t="s">
        <v>3720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3723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3906</v>
      </c>
    </row>
    <row r="1771" spans="1:14" x14ac:dyDescent="0.3">
      <c r="A1771" s="271">
        <v>1770</v>
      </c>
      <c r="B1771" s="264">
        <v>45927</v>
      </c>
      <c r="C1771" s="292" t="s">
        <v>3723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3728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3729</v>
      </c>
      <c r="N1774" t="s">
        <v>3906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3733</v>
      </c>
      <c r="H1775" s="269">
        <v>1</v>
      </c>
      <c r="K1775" s="265">
        <v>0</v>
      </c>
      <c r="M1775" s="292" t="s">
        <v>3734</v>
      </c>
      <c r="N1775" t="s">
        <v>3906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3740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3742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3906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3906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3906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3906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3906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3747</v>
      </c>
      <c r="N1784" t="s">
        <v>3906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3749</v>
      </c>
      <c r="N1785" t="s">
        <v>3906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3751</v>
      </c>
      <c r="N1786" t="s">
        <v>3906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3906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3906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3906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3906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3906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3906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4035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3906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3906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3906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3758</v>
      </c>
      <c r="L1796" s="265">
        <v>-800000</v>
      </c>
      <c r="N1796" t="s">
        <v>3906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3906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3906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3769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3906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3906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3906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3778</v>
      </c>
      <c r="E1810" s="292" t="s">
        <v>3779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3906</v>
      </c>
    </row>
    <row r="1811" spans="1:14" x14ac:dyDescent="0.3">
      <c r="A1811" s="271">
        <v>1810</v>
      </c>
      <c r="B1811" s="264">
        <v>45930</v>
      </c>
      <c r="C1811" s="292" t="s">
        <v>3778</v>
      </c>
      <c r="E1811" s="292" t="s">
        <v>3780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3776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3777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3781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3782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3784</v>
      </c>
      <c r="E1819" s="292" t="s">
        <v>3785</v>
      </c>
      <c r="F1819" s="269" t="s">
        <v>3786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3655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3816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3816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3825</v>
      </c>
      <c r="F1834" s="269" t="s">
        <v>3824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3819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3829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3819</v>
      </c>
      <c r="E1838" s="292" t="s">
        <v>3833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3849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3629</v>
      </c>
      <c r="F1855" s="269" t="s">
        <v>3628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4105</v>
      </c>
      <c r="D1856" s="295" t="s">
        <v>4106</v>
      </c>
      <c r="E1856" s="292" t="s">
        <v>4107</v>
      </c>
      <c r="F1856" s="269" t="s">
        <v>4108</v>
      </c>
      <c r="G1856" s="265">
        <v>250000</v>
      </c>
      <c r="H1856" s="269">
        <v>1</v>
      </c>
      <c r="K1856" s="265">
        <v>0</v>
      </c>
      <c r="M1856" s="304" t="s">
        <v>3857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3816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3816</v>
      </c>
      <c r="E1870" s="292" t="s">
        <v>3869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3871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3880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3878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3882</v>
      </c>
    </row>
    <row r="1880" spans="1:13" x14ac:dyDescent="0.3">
      <c r="A1880" s="271">
        <v>1879</v>
      </c>
      <c r="B1880" s="264">
        <v>45943</v>
      </c>
      <c r="C1880" s="292" t="s">
        <v>3884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3890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3890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3894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3890</v>
      </c>
      <c r="E1888" s="292" t="s">
        <v>3896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3898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3899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3884</v>
      </c>
      <c r="E1892" s="292" t="s">
        <v>3902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4075</v>
      </c>
      <c r="E1894" s="292" t="s">
        <v>4076</v>
      </c>
      <c r="F1894" s="269" t="s">
        <v>4077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4075</v>
      </c>
      <c r="E1895" s="292" t="s">
        <v>4078</v>
      </c>
      <c r="F1895" s="269" t="s">
        <v>4079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3911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3919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3922</v>
      </c>
      <c r="F1909" s="269" t="s">
        <v>3921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3925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4025</v>
      </c>
      <c r="E1915" s="292" t="s">
        <v>4026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4025</v>
      </c>
      <c r="E1916" s="292" t="s">
        <v>4027</v>
      </c>
      <c r="F1916" s="269" t="s">
        <v>4028</v>
      </c>
      <c r="G1916" s="265">
        <v>1000000</v>
      </c>
      <c r="H1916" s="269">
        <v>1</v>
      </c>
      <c r="J1916" s="266" t="s">
        <v>4029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3928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3928</v>
      </c>
      <c r="E1929" s="292" t="s">
        <v>3941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3942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3816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3816</v>
      </c>
      <c r="E1938" s="292" t="s">
        <v>3957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3942</v>
      </c>
      <c r="E1939" s="292" t="s">
        <v>3958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3961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3967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3967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4030</v>
      </c>
      <c r="E1954" s="292" t="s">
        <v>4031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3972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3976</v>
      </c>
      <c r="E1960" s="292" t="s">
        <v>3975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3664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3664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3983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3986</v>
      </c>
      <c r="F1970" s="269" t="s">
        <v>3985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3928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3928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3928</v>
      </c>
      <c r="E1974" s="292" t="s">
        <v>3991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4122</v>
      </c>
      <c r="E1976" s="292" t="s">
        <v>4123</v>
      </c>
      <c r="F1976" s="269" t="s">
        <v>4124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3997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3999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3961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4013</v>
      </c>
      <c r="F1991" s="269" t="s">
        <v>4012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4021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3997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3999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4166</v>
      </c>
      <c r="D2026" s="295" t="s">
        <v>4106</v>
      </c>
      <c r="E2026" s="292" t="s">
        <v>4167</v>
      </c>
      <c r="F2026" s="269" t="s">
        <v>4168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4145</v>
      </c>
      <c r="D2027" s="295" t="s">
        <v>4106</v>
      </c>
      <c r="E2027" s="292" t="s">
        <v>4148</v>
      </c>
      <c r="F2027" s="269" t="s">
        <v>4149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4086</v>
      </c>
      <c r="E2030" s="292" t="s">
        <v>4087</v>
      </c>
      <c r="F2030" s="269" t="s">
        <v>4088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4074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4067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4063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3961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4059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4059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4059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4059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4059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4080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4063</v>
      </c>
      <c r="E2049" s="292" t="s">
        <v>4081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4059</v>
      </c>
      <c r="E2050" s="292" t="s">
        <v>4082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4104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3961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3961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2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2" x14ac:dyDescent="0.3">
      <c r="A2066" s="58">
        <v>2066</v>
      </c>
      <c r="B2066" s="264">
        <v>45958</v>
      </c>
      <c r="C2066" s="292" t="s">
        <v>4089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2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</row>
    <row r="2068" spans="1:12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</row>
    <row r="2069" spans="1:12" x14ac:dyDescent="0.3">
      <c r="A2069" s="58">
        <v>2069</v>
      </c>
      <c r="B2069" s="264">
        <v>45958</v>
      </c>
      <c r="C2069" s="292" t="s">
        <v>1670</v>
      </c>
      <c r="E2069" s="292" t="s">
        <v>3653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2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2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2" x14ac:dyDescent="0.3">
      <c r="A2072" s="58">
        <v>2072</v>
      </c>
      <c r="B2072" s="264">
        <v>45958</v>
      </c>
      <c r="C2072" s="292" t="s">
        <v>4089</v>
      </c>
      <c r="E2072" s="292" t="s">
        <v>4103</v>
      </c>
      <c r="L2072" s="265">
        <v>-1300000</v>
      </c>
    </row>
    <row r="2073" spans="1:12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2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2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2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2" x14ac:dyDescent="0.3">
      <c r="A2077" s="58">
        <v>2077</v>
      </c>
      <c r="B2077" s="264">
        <v>45959</v>
      </c>
      <c r="C2077" s="292" t="s">
        <v>3148</v>
      </c>
      <c r="E2077" s="292" t="s">
        <v>3629</v>
      </c>
      <c r="F2077" s="269" t="s">
        <v>3628</v>
      </c>
      <c r="G2077" s="265">
        <v>30000</v>
      </c>
      <c r="H2077" s="269">
        <v>1</v>
      </c>
      <c r="K2077" s="265">
        <v>30000</v>
      </c>
    </row>
    <row r="2078" spans="1:12" x14ac:dyDescent="0.3">
      <c r="A2078" s="58">
        <v>2078</v>
      </c>
      <c r="B2078" s="264">
        <v>45959</v>
      </c>
      <c r="C2078" s="292" t="s">
        <v>4109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2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2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4145</v>
      </c>
      <c r="E2082" s="292" t="s">
        <v>4146</v>
      </c>
      <c r="F2082" s="269" t="s">
        <v>4147</v>
      </c>
      <c r="G2082" s="265">
        <v>1100000</v>
      </c>
      <c r="H2082" s="269">
        <v>1</v>
      </c>
      <c r="J2082" s="266" t="s">
        <v>3519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4109</v>
      </c>
      <c r="E2087" s="292" t="s">
        <v>4121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4125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4178</v>
      </c>
      <c r="D2090" s="295" t="s">
        <v>4106</v>
      </c>
      <c r="E2090" s="292" t="s">
        <v>4167</v>
      </c>
      <c r="F2090" s="269" t="s">
        <v>4168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4130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3653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4131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2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2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2" x14ac:dyDescent="0.3">
      <c r="A2099" s="58">
        <v>2099</v>
      </c>
      <c r="B2099" s="264">
        <v>45960</v>
      </c>
      <c r="C2099" s="292" t="s">
        <v>1576</v>
      </c>
      <c r="E2099" s="292" t="s">
        <v>4135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2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2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2" x14ac:dyDescent="0.3">
      <c r="A2102" s="58">
        <v>2102</v>
      </c>
      <c r="B2102" s="264">
        <v>45960</v>
      </c>
      <c r="C2102" s="292" t="s">
        <v>4063</v>
      </c>
      <c r="E2102" s="292" t="s">
        <v>3220</v>
      </c>
      <c r="F2102" s="269" t="s">
        <v>3521</v>
      </c>
      <c r="G2102" s="265">
        <v>1200000</v>
      </c>
      <c r="H2102" s="269">
        <v>1</v>
      </c>
      <c r="K2102" s="265">
        <v>1200000</v>
      </c>
    </row>
    <row r="2103" spans="1:12" x14ac:dyDescent="0.3">
      <c r="A2103" s="58">
        <v>2103</v>
      </c>
      <c r="B2103" s="264">
        <v>45960</v>
      </c>
      <c r="C2103" s="292" t="s">
        <v>4063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2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2" x14ac:dyDescent="0.3">
      <c r="A2105" s="58">
        <v>2105</v>
      </c>
      <c r="B2105" s="264">
        <v>45960</v>
      </c>
      <c r="C2105" s="292" t="s">
        <v>2703</v>
      </c>
      <c r="E2105" s="292" t="s">
        <v>4127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</row>
    <row r="2106" spans="1:12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</row>
    <row r="2107" spans="1:12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</row>
    <row r="2108" spans="1:12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2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2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2" x14ac:dyDescent="0.3">
      <c r="A2111" s="58">
        <v>2111</v>
      </c>
      <c r="B2111" s="264">
        <v>45960</v>
      </c>
      <c r="C2111" s="292" t="s">
        <v>1789</v>
      </c>
      <c r="E2111" s="292" t="s">
        <v>4144</v>
      </c>
      <c r="L2111" s="265">
        <v>-3000000</v>
      </c>
    </row>
    <row r="2112" spans="1:12" x14ac:dyDescent="0.3">
      <c r="A2112" s="58">
        <v>2112</v>
      </c>
      <c r="B2112" s="264">
        <v>45960</v>
      </c>
      <c r="C2112" s="292" t="s">
        <v>4042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4150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4154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4151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3740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4161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4155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4157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4063</v>
      </c>
      <c r="E2120" s="292" t="s">
        <v>4159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1472</v>
      </c>
      <c r="E2121" s="292" t="s">
        <v>2179</v>
      </c>
      <c r="F2121" s="269" t="s">
        <v>1200</v>
      </c>
      <c r="G2121" s="265">
        <v>1500000</v>
      </c>
      <c r="H2121" s="269">
        <v>1</v>
      </c>
      <c r="K2121" s="265">
        <v>1500000</v>
      </c>
    </row>
    <row r="2122" spans="1:12" x14ac:dyDescent="0.3">
      <c r="A2122" s="58">
        <v>2122</v>
      </c>
      <c r="B2122" s="264">
        <v>45961</v>
      </c>
      <c r="C2122" s="292" t="s">
        <v>4170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4127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1579</v>
      </c>
      <c r="E2128" s="292" t="s">
        <v>4179</v>
      </c>
      <c r="F2128" s="269" t="s">
        <v>1200</v>
      </c>
      <c r="G2128" s="265">
        <v>200000</v>
      </c>
      <c r="H2128" s="269">
        <v>1</v>
      </c>
      <c r="K2128" s="265">
        <v>200000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4182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4183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3940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4184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4170</v>
      </c>
      <c r="E2134" s="292" t="s">
        <v>4185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4186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3782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3777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4187</v>
      </c>
      <c r="L2138" s="265">
        <v>-3872000</v>
      </c>
    </row>
    <row r="2139" spans="1:12" x14ac:dyDescent="0.3">
      <c r="A2139" s="58">
        <v>2139</v>
      </c>
      <c r="B2139" s="264" t="s">
        <v>4188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/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45961</v>
      </c>
      <c r="B3" s="235" t="s">
        <v>1126</v>
      </c>
      <c r="C3" s="286">
        <f>SUMIF($B:$B,A3,I:I)</f>
        <v>7515000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11639002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149042500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3781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3782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3783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3814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3816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3816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3818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3825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3819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3832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3819</v>
      </c>
      <c r="D30" s="112" t="s">
        <v>3833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3834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3835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3836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3842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3850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3852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3629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4035</v>
      </c>
      <c r="F48" s="120">
        <v>250000</v>
      </c>
      <c r="G48" s="85">
        <v>1</v>
      </c>
      <c r="I48" s="80">
        <v>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3816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3867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3868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3816</v>
      </c>
      <c r="D62" s="113" t="s">
        <v>3869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3870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3871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3878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3884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3890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3890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3894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3890</v>
      </c>
      <c r="D80" s="113" t="s">
        <v>3896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3898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3899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3884</v>
      </c>
      <c r="D84" s="113" t="s">
        <v>3902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I86" s="80">
        <v>1200000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I87" s="80">
        <v>350000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3909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3911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4029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3928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3939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3928</v>
      </c>
      <c r="D121" s="113" t="s">
        <v>3941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3942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3816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3956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3868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3816</v>
      </c>
      <c r="D130" s="113" t="s">
        <v>3957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3942</v>
      </c>
      <c r="D131" s="113" t="s">
        <v>3958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3940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3959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3961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3963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3967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3967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3972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3967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3911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3976</v>
      </c>
      <c r="D152" s="113" t="s">
        <v>3975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3979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3986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3928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3928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3928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1977</v>
      </c>
      <c r="B169" s="93">
        <v>45951</v>
      </c>
      <c r="C169" s="83" t="s">
        <v>3976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3997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3999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3961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4013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3997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3999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4042</v>
      </c>
      <c r="D218" s="113" t="s">
        <v>2179</v>
      </c>
      <c r="F218" s="120">
        <v>1500000</v>
      </c>
      <c r="G218" s="85">
        <v>1</v>
      </c>
      <c r="I218" s="80">
        <v>0</v>
      </c>
    </row>
    <row r="219" spans="1:10" ht="18" customHeight="1" x14ac:dyDescent="0.3">
      <c r="A219" s="82">
        <v>2027</v>
      </c>
      <c r="B219" s="93">
        <v>45955</v>
      </c>
      <c r="C219" s="83" t="s">
        <v>4042</v>
      </c>
      <c r="D219" s="113" t="s">
        <v>2180</v>
      </c>
      <c r="F219" s="120">
        <v>50000</v>
      </c>
      <c r="G219" s="85">
        <v>1</v>
      </c>
      <c r="I219" s="80">
        <v>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H222" s="126" t="s">
        <v>3142</v>
      </c>
      <c r="I222" s="80">
        <v>1430000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4052</v>
      </c>
      <c r="F224" s="120">
        <v>1550000</v>
      </c>
      <c r="G224" s="85">
        <v>1</v>
      </c>
      <c r="I224" s="80">
        <v>1550000</v>
      </c>
    </row>
    <row r="225" spans="1:10" ht="18" customHeight="1" x14ac:dyDescent="0.3">
      <c r="A225" s="82">
        <v>2033</v>
      </c>
      <c r="B225" s="93">
        <v>45955</v>
      </c>
      <c r="C225" s="83" t="s">
        <v>3928</v>
      </c>
      <c r="D225" s="113" t="s">
        <v>1125</v>
      </c>
      <c r="J225" s="80">
        <v>-1570000</v>
      </c>
    </row>
    <row r="226" spans="1:10" ht="18" customHeight="1" x14ac:dyDescent="0.3">
      <c r="A226" s="82">
        <v>2034</v>
      </c>
      <c r="B226" s="93">
        <v>45957</v>
      </c>
      <c r="C226" s="83" t="s">
        <v>1468</v>
      </c>
      <c r="D226" s="113" t="s">
        <v>4055</v>
      </c>
      <c r="J226" s="80">
        <v>-1500000</v>
      </c>
    </row>
    <row r="227" spans="1:10" ht="18" customHeight="1" x14ac:dyDescent="0.3">
      <c r="A227" s="82">
        <v>2035</v>
      </c>
      <c r="B227" s="93">
        <v>45957</v>
      </c>
      <c r="C227" s="83" t="s">
        <v>1372</v>
      </c>
      <c r="D227" s="113" t="s">
        <v>4085</v>
      </c>
      <c r="J227" s="80">
        <v>-1550000</v>
      </c>
    </row>
    <row r="228" spans="1:10" ht="18" customHeight="1" x14ac:dyDescent="0.3">
      <c r="A228" s="82">
        <v>2036</v>
      </c>
      <c r="B228" s="93">
        <v>45957</v>
      </c>
      <c r="C228" s="83" t="s">
        <v>1576</v>
      </c>
      <c r="D228" s="113" t="s">
        <v>4067</v>
      </c>
      <c r="F228" s="120">
        <v>550000</v>
      </c>
      <c r="G228" s="85">
        <v>1</v>
      </c>
      <c r="H228" s="126">
        <v>55000</v>
      </c>
      <c r="I228" s="80">
        <v>605000</v>
      </c>
    </row>
    <row r="229" spans="1:10" ht="18" customHeight="1" x14ac:dyDescent="0.3">
      <c r="A229" s="82">
        <v>2037</v>
      </c>
      <c r="B229" s="93">
        <v>45957</v>
      </c>
      <c r="C229" s="83" t="s">
        <v>4063</v>
      </c>
      <c r="D229" s="113" t="s">
        <v>3041</v>
      </c>
      <c r="F229" s="120">
        <v>750000</v>
      </c>
      <c r="G229" s="85">
        <v>1</v>
      </c>
      <c r="I229" s="80">
        <v>750000</v>
      </c>
    </row>
    <row r="230" spans="1:10" ht="18" customHeight="1" x14ac:dyDescent="0.3">
      <c r="A230" s="82">
        <v>2038</v>
      </c>
      <c r="B230" s="93">
        <v>45957</v>
      </c>
      <c r="C230" s="83" t="s">
        <v>1746</v>
      </c>
      <c r="D230" s="113" t="s">
        <v>3961</v>
      </c>
      <c r="F230" s="120">
        <v>430000</v>
      </c>
      <c r="G230" s="85">
        <v>1</v>
      </c>
      <c r="H230" s="126">
        <v>43000</v>
      </c>
      <c r="I230" s="80">
        <v>473000</v>
      </c>
    </row>
    <row r="231" spans="1:10" ht="18" customHeight="1" x14ac:dyDescent="0.3">
      <c r="A231" s="82">
        <v>2039</v>
      </c>
      <c r="B231" s="93">
        <v>45957</v>
      </c>
      <c r="C231" s="83" t="s">
        <v>1746</v>
      </c>
      <c r="D231" s="113" t="s">
        <v>2190</v>
      </c>
      <c r="F231" s="120">
        <v>35000</v>
      </c>
      <c r="G231" s="85">
        <v>2</v>
      </c>
      <c r="H231" s="126">
        <v>7000</v>
      </c>
      <c r="I231" s="80">
        <v>77000</v>
      </c>
    </row>
    <row r="232" spans="1:10" ht="18" customHeight="1" x14ac:dyDescent="0.3">
      <c r="A232" s="82">
        <v>2040</v>
      </c>
      <c r="B232" s="93">
        <v>45957</v>
      </c>
      <c r="C232" s="83" t="s">
        <v>1746</v>
      </c>
      <c r="D232" s="113" t="s">
        <v>2189</v>
      </c>
      <c r="F232" s="120">
        <v>70000</v>
      </c>
      <c r="G232" s="85">
        <v>1</v>
      </c>
      <c r="H232" s="126">
        <v>7000</v>
      </c>
      <c r="I232" s="80">
        <v>77000</v>
      </c>
    </row>
    <row r="233" spans="1:10" ht="18" customHeight="1" x14ac:dyDescent="0.3">
      <c r="A233" s="82">
        <v>2041</v>
      </c>
      <c r="B233" s="93">
        <v>45957</v>
      </c>
      <c r="C233" s="83" t="s">
        <v>4059</v>
      </c>
      <c r="D233" s="113" t="s">
        <v>2193</v>
      </c>
      <c r="F233" s="120">
        <v>700000</v>
      </c>
      <c r="G233" s="85">
        <v>1</v>
      </c>
      <c r="H233" s="126">
        <v>70000</v>
      </c>
      <c r="I233" s="80">
        <v>770000</v>
      </c>
    </row>
    <row r="234" spans="1:10" ht="18" customHeight="1" x14ac:dyDescent="0.3">
      <c r="A234" s="82">
        <v>2042</v>
      </c>
      <c r="B234" s="93">
        <v>45957</v>
      </c>
      <c r="C234" s="83" t="s">
        <v>4059</v>
      </c>
      <c r="D234" s="113" t="s">
        <v>3463</v>
      </c>
      <c r="F234" s="120">
        <v>540000</v>
      </c>
      <c r="G234" s="85">
        <v>1</v>
      </c>
      <c r="H234" s="126">
        <v>54000</v>
      </c>
      <c r="I234" s="80">
        <v>594000</v>
      </c>
    </row>
    <row r="235" spans="1:10" ht="18" customHeight="1" x14ac:dyDescent="0.3">
      <c r="A235" s="82">
        <v>2043</v>
      </c>
      <c r="B235" s="93">
        <v>45957</v>
      </c>
      <c r="C235" s="83" t="s">
        <v>4059</v>
      </c>
      <c r="D235" s="113" t="s">
        <v>2189</v>
      </c>
      <c r="F235" s="120">
        <v>70000</v>
      </c>
      <c r="G235" s="85">
        <v>1</v>
      </c>
      <c r="H235" s="126">
        <v>7000</v>
      </c>
      <c r="I235" s="80">
        <v>77000</v>
      </c>
    </row>
    <row r="236" spans="1:10" ht="18" customHeight="1" x14ac:dyDescent="0.3">
      <c r="A236" s="82">
        <v>2044</v>
      </c>
      <c r="B236" s="93">
        <v>45957</v>
      </c>
      <c r="C236" s="83" t="s">
        <v>4059</v>
      </c>
      <c r="D236" s="113" t="s">
        <v>2190</v>
      </c>
      <c r="F236" s="120">
        <v>35000</v>
      </c>
      <c r="G236" s="85">
        <v>1</v>
      </c>
      <c r="H236" s="126">
        <v>3500</v>
      </c>
      <c r="I236" s="80">
        <v>38500</v>
      </c>
    </row>
    <row r="237" spans="1:10" ht="18" customHeight="1" x14ac:dyDescent="0.3">
      <c r="A237" s="82">
        <v>2045</v>
      </c>
      <c r="B237" s="93">
        <v>45957</v>
      </c>
      <c r="C237" s="83" t="s">
        <v>4059</v>
      </c>
      <c r="D237" s="113" t="s">
        <v>2191</v>
      </c>
      <c r="F237" s="120">
        <v>10000</v>
      </c>
      <c r="G237" s="85">
        <v>2</v>
      </c>
      <c r="H237" s="126">
        <v>2000</v>
      </c>
      <c r="I237" s="80">
        <v>22000</v>
      </c>
    </row>
    <row r="238" spans="1:10" ht="18" customHeight="1" x14ac:dyDescent="0.3">
      <c r="A238" s="82">
        <v>2046</v>
      </c>
      <c r="B238" s="93">
        <v>45957</v>
      </c>
      <c r="C238" s="83" t="s">
        <v>1398</v>
      </c>
      <c r="D238" s="113" t="s">
        <v>1742</v>
      </c>
      <c r="F238" s="120">
        <v>650000</v>
      </c>
      <c r="G238" s="85">
        <v>1</v>
      </c>
      <c r="I238" s="80">
        <v>650000</v>
      </c>
    </row>
    <row r="239" spans="1:10" ht="18" customHeight="1" x14ac:dyDescent="0.3">
      <c r="A239" s="82">
        <v>2047</v>
      </c>
      <c r="B239" s="93">
        <v>45957</v>
      </c>
      <c r="C239" s="83" t="s">
        <v>1579</v>
      </c>
      <c r="D239" s="113" t="s">
        <v>1704</v>
      </c>
      <c r="F239" s="120">
        <v>50000</v>
      </c>
      <c r="G239" s="85">
        <v>1</v>
      </c>
      <c r="H239" s="126">
        <v>5000</v>
      </c>
      <c r="I239" s="80">
        <v>55000</v>
      </c>
    </row>
    <row r="240" spans="1:10" ht="18" customHeight="1" x14ac:dyDescent="0.3">
      <c r="A240" s="82">
        <v>2048</v>
      </c>
      <c r="B240" s="93">
        <v>45957</v>
      </c>
      <c r="C240" s="83" t="s">
        <v>1553</v>
      </c>
      <c r="D240" s="113" t="s">
        <v>4080</v>
      </c>
      <c r="J240" s="80">
        <v>-1800000</v>
      </c>
    </row>
    <row r="241" spans="1:10" ht="18" customHeight="1" x14ac:dyDescent="0.3">
      <c r="A241" s="82">
        <v>2049</v>
      </c>
      <c r="B241" s="93">
        <v>45957</v>
      </c>
      <c r="C241" s="83" t="s">
        <v>4063</v>
      </c>
      <c r="D241" s="113" t="s">
        <v>4081</v>
      </c>
      <c r="J241" s="80">
        <v>-750000</v>
      </c>
    </row>
    <row r="242" spans="1:10" ht="18" customHeight="1" x14ac:dyDescent="0.3">
      <c r="A242" s="82">
        <v>2050</v>
      </c>
      <c r="B242" s="93">
        <v>45957</v>
      </c>
      <c r="C242" s="83" t="s">
        <v>4059</v>
      </c>
      <c r="D242" s="113" t="s">
        <v>4082</v>
      </c>
      <c r="J242" s="80">
        <v>-1501500</v>
      </c>
    </row>
    <row r="243" spans="1:10" ht="18" customHeight="1" x14ac:dyDescent="0.3">
      <c r="A243" s="82">
        <v>2051</v>
      </c>
      <c r="B243" s="93">
        <v>45957</v>
      </c>
      <c r="C243" s="83" t="s">
        <v>1398</v>
      </c>
      <c r="D243" s="113" t="s">
        <v>2298</v>
      </c>
      <c r="F243" s="120">
        <v>650000</v>
      </c>
      <c r="G243" s="85">
        <v>1</v>
      </c>
      <c r="I243" s="80">
        <v>650000</v>
      </c>
    </row>
    <row r="244" spans="1:10" ht="18" customHeight="1" x14ac:dyDescent="0.3">
      <c r="A244" s="82">
        <v>2052</v>
      </c>
      <c r="B244" s="93">
        <v>45957</v>
      </c>
      <c r="C244" s="83" t="s">
        <v>1930</v>
      </c>
      <c r="D244" s="113" t="s">
        <v>3463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2053</v>
      </c>
      <c r="B245" s="93">
        <v>45957</v>
      </c>
      <c r="C245" s="83" t="s">
        <v>1930</v>
      </c>
      <c r="D245" s="113" t="s">
        <v>2189</v>
      </c>
      <c r="F245" s="120">
        <v>80000</v>
      </c>
      <c r="G245" s="85">
        <v>1</v>
      </c>
      <c r="I245" s="80">
        <v>80000</v>
      </c>
    </row>
    <row r="246" spans="1:10" ht="18" customHeight="1" x14ac:dyDescent="0.3">
      <c r="A246" s="82">
        <v>2054</v>
      </c>
      <c r="B246" s="93">
        <v>45957</v>
      </c>
      <c r="C246" s="83" t="s">
        <v>1930</v>
      </c>
      <c r="D246" s="113" t="s">
        <v>2190</v>
      </c>
      <c r="F246" s="120">
        <v>30000</v>
      </c>
      <c r="G246" s="85">
        <v>2</v>
      </c>
      <c r="I246" s="80">
        <v>60000</v>
      </c>
    </row>
    <row r="247" spans="1:10" ht="18" customHeight="1" x14ac:dyDescent="0.3">
      <c r="A247" s="82">
        <v>2055</v>
      </c>
      <c r="B247" s="93">
        <v>45958</v>
      </c>
      <c r="C247" s="83" t="s">
        <v>2782</v>
      </c>
      <c r="D247" s="113" t="s">
        <v>4120</v>
      </c>
      <c r="J247" s="80">
        <v>-1550000</v>
      </c>
    </row>
    <row r="248" spans="1:10" ht="18" customHeight="1" x14ac:dyDescent="0.3">
      <c r="A248" s="82">
        <v>2056</v>
      </c>
      <c r="B248" s="93">
        <v>45958</v>
      </c>
      <c r="C248" s="83" t="s">
        <v>1436</v>
      </c>
      <c r="D248" s="113" t="s">
        <v>1125</v>
      </c>
      <c r="J248" s="80">
        <v>-1430000</v>
      </c>
    </row>
    <row r="249" spans="1:10" ht="18" customHeight="1" x14ac:dyDescent="0.3">
      <c r="A249" s="82">
        <v>2057</v>
      </c>
      <c r="B249" s="93">
        <v>45958</v>
      </c>
      <c r="C249" s="83" t="s">
        <v>1893</v>
      </c>
      <c r="D249" s="113" t="s">
        <v>1202</v>
      </c>
      <c r="F249" s="120">
        <v>1200000</v>
      </c>
      <c r="G249" s="85">
        <v>1</v>
      </c>
      <c r="I249" s="80">
        <v>1200000</v>
      </c>
    </row>
    <row r="250" spans="1:10" ht="18" customHeight="1" x14ac:dyDescent="0.3">
      <c r="A250" s="82">
        <v>2058</v>
      </c>
      <c r="B250" s="93">
        <v>45958</v>
      </c>
      <c r="C250" s="83" t="s">
        <v>1172</v>
      </c>
      <c r="D250" s="113" t="s">
        <v>1560</v>
      </c>
      <c r="F250" s="120">
        <v>1600000</v>
      </c>
      <c r="G250" s="85">
        <v>1</v>
      </c>
      <c r="I250" s="80">
        <v>1600000</v>
      </c>
    </row>
    <row r="251" spans="1:10" ht="18" customHeight="1" x14ac:dyDescent="0.3">
      <c r="A251" s="82">
        <v>2059</v>
      </c>
      <c r="B251" s="93">
        <v>45958</v>
      </c>
      <c r="C251" s="83" t="s">
        <v>1018</v>
      </c>
      <c r="D251" s="113" t="s">
        <v>3909</v>
      </c>
      <c r="F251" s="120">
        <v>80000</v>
      </c>
      <c r="G251" s="85">
        <v>1</v>
      </c>
      <c r="I251" s="80">
        <v>80000</v>
      </c>
    </row>
    <row r="252" spans="1:10" ht="18" customHeight="1" x14ac:dyDescent="0.3">
      <c r="A252" s="82">
        <v>2060</v>
      </c>
      <c r="B252" s="93">
        <v>45958</v>
      </c>
      <c r="C252" s="83" t="s">
        <v>1746</v>
      </c>
      <c r="D252" s="113" t="s">
        <v>3961</v>
      </c>
      <c r="F252" s="120">
        <v>430000</v>
      </c>
      <c r="G252" s="85">
        <v>1</v>
      </c>
      <c r="H252" s="126">
        <v>43000</v>
      </c>
      <c r="I252" s="80">
        <v>473000</v>
      </c>
    </row>
    <row r="253" spans="1:10" ht="18" customHeight="1" x14ac:dyDescent="0.3">
      <c r="A253" s="82">
        <v>2061</v>
      </c>
      <c r="B253" s="93">
        <v>45958</v>
      </c>
      <c r="C253" s="83" t="s">
        <v>1746</v>
      </c>
      <c r="D253" s="113" t="s">
        <v>2187</v>
      </c>
      <c r="F253" s="120">
        <v>130000</v>
      </c>
      <c r="G253" s="85">
        <v>1</v>
      </c>
      <c r="H253" s="126">
        <v>13000</v>
      </c>
      <c r="I253" s="80">
        <v>143000</v>
      </c>
    </row>
    <row r="254" spans="1:10" ht="18" customHeight="1" x14ac:dyDescent="0.3">
      <c r="A254" s="82">
        <v>2062</v>
      </c>
      <c r="B254" s="93">
        <v>45958</v>
      </c>
      <c r="C254" s="83" t="s">
        <v>1746</v>
      </c>
      <c r="D254" s="113" t="s">
        <v>2189</v>
      </c>
      <c r="F254" s="120">
        <v>70000</v>
      </c>
      <c r="G254" s="85">
        <v>1</v>
      </c>
      <c r="H254" s="126">
        <v>7000</v>
      </c>
      <c r="I254" s="80">
        <v>77000</v>
      </c>
    </row>
    <row r="255" spans="1:10" ht="18" customHeight="1" x14ac:dyDescent="0.3">
      <c r="A255" s="82">
        <v>2063</v>
      </c>
      <c r="B255" s="93">
        <v>45958</v>
      </c>
      <c r="C255" s="83" t="s">
        <v>1398</v>
      </c>
      <c r="D255" s="113" t="s">
        <v>3961</v>
      </c>
      <c r="F255" s="120">
        <v>400000</v>
      </c>
      <c r="G255" s="85">
        <v>1</v>
      </c>
      <c r="I255" s="80">
        <v>400000</v>
      </c>
    </row>
    <row r="256" spans="1:10" ht="18" customHeight="1" x14ac:dyDescent="0.3">
      <c r="A256" s="82">
        <v>2064</v>
      </c>
      <c r="B256" s="93">
        <v>45958</v>
      </c>
      <c r="C256" s="83" t="s">
        <v>1398</v>
      </c>
      <c r="D256" s="113" t="s">
        <v>2190</v>
      </c>
      <c r="F256" s="120">
        <v>30000</v>
      </c>
      <c r="G256" s="85">
        <v>2</v>
      </c>
      <c r="I256" s="80">
        <v>60000</v>
      </c>
    </row>
    <row r="257" spans="1:10" ht="18" customHeight="1" x14ac:dyDescent="0.3">
      <c r="A257" s="82">
        <v>2065</v>
      </c>
      <c r="B257" s="93">
        <v>45958</v>
      </c>
      <c r="C257" s="83" t="s">
        <v>1398</v>
      </c>
      <c r="D257" s="113" t="s">
        <v>2191</v>
      </c>
      <c r="F257" s="120">
        <v>10000</v>
      </c>
      <c r="G257" s="85">
        <v>1</v>
      </c>
      <c r="I257" s="80">
        <v>10000</v>
      </c>
    </row>
    <row r="258" spans="1:10" ht="18" customHeight="1" x14ac:dyDescent="0.3">
      <c r="A258" s="82">
        <v>2066</v>
      </c>
      <c r="B258" s="93">
        <v>45958</v>
      </c>
      <c r="C258" s="83" t="s">
        <v>4089</v>
      </c>
      <c r="D258" s="113" t="s">
        <v>1204</v>
      </c>
      <c r="F258" s="120">
        <v>1300000</v>
      </c>
      <c r="G258" s="85">
        <v>1</v>
      </c>
      <c r="I258" s="80">
        <v>1300000</v>
      </c>
    </row>
    <row r="259" spans="1:10" ht="18" customHeight="1" x14ac:dyDescent="0.3">
      <c r="A259" s="82">
        <v>2067</v>
      </c>
      <c r="B259" s="93">
        <v>45958</v>
      </c>
      <c r="C259" s="83" t="s">
        <v>1670</v>
      </c>
      <c r="D259" s="113" t="s">
        <v>2201</v>
      </c>
      <c r="F259" s="120">
        <v>1900000</v>
      </c>
      <c r="G259" s="85">
        <v>1</v>
      </c>
      <c r="H259" s="126">
        <v>190000</v>
      </c>
      <c r="I259" s="80">
        <v>2090000</v>
      </c>
    </row>
    <row r="260" spans="1:10" ht="18" customHeight="1" x14ac:dyDescent="0.3">
      <c r="A260" s="82">
        <v>2068</v>
      </c>
      <c r="B260" s="93">
        <v>45958</v>
      </c>
      <c r="C260" s="83" t="s">
        <v>1670</v>
      </c>
      <c r="D260" s="113" t="s">
        <v>2180</v>
      </c>
      <c r="F260" s="120">
        <v>50000</v>
      </c>
      <c r="G260" s="85">
        <v>1</v>
      </c>
      <c r="H260" s="126">
        <v>5000</v>
      </c>
      <c r="I260" s="80">
        <v>55000</v>
      </c>
    </row>
    <row r="261" spans="1:10" ht="18" customHeight="1" x14ac:dyDescent="0.3">
      <c r="A261" s="82">
        <v>2069</v>
      </c>
      <c r="B261" s="93">
        <v>45958</v>
      </c>
      <c r="C261" s="83" t="s">
        <v>1670</v>
      </c>
      <c r="D261" s="113" t="s">
        <v>3653</v>
      </c>
      <c r="F261" s="120">
        <v>150000</v>
      </c>
      <c r="G261" s="85">
        <v>1</v>
      </c>
      <c r="H261" s="126">
        <v>15000</v>
      </c>
      <c r="I261" s="80">
        <v>165000</v>
      </c>
    </row>
    <row r="262" spans="1:10" ht="18" customHeight="1" x14ac:dyDescent="0.3">
      <c r="A262" s="82">
        <v>2070</v>
      </c>
      <c r="B262" s="93">
        <v>45958</v>
      </c>
      <c r="C262" s="83" t="s">
        <v>1585</v>
      </c>
      <c r="D262" s="113" t="s">
        <v>1125</v>
      </c>
      <c r="J262" s="80">
        <v>-1848000</v>
      </c>
    </row>
    <row r="263" spans="1:10" ht="18" customHeight="1" x14ac:dyDescent="0.3">
      <c r="A263" s="82">
        <v>2071</v>
      </c>
      <c r="B263" s="93">
        <v>45958</v>
      </c>
      <c r="C263" s="83" t="s">
        <v>1443</v>
      </c>
      <c r="D263" s="113" t="s">
        <v>2055</v>
      </c>
      <c r="J263" s="80">
        <v>-9000000</v>
      </c>
    </row>
    <row r="264" spans="1:10" ht="18" customHeight="1" x14ac:dyDescent="0.3">
      <c r="A264" s="82">
        <v>2072</v>
      </c>
      <c r="B264" s="93">
        <v>45958</v>
      </c>
      <c r="C264" s="83" t="s">
        <v>4089</v>
      </c>
      <c r="D264" s="113" t="s">
        <v>4103</v>
      </c>
      <c r="J264" s="80">
        <v>-1300000</v>
      </c>
    </row>
    <row r="265" spans="1:10" ht="18" customHeight="1" x14ac:dyDescent="0.3">
      <c r="A265" s="82">
        <v>2073</v>
      </c>
      <c r="B265" s="93">
        <v>45959</v>
      </c>
      <c r="C265" s="83" t="s">
        <v>1398</v>
      </c>
      <c r="D265" s="113" t="s">
        <v>2187</v>
      </c>
      <c r="F265" s="120">
        <v>130000</v>
      </c>
      <c r="G265" s="85">
        <v>1</v>
      </c>
      <c r="I265" s="80">
        <v>130000</v>
      </c>
    </row>
    <row r="266" spans="1:10" ht="18" customHeight="1" x14ac:dyDescent="0.3">
      <c r="A266" s="82">
        <v>2074</v>
      </c>
      <c r="B266" s="93">
        <v>45959</v>
      </c>
      <c r="C266" s="83" t="s">
        <v>3148</v>
      </c>
      <c r="D266" s="113" t="s">
        <v>3215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2075</v>
      </c>
      <c r="B267" s="93">
        <v>45959</v>
      </c>
      <c r="C267" s="83" t="s">
        <v>3148</v>
      </c>
      <c r="D267" s="113" t="s">
        <v>2111</v>
      </c>
      <c r="F267" s="120">
        <v>65000</v>
      </c>
      <c r="G267" s="85">
        <v>1</v>
      </c>
      <c r="I267" s="80">
        <v>65000</v>
      </c>
    </row>
    <row r="268" spans="1:10" ht="18" customHeight="1" x14ac:dyDescent="0.3">
      <c r="A268" s="82">
        <v>2076</v>
      </c>
      <c r="B268" s="93">
        <v>45959</v>
      </c>
      <c r="C268" s="83" t="s">
        <v>3148</v>
      </c>
      <c r="D268" s="113" t="s">
        <v>2798</v>
      </c>
      <c r="F268" s="120">
        <v>330000</v>
      </c>
      <c r="G268" s="85">
        <v>1</v>
      </c>
      <c r="I268" s="80">
        <v>330000</v>
      </c>
    </row>
    <row r="269" spans="1:10" ht="18" customHeight="1" x14ac:dyDescent="0.3">
      <c r="A269" s="82">
        <v>2077</v>
      </c>
      <c r="B269" s="93">
        <v>45959</v>
      </c>
      <c r="C269" s="83" t="s">
        <v>3148</v>
      </c>
      <c r="D269" s="113" t="s">
        <v>3629</v>
      </c>
      <c r="F269" s="120">
        <v>30000</v>
      </c>
      <c r="G269" s="85">
        <v>1</v>
      </c>
      <c r="I269" s="80">
        <v>30000</v>
      </c>
    </row>
    <row r="270" spans="1:10" ht="18" customHeight="1" x14ac:dyDescent="0.3">
      <c r="A270" s="82">
        <v>2078</v>
      </c>
      <c r="B270" s="93">
        <v>45959</v>
      </c>
      <c r="C270" s="83" t="s">
        <v>4109</v>
      </c>
      <c r="D270" s="113" t="s">
        <v>2918</v>
      </c>
      <c r="F270" s="120">
        <v>396000</v>
      </c>
      <c r="G270" s="85">
        <v>1</v>
      </c>
      <c r="I270" s="80">
        <v>396000</v>
      </c>
    </row>
    <row r="271" spans="1:10" ht="18" customHeight="1" x14ac:dyDescent="0.3">
      <c r="A271" s="82">
        <v>2079</v>
      </c>
      <c r="B271" s="93">
        <v>45959</v>
      </c>
      <c r="C271" s="83" t="s">
        <v>1811</v>
      </c>
      <c r="D271" s="113" t="s">
        <v>1202</v>
      </c>
      <c r="F271" s="120">
        <v>1200000</v>
      </c>
      <c r="G271" s="85">
        <v>1</v>
      </c>
      <c r="H271" s="126">
        <v>120000</v>
      </c>
      <c r="I271" s="80">
        <v>1320000</v>
      </c>
    </row>
    <row r="272" spans="1:10" ht="18" customHeight="1" x14ac:dyDescent="0.3">
      <c r="A272" s="82">
        <v>2080</v>
      </c>
      <c r="B272" s="93">
        <v>45959</v>
      </c>
      <c r="C272" s="83" t="s">
        <v>1811</v>
      </c>
      <c r="D272" s="113" t="s">
        <v>1495</v>
      </c>
      <c r="F272" s="120">
        <v>350000</v>
      </c>
      <c r="G272" s="85">
        <v>1</v>
      </c>
      <c r="H272" s="126">
        <v>35000</v>
      </c>
      <c r="I272" s="80">
        <v>385000</v>
      </c>
    </row>
    <row r="273" spans="1:10" ht="18" customHeight="1" x14ac:dyDescent="0.3">
      <c r="A273" s="82">
        <v>2081</v>
      </c>
      <c r="B273" s="93">
        <v>45959</v>
      </c>
      <c r="C273" s="83" t="s">
        <v>1811</v>
      </c>
      <c r="D273" s="113" t="s">
        <v>1518</v>
      </c>
      <c r="F273" s="120">
        <v>30000</v>
      </c>
      <c r="G273" s="85">
        <v>1</v>
      </c>
      <c r="H273" s="126">
        <v>3000</v>
      </c>
      <c r="I273" s="80">
        <v>33000</v>
      </c>
    </row>
    <row r="274" spans="1:10" ht="18" customHeight="1" x14ac:dyDescent="0.3">
      <c r="A274" s="82">
        <v>2082</v>
      </c>
      <c r="B274" s="93">
        <v>45959</v>
      </c>
      <c r="C274" s="83" t="s">
        <v>4042</v>
      </c>
      <c r="D274" s="113" t="s">
        <v>2417</v>
      </c>
      <c r="F274" s="120">
        <v>1100000</v>
      </c>
      <c r="G274" s="85">
        <v>1</v>
      </c>
      <c r="H274" s="126" t="s">
        <v>3519</v>
      </c>
      <c r="I274" s="80">
        <v>1210000</v>
      </c>
    </row>
    <row r="275" spans="1:10" ht="18" customHeight="1" x14ac:dyDescent="0.3">
      <c r="A275" s="82">
        <v>2083</v>
      </c>
      <c r="B275" s="93">
        <v>45959</v>
      </c>
      <c r="C275" s="83" t="s">
        <v>1746</v>
      </c>
      <c r="D275" s="113" t="s">
        <v>2185</v>
      </c>
      <c r="F275" s="120">
        <v>1000000</v>
      </c>
      <c r="G275" s="85">
        <v>1</v>
      </c>
      <c r="H275" s="126">
        <v>100000</v>
      </c>
      <c r="I275" s="80">
        <v>1100000</v>
      </c>
    </row>
    <row r="276" spans="1:10" ht="18" customHeight="1" x14ac:dyDescent="0.3">
      <c r="A276" s="82">
        <v>2084</v>
      </c>
      <c r="B276" s="93">
        <v>45959</v>
      </c>
      <c r="C276" s="83" t="s">
        <v>1448</v>
      </c>
      <c r="D276" s="113" t="s">
        <v>3463</v>
      </c>
      <c r="F276" s="120">
        <v>526364</v>
      </c>
      <c r="G276" s="85">
        <v>1</v>
      </c>
      <c r="H276" s="126">
        <v>52636</v>
      </c>
      <c r="I276" s="80">
        <v>579000</v>
      </c>
    </row>
    <row r="277" spans="1:10" ht="18" customHeight="1" x14ac:dyDescent="0.3">
      <c r="A277" s="82">
        <v>2085</v>
      </c>
      <c r="B277" s="93">
        <v>45959</v>
      </c>
      <c r="C277" s="83" t="s">
        <v>1448</v>
      </c>
      <c r="D277" s="113" t="s">
        <v>2189</v>
      </c>
      <c r="F277" s="120">
        <v>70000</v>
      </c>
      <c r="G277" s="85">
        <v>1</v>
      </c>
      <c r="H277" s="126">
        <v>7000</v>
      </c>
      <c r="I277" s="80">
        <v>77000</v>
      </c>
    </row>
    <row r="278" spans="1:10" ht="18" customHeight="1" x14ac:dyDescent="0.3">
      <c r="A278" s="82">
        <v>2086</v>
      </c>
      <c r="B278" s="93">
        <v>45959</v>
      </c>
      <c r="C278" s="83" t="s">
        <v>1448</v>
      </c>
      <c r="D278" s="113" t="s">
        <v>2190</v>
      </c>
      <c r="F278" s="120">
        <v>35000</v>
      </c>
      <c r="G278" s="85">
        <v>1</v>
      </c>
      <c r="H278" s="126">
        <v>3500</v>
      </c>
      <c r="I278" s="80">
        <v>38500</v>
      </c>
    </row>
    <row r="279" spans="1:10" ht="18" customHeight="1" x14ac:dyDescent="0.3">
      <c r="A279" s="82">
        <v>2087</v>
      </c>
      <c r="B279" s="93">
        <v>45959</v>
      </c>
      <c r="C279" s="83" t="s">
        <v>4109</v>
      </c>
      <c r="D279" s="113" t="s">
        <v>4143</v>
      </c>
      <c r="J279" s="80">
        <v>-396000</v>
      </c>
    </row>
    <row r="280" spans="1:10" ht="18" customHeight="1" x14ac:dyDescent="0.3">
      <c r="A280" s="82">
        <v>2088</v>
      </c>
      <c r="B280" s="93">
        <v>45959</v>
      </c>
      <c r="C280" s="83" t="s">
        <v>1866</v>
      </c>
      <c r="D280" s="113" t="s">
        <v>3939</v>
      </c>
      <c r="J280" s="80">
        <v>-1200000</v>
      </c>
    </row>
    <row r="281" spans="1:10" ht="18" customHeight="1" x14ac:dyDescent="0.3">
      <c r="A281" s="82">
        <v>2089</v>
      </c>
      <c r="B281" s="93">
        <v>45960</v>
      </c>
      <c r="C281" s="83" t="s">
        <v>1472</v>
      </c>
      <c r="D281" s="113" t="s">
        <v>4125</v>
      </c>
      <c r="J281" s="80">
        <v>-2140000</v>
      </c>
    </row>
    <row r="282" spans="1:10" ht="18" customHeight="1" x14ac:dyDescent="0.3">
      <c r="A282" s="82">
        <v>2090</v>
      </c>
      <c r="B282" s="93">
        <v>45960</v>
      </c>
      <c r="C282" s="83" t="s">
        <v>1579</v>
      </c>
      <c r="D282" s="113" t="s">
        <v>2179</v>
      </c>
      <c r="F282" s="120">
        <v>1500000</v>
      </c>
      <c r="G282" s="85">
        <v>1</v>
      </c>
      <c r="H282" s="126">
        <v>0</v>
      </c>
      <c r="I282" s="80">
        <v>0</v>
      </c>
    </row>
    <row r="283" spans="1:10" ht="18" customHeight="1" x14ac:dyDescent="0.3">
      <c r="A283" s="82">
        <v>2091</v>
      </c>
      <c r="B283" s="93">
        <v>45960</v>
      </c>
      <c r="C283" s="83" t="s">
        <v>1579</v>
      </c>
      <c r="D283" s="113" t="s">
        <v>2180</v>
      </c>
      <c r="F283" s="120">
        <v>50000</v>
      </c>
      <c r="G283" s="85">
        <v>1</v>
      </c>
      <c r="H283" s="126">
        <v>5000</v>
      </c>
      <c r="I283" s="80">
        <v>55000</v>
      </c>
    </row>
    <row r="284" spans="1:10" ht="18" customHeight="1" x14ac:dyDescent="0.3">
      <c r="A284" s="82">
        <v>2092</v>
      </c>
      <c r="B284" s="93">
        <v>45960</v>
      </c>
      <c r="C284" s="83" t="s">
        <v>1472</v>
      </c>
      <c r="D284" s="113" t="s">
        <v>2201</v>
      </c>
      <c r="F284" s="120">
        <v>1900000</v>
      </c>
      <c r="G284" s="85">
        <v>1</v>
      </c>
      <c r="I284" s="80">
        <v>1900000</v>
      </c>
    </row>
    <row r="285" spans="1:10" ht="18" customHeight="1" x14ac:dyDescent="0.3">
      <c r="A285" s="82">
        <v>2093</v>
      </c>
      <c r="B285" s="93">
        <v>45960</v>
      </c>
      <c r="C285" s="83" t="s">
        <v>1472</v>
      </c>
      <c r="D285" s="113" t="s">
        <v>3653</v>
      </c>
      <c r="F285" s="120">
        <v>150000</v>
      </c>
      <c r="G285" s="85">
        <v>1</v>
      </c>
      <c r="I285" s="80">
        <v>150000</v>
      </c>
    </row>
    <row r="286" spans="1:10" ht="18" customHeight="1" x14ac:dyDescent="0.3">
      <c r="A286" s="82">
        <v>2094</v>
      </c>
      <c r="B286" s="93">
        <v>45960</v>
      </c>
      <c r="C286" s="83" t="s">
        <v>1472</v>
      </c>
      <c r="D286" s="113" t="s">
        <v>2417</v>
      </c>
      <c r="F286" s="120">
        <v>1100000</v>
      </c>
      <c r="G286" s="85">
        <v>1</v>
      </c>
      <c r="I286" s="80">
        <v>1100000</v>
      </c>
    </row>
    <row r="287" spans="1:10" ht="18" customHeight="1" x14ac:dyDescent="0.3">
      <c r="A287" s="82">
        <v>2095</v>
      </c>
      <c r="B287" s="93">
        <v>45960</v>
      </c>
      <c r="C287" s="83" t="s">
        <v>2963</v>
      </c>
      <c r="D287" s="113" t="s">
        <v>2918</v>
      </c>
      <c r="F287" s="120">
        <v>360000</v>
      </c>
      <c r="G287" s="85">
        <v>1</v>
      </c>
      <c r="I287" s="80">
        <v>360000</v>
      </c>
    </row>
    <row r="288" spans="1:10" ht="18" customHeight="1" x14ac:dyDescent="0.3">
      <c r="A288" s="82">
        <v>2096</v>
      </c>
      <c r="B288" s="93">
        <v>45960</v>
      </c>
      <c r="C288" s="83" t="s">
        <v>3200</v>
      </c>
      <c r="D288" s="113" t="s">
        <v>2090</v>
      </c>
      <c r="F288" s="120">
        <v>400000</v>
      </c>
      <c r="G288" s="85">
        <v>1</v>
      </c>
      <c r="I288" s="80">
        <v>400000</v>
      </c>
    </row>
    <row r="289" spans="1:10" ht="18" customHeight="1" x14ac:dyDescent="0.3">
      <c r="A289" s="82">
        <v>2097</v>
      </c>
      <c r="B289" s="93">
        <v>45960</v>
      </c>
      <c r="C289" s="83" t="s">
        <v>1746</v>
      </c>
      <c r="D289" s="113" t="s">
        <v>2185</v>
      </c>
      <c r="F289" s="120">
        <v>1000000</v>
      </c>
      <c r="G289" s="85">
        <v>1</v>
      </c>
      <c r="H289" s="126">
        <v>100000</v>
      </c>
      <c r="I289" s="80">
        <v>1100000</v>
      </c>
    </row>
    <row r="290" spans="1:10" ht="18" customHeight="1" x14ac:dyDescent="0.3">
      <c r="A290" s="82">
        <v>2098</v>
      </c>
      <c r="B290" s="93">
        <v>45960</v>
      </c>
      <c r="C290" s="83" t="s">
        <v>1746</v>
      </c>
      <c r="D290" s="113" t="s">
        <v>1518</v>
      </c>
      <c r="F290" s="120">
        <v>20000</v>
      </c>
      <c r="G290" s="85">
        <v>1</v>
      </c>
      <c r="H290" s="126">
        <v>2000</v>
      </c>
      <c r="I290" s="80">
        <v>22000</v>
      </c>
    </row>
    <row r="291" spans="1:10" ht="18" customHeight="1" x14ac:dyDescent="0.3">
      <c r="A291" s="82">
        <v>2099</v>
      </c>
      <c r="B291" s="93">
        <v>45960</v>
      </c>
      <c r="C291" s="83" t="s">
        <v>1576</v>
      </c>
      <c r="D291" s="113" t="s">
        <v>4135</v>
      </c>
      <c r="F291" s="120">
        <v>450000</v>
      </c>
      <c r="G291" s="85">
        <v>1</v>
      </c>
      <c r="H291" s="126">
        <v>45000</v>
      </c>
      <c r="I291" s="80">
        <v>495000</v>
      </c>
    </row>
    <row r="292" spans="1:10" ht="18" customHeight="1" x14ac:dyDescent="0.3">
      <c r="A292" s="82">
        <v>2100</v>
      </c>
      <c r="B292" s="93">
        <v>45960</v>
      </c>
      <c r="C292" s="83" t="s">
        <v>1576</v>
      </c>
      <c r="D292" s="113" t="s">
        <v>1518</v>
      </c>
      <c r="F292" s="120">
        <v>20000</v>
      </c>
      <c r="G292" s="85">
        <v>1</v>
      </c>
      <c r="H292" s="126">
        <v>2000</v>
      </c>
      <c r="I292" s="80">
        <v>22000</v>
      </c>
    </row>
    <row r="293" spans="1:10" ht="18" customHeight="1" x14ac:dyDescent="0.3">
      <c r="A293" s="82">
        <v>2101</v>
      </c>
      <c r="B293" s="93">
        <v>45960</v>
      </c>
      <c r="C293" s="83" t="s">
        <v>1976</v>
      </c>
      <c r="D293" s="113" t="s">
        <v>3220</v>
      </c>
      <c r="F293" s="120">
        <v>1000000</v>
      </c>
      <c r="G293" s="85">
        <v>1</v>
      </c>
      <c r="H293" s="126">
        <v>100000</v>
      </c>
      <c r="I293" s="80">
        <v>1100000</v>
      </c>
    </row>
    <row r="294" spans="1:10" ht="18" customHeight="1" x14ac:dyDescent="0.3">
      <c r="A294" s="82">
        <v>2102</v>
      </c>
      <c r="B294" s="93">
        <v>45960</v>
      </c>
      <c r="C294" s="83" t="s">
        <v>4063</v>
      </c>
      <c r="D294" s="113" t="s">
        <v>3220</v>
      </c>
      <c r="F294" s="120">
        <v>1200000</v>
      </c>
      <c r="G294" s="85">
        <v>1</v>
      </c>
      <c r="I294" s="80">
        <v>1200000</v>
      </c>
    </row>
    <row r="295" spans="1:10" ht="18" customHeight="1" x14ac:dyDescent="0.3">
      <c r="A295" s="82">
        <v>2103</v>
      </c>
      <c r="B295" s="93">
        <v>45960</v>
      </c>
      <c r="C295" s="83" t="s">
        <v>4063</v>
      </c>
      <c r="D295" s="113" t="s">
        <v>1518</v>
      </c>
      <c r="F295" s="120">
        <v>20000</v>
      </c>
      <c r="G295" s="85">
        <v>1</v>
      </c>
      <c r="I295" s="80">
        <v>20000</v>
      </c>
    </row>
    <row r="296" spans="1:10" ht="18" customHeight="1" x14ac:dyDescent="0.3">
      <c r="A296" s="82">
        <v>2104</v>
      </c>
      <c r="B296" s="93">
        <v>45960</v>
      </c>
      <c r="C296" s="83" t="s">
        <v>1305</v>
      </c>
      <c r="D296" s="113" t="s">
        <v>3050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2105</v>
      </c>
      <c r="B297" s="93">
        <v>45960</v>
      </c>
      <c r="C297" s="83" t="s">
        <v>2703</v>
      </c>
      <c r="D297" s="113" t="s">
        <v>4127</v>
      </c>
      <c r="F297" s="120">
        <v>800000</v>
      </c>
      <c r="G297" s="85">
        <v>1</v>
      </c>
      <c r="H297" s="126">
        <v>80000</v>
      </c>
      <c r="I297" s="80">
        <v>880000</v>
      </c>
    </row>
    <row r="298" spans="1:10" ht="18" customHeight="1" x14ac:dyDescent="0.3">
      <c r="A298" s="82">
        <v>2106</v>
      </c>
      <c r="B298" s="93">
        <v>45960</v>
      </c>
      <c r="C298" s="83" t="s">
        <v>1670</v>
      </c>
      <c r="D298" s="113" t="s">
        <v>1202</v>
      </c>
      <c r="F298" s="120">
        <v>1200000</v>
      </c>
      <c r="G298" s="85">
        <v>1</v>
      </c>
      <c r="H298" s="126">
        <v>120000</v>
      </c>
      <c r="I298" s="80">
        <v>1320000</v>
      </c>
    </row>
    <row r="299" spans="1:10" ht="18" customHeight="1" x14ac:dyDescent="0.3">
      <c r="A299" s="82">
        <v>2107</v>
      </c>
      <c r="B299" s="93">
        <v>45960</v>
      </c>
      <c r="C299" s="83" t="s">
        <v>1670</v>
      </c>
      <c r="D299" s="113" t="s">
        <v>1495</v>
      </c>
      <c r="F299" s="120">
        <v>350000</v>
      </c>
      <c r="G299" s="85">
        <v>1</v>
      </c>
      <c r="H299" s="126">
        <v>35000</v>
      </c>
      <c r="I299" s="80">
        <v>385000</v>
      </c>
    </row>
    <row r="300" spans="1:10" ht="18" customHeight="1" x14ac:dyDescent="0.3">
      <c r="A300" s="82">
        <v>2108</v>
      </c>
      <c r="B300" s="93">
        <v>45960</v>
      </c>
      <c r="C300" s="83" t="s">
        <v>1746</v>
      </c>
      <c r="D300" s="113" t="s">
        <v>2189</v>
      </c>
      <c r="F300" s="120">
        <v>70000</v>
      </c>
      <c r="G300" s="85">
        <v>1</v>
      </c>
      <c r="H300" s="126">
        <v>7000</v>
      </c>
      <c r="I300" s="80">
        <v>77000</v>
      </c>
    </row>
    <row r="301" spans="1:10" ht="18" customHeight="1" x14ac:dyDescent="0.3">
      <c r="A301" s="82">
        <v>2109</v>
      </c>
      <c r="B301" s="93">
        <v>45960</v>
      </c>
      <c r="C301" s="83" t="s">
        <v>1746</v>
      </c>
      <c r="D301" s="113" t="s">
        <v>2187</v>
      </c>
      <c r="F301" s="120">
        <v>130000</v>
      </c>
      <c r="G301" s="85">
        <v>1</v>
      </c>
      <c r="H301" s="126">
        <v>13000</v>
      </c>
      <c r="I301" s="80">
        <v>143000</v>
      </c>
    </row>
    <row r="302" spans="1:10" ht="18" customHeight="1" x14ac:dyDescent="0.3">
      <c r="A302" s="82">
        <v>2110</v>
      </c>
      <c r="B302" s="93">
        <v>45960</v>
      </c>
      <c r="C302" s="83" t="s">
        <v>1746</v>
      </c>
      <c r="D302" s="113" t="s">
        <v>2190</v>
      </c>
      <c r="F302" s="120">
        <v>35000</v>
      </c>
      <c r="G302" s="85">
        <v>2</v>
      </c>
      <c r="H302" s="126">
        <v>7000</v>
      </c>
      <c r="I302" s="80">
        <v>77000</v>
      </c>
    </row>
    <row r="303" spans="1:10" ht="18" customHeight="1" x14ac:dyDescent="0.3">
      <c r="A303" s="82">
        <v>2111</v>
      </c>
      <c r="B303" s="93">
        <v>45960</v>
      </c>
      <c r="C303" s="83" t="s">
        <v>1789</v>
      </c>
      <c r="D303" s="113" t="s">
        <v>4144</v>
      </c>
      <c r="J303" s="80">
        <v>-3000000</v>
      </c>
    </row>
    <row r="304" spans="1:10" ht="18" customHeight="1" x14ac:dyDescent="0.3">
      <c r="A304" s="82">
        <v>2112</v>
      </c>
      <c r="B304" s="93">
        <v>45960</v>
      </c>
      <c r="C304" s="83" t="s">
        <v>4042</v>
      </c>
      <c r="D304" s="113" t="s">
        <v>1125</v>
      </c>
      <c r="J304" s="80">
        <v>-1210000</v>
      </c>
    </row>
    <row r="305" spans="1:10" ht="18" customHeight="1" x14ac:dyDescent="0.3">
      <c r="A305" s="82">
        <v>2113</v>
      </c>
      <c r="B305" s="93">
        <v>45960</v>
      </c>
      <c r="C305" s="83" t="s">
        <v>3148</v>
      </c>
      <c r="D305" s="113" t="s">
        <v>4150</v>
      </c>
      <c r="J305" s="80">
        <v>-675000</v>
      </c>
    </row>
    <row r="306" spans="1:10" ht="18" customHeight="1" x14ac:dyDescent="0.3">
      <c r="A306" s="82">
        <v>2114</v>
      </c>
      <c r="B306" s="93">
        <v>45960</v>
      </c>
      <c r="C306" s="83" t="s">
        <v>1976</v>
      </c>
      <c r="D306" s="113" t="s">
        <v>4154</v>
      </c>
      <c r="J306" s="80">
        <v>-1100000</v>
      </c>
    </row>
    <row r="307" spans="1:10" ht="18" customHeight="1" x14ac:dyDescent="0.3">
      <c r="A307" s="82">
        <v>2115</v>
      </c>
      <c r="B307" s="93">
        <v>45960</v>
      </c>
      <c r="C307" s="83" t="s">
        <v>1493</v>
      </c>
      <c r="D307" s="113" t="s">
        <v>4151</v>
      </c>
      <c r="J307" s="80">
        <v>-600000</v>
      </c>
    </row>
    <row r="308" spans="1:10" ht="18" customHeight="1" x14ac:dyDescent="0.3">
      <c r="A308" s="82">
        <v>2116</v>
      </c>
      <c r="B308" s="93">
        <v>45960</v>
      </c>
      <c r="C308" s="83" t="s">
        <v>1804</v>
      </c>
      <c r="D308" s="113" t="s">
        <v>3740</v>
      </c>
      <c r="J308" s="80">
        <v>-1320000</v>
      </c>
    </row>
    <row r="309" spans="1:10" ht="18" customHeight="1" x14ac:dyDescent="0.3">
      <c r="A309" s="82">
        <v>2117</v>
      </c>
      <c r="B309" s="93">
        <v>45960</v>
      </c>
      <c r="C309" s="83" t="s">
        <v>1811</v>
      </c>
      <c r="D309" s="113" t="s">
        <v>4161</v>
      </c>
      <c r="J309" s="80">
        <v>-1738000</v>
      </c>
    </row>
    <row r="310" spans="1:10" ht="18" customHeight="1" x14ac:dyDescent="0.3">
      <c r="A310" s="82">
        <v>2118</v>
      </c>
      <c r="B310" s="93">
        <v>45960</v>
      </c>
      <c r="C310" s="83" t="s">
        <v>2703</v>
      </c>
      <c r="D310" s="113" t="s">
        <v>4155</v>
      </c>
      <c r="J310" s="80">
        <v>-880000</v>
      </c>
    </row>
    <row r="311" spans="1:10" ht="18" customHeight="1" x14ac:dyDescent="0.3">
      <c r="A311" s="82">
        <v>2119</v>
      </c>
      <c r="B311" s="93">
        <v>45960</v>
      </c>
      <c r="C311" s="83" t="s">
        <v>2963</v>
      </c>
      <c r="D311" s="113" t="s">
        <v>4157</v>
      </c>
      <c r="J311" s="80">
        <v>-360000</v>
      </c>
    </row>
    <row r="312" spans="1:10" ht="18" customHeight="1" x14ac:dyDescent="0.3">
      <c r="A312" s="82">
        <v>2120</v>
      </c>
      <c r="B312" s="93">
        <v>45960</v>
      </c>
      <c r="C312" s="83" t="s">
        <v>4063</v>
      </c>
      <c r="D312" s="113" t="s">
        <v>4159</v>
      </c>
      <c r="J312" s="80">
        <v>-1220000</v>
      </c>
    </row>
    <row r="313" spans="1:10" ht="18" customHeight="1" x14ac:dyDescent="0.3">
      <c r="A313" s="82">
        <v>2121</v>
      </c>
      <c r="B313" s="93">
        <v>45961</v>
      </c>
      <c r="C313" s="83" t="s">
        <v>1472</v>
      </c>
      <c r="D313" s="113" t="s">
        <v>2179</v>
      </c>
      <c r="F313" s="120">
        <v>1500000</v>
      </c>
      <c r="G313" s="85">
        <v>1</v>
      </c>
      <c r="I313" s="120">
        <v>1500000</v>
      </c>
    </row>
    <row r="314" spans="1:10" ht="18" customHeight="1" x14ac:dyDescent="0.3">
      <c r="A314" s="82">
        <v>2122</v>
      </c>
      <c r="B314" s="93">
        <v>45961</v>
      </c>
      <c r="C314" s="83" t="s">
        <v>4170</v>
      </c>
      <c r="D314" s="113" t="s">
        <v>2383</v>
      </c>
      <c r="F314" s="120">
        <v>700000</v>
      </c>
      <c r="G314" s="85">
        <v>1</v>
      </c>
      <c r="I314" s="80">
        <v>700000</v>
      </c>
    </row>
    <row r="315" spans="1:10" ht="18" customHeight="1" x14ac:dyDescent="0.3">
      <c r="A315" s="82">
        <v>2123</v>
      </c>
      <c r="B315" s="93">
        <v>45961</v>
      </c>
      <c r="C315" s="83" t="s">
        <v>2257</v>
      </c>
      <c r="D315" s="113" t="s">
        <v>2177</v>
      </c>
      <c r="F315" s="120">
        <v>2300000</v>
      </c>
      <c r="G315" s="85">
        <v>1</v>
      </c>
      <c r="I315" s="80">
        <v>2300000</v>
      </c>
    </row>
    <row r="316" spans="1:10" ht="18" customHeight="1" x14ac:dyDescent="0.3">
      <c r="A316" s="82">
        <v>2124</v>
      </c>
      <c r="B316" s="93">
        <v>45961</v>
      </c>
      <c r="C316" s="83" t="s">
        <v>1721</v>
      </c>
      <c r="D316" s="113" t="s">
        <v>4127</v>
      </c>
      <c r="F316" s="120">
        <v>1550000</v>
      </c>
      <c r="G316" s="85">
        <v>1</v>
      </c>
      <c r="I316" s="80">
        <v>1550000</v>
      </c>
    </row>
    <row r="317" spans="1:10" ht="18" customHeight="1" x14ac:dyDescent="0.3">
      <c r="A317" s="82">
        <v>2125</v>
      </c>
      <c r="B317" s="93">
        <v>45961</v>
      </c>
      <c r="C317" s="83" t="s">
        <v>1746</v>
      </c>
      <c r="D317" s="113" t="s">
        <v>2298</v>
      </c>
      <c r="F317" s="120">
        <v>650000</v>
      </c>
      <c r="G317" s="85">
        <v>1</v>
      </c>
      <c r="H317" s="126">
        <v>65000</v>
      </c>
      <c r="I317" s="80">
        <v>715000</v>
      </c>
    </row>
    <row r="318" spans="1:10" ht="18" customHeight="1" x14ac:dyDescent="0.3">
      <c r="A318" s="82">
        <v>2126</v>
      </c>
      <c r="B318" s="93">
        <v>45961</v>
      </c>
      <c r="C318" s="83" t="s">
        <v>1540</v>
      </c>
      <c r="D318" s="113" t="s">
        <v>2090</v>
      </c>
      <c r="F318" s="120">
        <v>450000</v>
      </c>
      <c r="G318" s="85">
        <v>1</v>
      </c>
      <c r="I318" s="80">
        <v>450000</v>
      </c>
    </row>
    <row r="319" spans="1:10" ht="18" customHeight="1" x14ac:dyDescent="0.3">
      <c r="A319" s="82">
        <v>2127</v>
      </c>
      <c r="B319" s="93">
        <v>45961</v>
      </c>
      <c r="C319" s="83" t="s">
        <v>1540</v>
      </c>
      <c r="D319" s="113" t="s">
        <v>1548</v>
      </c>
      <c r="F319" s="120">
        <v>50000</v>
      </c>
      <c r="G319" s="85">
        <v>2</v>
      </c>
      <c r="I319" s="80">
        <v>100000</v>
      </c>
    </row>
    <row r="320" spans="1:10" ht="18" customHeight="1" x14ac:dyDescent="0.3">
      <c r="A320" s="82">
        <v>2128</v>
      </c>
      <c r="B320" s="93">
        <v>45961</v>
      </c>
      <c r="C320" s="83" t="s">
        <v>1579</v>
      </c>
      <c r="D320" s="113" t="s">
        <v>4179</v>
      </c>
      <c r="F320" s="120">
        <v>200000</v>
      </c>
      <c r="G320" s="85">
        <v>1</v>
      </c>
      <c r="I320" s="80">
        <v>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3669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13579000</v>
      </c>
      <c r="D2" s="58">
        <f t="shared" ref="D2:D65" si="0">RANK(C2,C:C,0)</f>
        <v>1</v>
      </c>
    </row>
    <row r="3" spans="1:6" x14ac:dyDescent="0.3">
      <c r="B3" s="269" t="s">
        <v>1351</v>
      </c>
      <c r="C3" s="268">
        <f>SUMIF(BTS_매출관리!C:C,B3,BTS_매출관리!I:I)</f>
        <v>6290000</v>
      </c>
      <c r="D3" s="269">
        <f t="shared" si="0"/>
        <v>4</v>
      </c>
    </row>
    <row r="4" spans="1:6" x14ac:dyDescent="0.3">
      <c r="B4" s="58" t="s">
        <v>1278</v>
      </c>
      <c r="C4" s="301">
        <f>SUMIF(BTS_매출관리!C:C,B4,BTS_매출관리!I:I)</f>
        <v>5400000</v>
      </c>
      <c r="D4" s="58">
        <f t="shared" si="0"/>
        <v>6</v>
      </c>
    </row>
    <row r="5" spans="1:6" x14ac:dyDescent="0.3">
      <c r="B5" s="58" t="s">
        <v>1335</v>
      </c>
      <c r="C5" s="301">
        <f>SUMIF(BTS_매출관리!C:C,B5,BTS_매출관리!I:I)</f>
        <v>5705000</v>
      </c>
      <c r="D5" s="58">
        <f t="shared" si="0"/>
        <v>5</v>
      </c>
    </row>
    <row r="6" spans="1:6" x14ac:dyDescent="0.3">
      <c r="B6" s="58" t="s">
        <v>1352</v>
      </c>
      <c r="C6" s="301">
        <f>SUMIF(BTS_매출관리!C:C,B6,BTS_매출관리!I:I)</f>
        <v>7378000</v>
      </c>
      <c r="D6" s="58">
        <f t="shared" si="0"/>
        <v>2</v>
      </c>
    </row>
    <row r="7" spans="1:6" x14ac:dyDescent="0.3">
      <c r="B7" s="58" t="s">
        <v>1289</v>
      </c>
      <c r="C7" s="301">
        <f>SUMIF(BTS_매출관리!C:C,B7,BTS_매출관리!I:I)</f>
        <v>3685000</v>
      </c>
      <c r="D7" s="58">
        <f t="shared" si="0"/>
        <v>9</v>
      </c>
    </row>
    <row r="8" spans="1:6" x14ac:dyDescent="0.3">
      <c r="B8" s="58" t="s">
        <v>1273</v>
      </c>
      <c r="C8" s="301">
        <f>SUMIF(BTS_매출관리!C:C,B8,BTS_매출관리!I:I)</f>
        <v>3872000</v>
      </c>
      <c r="D8" s="58">
        <f t="shared" si="0"/>
        <v>8</v>
      </c>
    </row>
    <row r="9" spans="1:6" x14ac:dyDescent="0.3">
      <c r="B9" s="58" t="s">
        <v>2214</v>
      </c>
      <c r="C9" s="301">
        <f>SUMIF(BTS_매출관리!C:C,B9,BTS_매출관리!I:I)</f>
        <v>2970000</v>
      </c>
      <c r="D9" s="58">
        <f t="shared" si="0"/>
        <v>12</v>
      </c>
    </row>
    <row r="10" spans="1:6" x14ac:dyDescent="0.3">
      <c r="B10" s="269" t="s">
        <v>1323</v>
      </c>
      <c r="C10" s="268">
        <f>SUMIF(BTS_매출관리!C:C,B10,BTS_매출관리!I:I)</f>
        <v>2895000</v>
      </c>
      <c r="D10" s="269">
        <f t="shared" si="0"/>
        <v>13</v>
      </c>
    </row>
    <row r="11" spans="1:6" x14ac:dyDescent="0.3">
      <c r="B11" s="58" t="s">
        <v>1332</v>
      </c>
      <c r="C11" s="301">
        <f>SUMIF(BTS_매출관리!C:C,B11,BTS_매출관리!I:I)</f>
        <v>3300000</v>
      </c>
      <c r="D11" s="58">
        <f t="shared" si="0"/>
        <v>11</v>
      </c>
    </row>
    <row r="12" spans="1:6" x14ac:dyDescent="0.3">
      <c r="B12" s="58" t="s">
        <v>1333</v>
      </c>
      <c r="C12" s="301">
        <f>SUMIF(BTS_매출관리!C:C,B12,BTS_매출관리!I:I)</f>
        <v>3391000</v>
      </c>
      <c r="D12" s="58">
        <f t="shared" si="0"/>
        <v>10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2650000</v>
      </c>
      <c r="D13" s="269">
        <f t="shared" si="0"/>
        <v>14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2420000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2400000</v>
      </c>
      <c r="D15" s="58">
        <f t="shared" si="0"/>
        <v>17</v>
      </c>
    </row>
    <row r="16" spans="1:6" x14ac:dyDescent="0.3">
      <c r="B16" s="269" t="s">
        <v>1314</v>
      </c>
      <c r="C16" s="268">
        <f>SUMIF(BTS_매출관리!C:C,B16,BTS_매출관리!I:I)</f>
        <v>2300000</v>
      </c>
      <c r="D16" s="269">
        <f t="shared" si="0"/>
        <v>20</v>
      </c>
    </row>
    <row r="17" spans="2:18" x14ac:dyDescent="0.3">
      <c r="B17" s="269" t="s">
        <v>1280</v>
      </c>
      <c r="C17" s="268">
        <f>SUMIF(BTS_매출관리!C:C,B17,BTS_매출관리!I:I)</f>
        <v>2310000</v>
      </c>
      <c r="D17" s="269">
        <f t="shared" si="0"/>
        <v>18</v>
      </c>
    </row>
    <row r="18" spans="2:18" x14ac:dyDescent="0.3">
      <c r="B18" s="58" t="s">
        <v>1670</v>
      </c>
      <c r="C18" s="301">
        <f>SUMIF(BTS_매출관리!C:C,B18,BTS_매출관리!I:I)</f>
        <v>4015000</v>
      </c>
      <c r="D18" s="58">
        <f t="shared" si="0"/>
        <v>7</v>
      </c>
    </row>
    <row r="19" spans="2:18" x14ac:dyDescent="0.3">
      <c r="B19" s="58" t="s">
        <v>1148</v>
      </c>
      <c r="C19" s="301">
        <f>SUMIF(BTS_매출관리!C:C,B19,BTS_매출관리!I:I)</f>
        <v>2305000</v>
      </c>
      <c r="D19" s="58">
        <f t="shared" si="0"/>
        <v>19</v>
      </c>
    </row>
    <row r="20" spans="2:18" x14ac:dyDescent="0.3">
      <c r="B20" s="58" t="s">
        <v>1172</v>
      </c>
      <c r="C20" s="301">
        <f>SUMIF(BTS_매출관리!C:C,B20,BTS_매출관리!I:I)</f>
        <v>2250000</v>
      </c>
      <c r="D20" s="58">
        <f t="shared" si="0"/>
        <v>22</v>
      </c>
    </row>
    <row r="21" spans="2:18" x14ac:dyDescent="0.3">
      <c r="B21" s="58" t="s">
        <v>1340</v>
      </c>
      <c r="C21" s="301">
        <f>SUMIF(BTS_매출관리!C:C,B21,BTS_매출관리!I:I)</f>
        <v>6790000</v>
      </c>
      <c r="D21" s="58">
        <f t="shared" si="0"/>
        <v>3</v>
      </c>
      <c r="F21" t="s">
        <v>3695</v>
      </c>
    </row>
    <row r="22" spans="2:18" x14ac:dyDescent="0.3">
      <c r="B22" s="58" t="s">
        <v>1158</v>
      </c>
      <c r="C22" s="301">
        <f>SUMIF(BTS_매출관리!C:C,B22,BTS_매출관리!I:I)</f>
        <v>1943000</v>
      </c>
      <c r="D22" s="58">
        <f t="shared" si="0"/>
        <v>23</v>
      </c>
      <c r="F22" t="s">
        <v>3670</v>
      </c>
      <c r="G22" t="s">
        <v>3801</v>
      </c>
      <c r="I22" t="s">
        <v>3673</v>
      </c>
      <c r="J22" s="303" t="s">
        <v>3713</v>
      </c>
      <c r="O22" t="s">
        <v>3696</v>
      </c>
      <c r="P22">
        <v>2</v>
      </c>
      <c r="Q22" t="s">
        <v>3802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24</v>
      </c>
      <c r="F23" t="s">
        <v>3671</v>
      </c>
      <c r="G23" t="s">
        <v>3801</v>
      </c>
      <c r="I23" t="s">
        <v>3675</v>
      </c>
      <c r="J23" s="303" t="s">
        <v>3713</v>
      </c>
      <c r="O23" t="s">
        <v>3697</v>
      </c>
      <c r="P23">
        <v>3</v>
      </c>
      <c r="Q23" t="s">
        <v>3802</v>
      </c>
    </row>
    <row r="24" spans="2:18" x14ac:dyDescent="0.3">
      <c r="B24" s="58" t="s">
        <v>980</v>
      </c>
      <c r="C24" s="301">
        <f>SUMIF(BTS_매출관리!C:C,B24,BTS_매출관리!I:I)</f>
        <v>1848000</v>
      </c>
      <c r="D24" s="58">
        <f t="shared" si="0"/>
        <v>25</v>
      </c>
      <c r="F24" t="s">
        <v>3672</v>
      </c>
      <c r="G24" t="s">
        <v>3801</v>
      </c>
      <c r="I24" t="s">
        <v>3677</v>
      </c>
      <c r="J24" s="303" t="s">
        <v>3713</v>
      </c>
      <c r="O24" t="s">
        <v>3698</v>
      </c>
      <c r="P24">
        <v>2</v>
      </c>
      <c r="Q24" t="s">
        <v>3802</v>
      </c>
    </row>
    <row r="25" spans="2:18" x14ac:dyDescent="0.3">
      <c r="B25" s="58" t="s">
        <v>1035</v>
      </c>
      <c r="C25" s="301">
        <f>SUMIF(BTS_매출관리!C:C,B25,BTS_매출관리!I:I)</f>
        <v>1800000</v>
      </c>
      <c r="D25" s="58">
        <f t="shared" si="0"/>
        <v>26</v>
      </c>
      <c r="F25" t="s">
        <v>3674</v>
      </c>
      <c r="G25" t="s">
        <v>3713</v>
      </c>
      <c r="I25" t="s">
        <v>3680</v>
      </c>
      <c r="J25" s="303" t="s">
        <v>3801</v>
      </c>
      <c r="O25" t="s">
        <v>3699</v>
      </c>
      <c r="P25">
        <v>1</v>
      </c>
      <c r="R25" t="s">
        <v>3801</v>
      </c>
    </row>
    <row r="26" spans="2:18" x14ac:dyDescent="0.3">
      <c r="B26" s="269" t="s">
        <v>1190</v>
      </c>
      <c r="C26" s="268">
        <f>SUMIF(BTS_매출관리!C:C,B26,BTS_매출관리!I:I)</f>
        <v>1750000</v>
      </c>
      <c r="D26" s="269">
        <f t="shared" si="0"/>
        <v>27</v>
      </c>
      <c r="F26" t="s">
        <v>3676</v>
      </c>
      <c r="G26" t="s">
        <v>3801</v>
      </c>
      <c r="I26" t="s">
        <v>3693</v>
      </c>
      <c r="J26" s="303" t="s">
        <v>3732</v>
      </c>
      <c r="O26" t="s">
        <v>3700</v>
      </c>
      <c r="P26">
        <v>2</v>
      </c>
      <c r="Q26" t="s">
        <v>3714</v>
      </c>
    </row>
    <row r="27" spans="2:18" x14ac:dyDescent="0.3">
      <c r="B27" s="269" t="s">
        <v>1341</v>
      </c>
      <c r="C27" s="268">
        <f>SUMIF(BTS_매출관리!C:C,B27,BTS_매출관리!I:I)</f>
        <v>1650000</v>
      </c>
      <c r="D27" s="269">
        <f t="shared" si="0"/>
        <v>29</v>
      </c>
      <c r="F27" t="s">
        <v>3787</v>
      </c>
      <c r="G27" t="s">
        <v>3809</v>
      </c>
      <c r="I27" t="s">
        <v>2859</v>
      </c>
      <c r="J27" s="303" t="s">
        <v>3732</v>
      </c>
      <c r="O27" t="s">
        <v>3701</v>
      </c>
      <c r="P27">
        <v>1</v>
      </c>
      <c r="Q27" t="s">
        <v>3713</v>
      </c>
    </row>
    <row r="28" spans="2:18" x14ac:dyDescent="0.3">
      <c r="B28" s="58" t="s">
        <v>2360</v>
      </c>
      <c r="C28" s="301">
        <f>SUMIF(BTS_매출관리!C:C,B28,BTS_매출관리!I:I)</f>
        <v>1650000</v>
      </c>
      <c r="D28" s="58">
        <f t="shared" si="0"/>
        <v>29</v>
      </c>
      <c r="F28" t="s">
        <v>3679</v>
      </c>
      <c r="G28" t="s">
        <v>3807</v>
      </c>
      <c r="I28" t="s">
        <v>2257</v>
      </c>
      <c r="J28" s="303" t="s">
        <v>3732</v>
      </c>
      <c r="O28" t="s">
        <v>3702</v>
      </c>
      <c r="P28">
        <v>2</v>
      </c>
      <c r="R28" t="s">
        <v>3808</v>
      </c>
    </row>
    <row r="29" spans="2:18" x14ac:dyDescent="0.3">
      <c r="B29" s="269" t="s">
        <v>1373</v>
      </c>
      <c r="C29" s="268">
        <f>SUMIF(BTS_매출관리!C:C,B29,BTS_매출관리!I:I)</f>
        <v>1550000</v>
      </c>
      <c r="D29" s="269">
        <f t="shared" si="0"/>
        <v>31</v>
      </c>
      <c r="F29" t="s">
        <v>3681</v>
      </c>
      <c r="G29" t="s">
        <v>3801</v>
      </c>
      <c r="O29" t="s">
        <v>3703</v>
      </c>
      <c r="P29">
        <v>2</v>
      </c>
      <c r="Q29" t="s">
        <v>3802</v>
      </c>
    </row>
    <row r="30" spans="2:18" x14ac:dyDescent="0.3">
      <c r="B30" s="58" t="s">
        <v>2783</v>
      </c>
      <c r="C30" s="301">
        <f>SUMIF(BTS_매출관리!C:C,B30,BTS_매출관리!I:I)</f>
        <v>1550000</v>
      </c>
      <c r="D30" s="58">
        <f t="shared" si="0"/>
        <v>31</v>
      </c>
      <c r="F30" t="s">
        <v>3682</v>
      </c>
      <c r="G30" t="s">
        <v>3807</v>
      </c>
      <c r="O30" t="s">
        <v>3704</v>
      </c>
      <c r="P30">
        <v>2</v>
      </c>
      <c r="Q30" t="s">
        <v>3731</v>
      </c>
    </row>
    <row r="31" spans="2:18" x14ac:dyDescent="0.3">
      <c r="B31" s="58" t="s">
        <v>1329</v>
      </c>
      <c r="C31" s="301">
        <f>SUMIF(BTS_매출관리!C:C,B31,BTS_매출관리!I:I)</f>
        <v>1500000</v>
      </c>
      <c r="D31" s="58">
        <f t="shared" si="0"/>
        <v>33</v>
      </c>
      <c r="F31" t="s">
        <v>3683</v>
      </c>
      <c r="G31" t="s">
        <v>3801</v>
      </c>
      <c r="O31" t="s">
        <v>3705</v>
      </c>
      <c r="P31">
        <v>1</v>
      </c>
      <c r="R31" t="s">
        <v>3807</v>
      </c>
    </row>
    <row r="32" spans="2:18" x14ac:dyDescent="0.3">
      <c r="B32" s="58" t="s">
        <v>2560</v>
      </c>
      <c r="C32" s="301">
        <f>SUMIF(BTS_매출관리!C:C,B32,BTS_매출관리!I:I)</f>
        <v>1500000</v>
      </c>
      <c r="D32" s="58">
        <f t="shared" si="0"/>
        <v>33</v>
      </c>
      <c r="F32" t="s">
        <v>3684</v>
      </c>
      <c r="G32" t="s">
        <v>3801</v>
      </c>
      <c r="O32" t="s">
        <v>3706</v>
      </c>
      <c r="P32">
        <v>1</v>
      </c>
      <c r="R32" t="s">
        <v>3801</v>
      </c>
    </row>
    <row r="33" spans="2:17" x14ac:dyDescent="0.3">
      <c r="B33" s="269" t="s">
        <v>3632</v>
      </c>
      <c r="C33" s="268">
        <f>SUMIF(BTS_매출관리!C:C,B33,BTS_매출관리!I:I)</f>
        <v>1430000</v>
      </c>
      <c r="D33" s="269">
        <f t="shared" si="0"/>
        <v>36</v>
      </c>
      <c r="F33" t="s">
        <v>3685</v>
      </c>
      <c r="G33" t="s">
        <v>3801</v>
      </c>
      <c r="O33" t="s">
        <v>3707</v>
      </c>
      <c r="P33">
        <v>1</v>
      </c>
      <c r="Q33" t="s">
        <v>3715</v>
      </c>
    </row>
    <row r="34" spans="2:17" x14ac:dyDescent="0.3">
      <c r="B34" s="269" t="s">
        <v>1267</v>
      </c>
      <c r="C34" s="268">
        <f>SUMIF(BTS_매출관리!C:C,B34,BTS_매출관리!I:I)</f>
        <v>1429000</v>
      </c>
      <c r="D34" s="269">
        <f t="shared" si="0"/>
        <v>37</v>
      </c>
      <c r="F34" t="s">
        <v>3686</v>
      </c>
      <c r="G34" t="s">
        <v>3807</v>
      </c>
      <c r="O34" t="s">
        <v>3678</v>
      </c>
      <c r="P34">
        <v>2</v>
      </c>
      <c r="Q34" t="s">
        <v>3802</v>
      </c>
    </row>
    <row r="35" spans="2:17" x14ac:dyDescent="0.3">
      <c r="B35" s="58" t="s">
        <v>1288</v>
      </c>
      <c r="C35" s="301">
        <f>SUMIF(BTS_매출관리!C:C,B35,BTS_매출관리!I:I)</f>
        <v>1400000</v>
      </c>
      <c r="D35" s="58">
        <f t="shared" si="0"/>
        <v>38</v>
      </c>
      <c r="F35" t="s">
        <v>3687</v>
      </c>
      <c r="G35" t="s">
        <v>3807</v>
      </c>
      <c r="O35" t="s">
        <v>3708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1320000</v>
      </c>
      <c r="D36" s="58">
        <f t="shared" si="0"/>
        <v>39</v>
      </c>
      <c r="F36" t="s">
        <v>3688</v>
      </c>
      <c r="G36" t="s">
        <v>3801</v>
      </c>
      <c r="O36" t="s">
        <v>3709</v>
      </c>
      <c r="P36">
        <v>1</v>
      </c>
      <c r="Q36" t="s">
        <v>3802</v>
      </c>
    </row>
    <row r="37" spans="2:17" x14ac:dyDescent="0.3">
      <c r="B37" s="58" t="s">
        <v>1275</v>
      </c>
      <c r="C37" s="301">
        <f>SUMIF(BTS_매출관리!C:C,B37,BTS_매출관리!I:I)</f>
        <v>2420000</v>
      </c>
      <c r="D37" s="58">
        <f t="shared" si="0"/>
        <v>15</v>
      </c>
      <c r="F37" t="s">
        <v>3689</v>
      </c>
      <c r="G37" t="s">
        <v>3801</v>
      </c>
    </row>
    <row r="38" spans="2:17" x14ac:dyDescent="0.3">
      <c r="B38" s="58" t="s">
        <v>1325</v>
      </c>
      <c r="C38" s="301">
        <f>SUMIF(BTS_매출관리!C:C,B38,BTS_매출관리!I:I)</f>
        <v>1300000</v>
      </c>
      <c r="D38" s="58">
        <f t="shared" si="0"/>
        <v>40</v>
      </c>
      <c r="F38" t="s">
        <v>3690</v>
      </c>
      <c r="G38" t="s">
        <v>3807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42</v>
      </c>
      <c r="F39" t="s">
        <v>3691</v>
      </c>
      <c r="G39" t="s">
        <v>3807</v>
      </c>
    </row>
    <row r="40" spans="2:17" x14ac:dyDescent="0.3">
      <c r="B40" s="58" t="s">
        <v>1295</v>
      </c>
      <c r="C40" s="301">
        <f>SUMIF(BTS_매출관리!C:C,B40,BTS_매출관리!I:I)</f>
        <v>1200000</v>
      </c>
      <c r="D40" s="58">
        <f t="shared" si="0"/>
        <v>42</v>
      </c>
      <c r="F40" t="s">
        <v>3692</v>
      </c>
      <c r="G40" t="s">
        <v>3807</v>
      </c>
    </row>
    <row r="41" spans="2:17" x14ac:dyDescent="0.3">
      <c r="B41" s="269" t="s">
        <v>1007</v>
      </c>
      <c r="C41" s="268">
        <f>SUMIF(BTS_매출관리!C:C,B41,BTS_매출관리!I:I)</f>
        <v>1150000</v>
      </c>
      <c r="D41" s="269">
        <f t="shared" si="0"/>
        <v>44</v>
      </c>
      <c r="F41" t="s">
        <v>3694</v>
      </c>
      <c r="G41" t="s">
        <v>3801</v>
      </c>
    </row>
    <row r="42" spans="2:17" x14ac:dyDescent="0.3">
      <c r="B42" s="58" t="s">
        <v>1487</v>
      </c>
      <c r="C42" s="301">
        <f>SUMIF(BTS_매출관리!C:C,B42,BTS_매출관리!I:I)</f>
        <v>1100000</v>
      </c>
      <c r="D42" s="58">
        <f t="shared" si="0"/>
        <v>45</v>
      </c>
      <c r="F42" t="s">
        <v>1327</v>
      </c>
      <c r="G42" t="s">
        <v>3807</v>
      </c>
    </row>
    <row r="43" spans="2:17" x14ac:dyDescent="0.3">
      <c r="B43" s="269" t="s">
        <v>1233</v>
      </c>
      <c r="C43" s="268">
        <f>SUMIF(BTS_매출관리!C:C,B43,BTS_매출관리!I:I)</f>
        <v>1500000</v>
      </c>
      <c r="D43" s="269">
        <f t="shared" si="0"/>
        <v>33</v>
      </c>
      <c r="F43" t="s">
        <v>3788</v>
      </c>
      <c r="G43" t="s">
        <v>3801</v>
      </c>
    </row>
    <row r="44" spans="2:17" x14ac:dyDescent="0.3">
      <c r="B44" s="58" t="s">
        <v>1286</v>
      </c>
      <c r="C44" s="301">
        <f>SUMIF(BTS_매출관리!C:C,B44,BTS_매출관리!I:I)</f>
        <v>1296000</v>
      </c>
      <c r="D44" s="58">
        <f t="shared" si="0"/>
        <v>41</v>
      </c>
      <c r="F44" t="s">
        <v>3789</v>
      </c>
      <c r="G44" t="s">
        <v>3801</v>
      </c>
    </row>
    <row r="45" spans="2:17" x14ac:dyDescent="0.3">
      <c r="B45" s="269" t="s">
        <v>1319</v>
      </c>
      <c r="C45" s="268">
        <f>SUMIF(BTS_매출관리!C:C,B45,BTS_매출관리!I:I)</f>
        <v>835000</v>
      </c>
      <c r="D45" s="269">
        <f t="shared" si="0"/>
        <v>48</v>
      </c>
      <c r="F45" t="s">
        <v>3790</v>
      </c>
      <c r="G45" t="s">
        <v>3801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800000</v>
      </c>
      <c r="D46" s="269">
        <f t="shared" si="0"/>
        <v>49</v>
      </c>
      <c r="F46" t="s">
        <v>3803</v>
      </c>
      <c r="G46" t="s">
        <v>3801</v>
      </c>
    </row>
    <row r="47" spans="2:17" x14ac:dyDescent="0.3">
      <c r="B47" s="269" t="s">
        <v>1889</v>
      </c>
      <c r="C47" s="268">
        <f>SUMIF(BTS_매출관리!C:C,B47,BTS_매출관리!I:I)</f>
        <v>650000</v>
      </c>
      <c r="D47" s="269">
        <f t="shared" si="0"/>
        <v>51</v>
      </c>
      <c r="F47" s="58" t="s">
        <v>1035</v>
      </c>
      <c r="G47" t="s">
        <v>3801</v>
      </c>
      <c r="K47" t="s">
        <v>3801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650000</v>
      </c>
      <c r="D48" s="269">
        <f t="shared" si="0"/>
        <v>51</v>
      </c>
      <c r="F48" s="58" t="s">
        <v>1356</v>
      </c>
      <c r="G48" t="s">
        <v>3807</v>
      </c>
      <c r="K48" t="s">
        <v>3807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350000</v>
      </c>
      <c r="D49" s="58">
        <f t="shared" si="0"/>
        <v>55</v>
      </c>
      <c r="F49" t="s">
        <v>1320</v>
      </c>
      <c r="G49" t="s">
        <v>3807</v>
      </c>
    </row>
    <row r="50" spans="2:7" x14ac:dyDescent="0.3">
      <c r="B50" s="269" t="s">
        <v>1294</v>
      </c>
      <c r="C50" s="268">
        <f>SUMIF(BTS_매출관리!C:C,B50,BTS_매출관리!I:I)</f>
        <v>540000</v>
      </c>
      <c r="D50" s="269">
        <f t="shared" si="0"/>
        <v>53</v>
      </c>
    </row>
    <row r="51" spans="2:7" x14ac:dyDescent="0.3">
      <c r="B51" s="269" t="s">
        <v>1318</v>
      </c>
      <c r="C51" s="268">
        <f>SUMIF(BTS_매출관리!C:C,B51,BTS_매출관리!I:I)</f>
        <v>220000</v>
      </c>
      <c r="D51" s="269">
        <f t="shared" si="0"/>
        <v>56</v>
      </c>
    </row>
    <row r="52" spans="2:7" x14ac:dyDescent="0.3">
      <c r="B52" t="s">
        <v>3267</v>
      </c>
      <c r="C52" s="300">
        <f>SUMIF(BTS_매출관리!C:C,B52,BTS_매출관리!I:I)</f>
        <v>200000</v>
      </c>
      <c r="D52">
        <f t="shared" si="0"/>
        <v>57</v>
      </c>
    </row>
    <row r="53" spans="2:7" x14ac:dyDescent="0.3">
      <c r="B53" t="s">
        <v>2486</v>
      </c>
      <c r="C53" s="300">
        <f>SUMIF(BTS_매출관리!C:C,B53,BTS_매출관리!I:I)</f>
        <v>150000</v>
      </c>
      <c r="D53">
        <f t="shared" si="0"/>
        <v>58</v>
      </c>
    </row>
    <row r="54" spans="2:7" x14ac:dyDescent="0.3">
      <c r="B54" t="s">
        <v>1354</v>
      </c>
      <c r="C54" s="300">
        <f>SUMIF(BTS_매출관리!C:C,B54,BTS_매출관리!I:I)</f>
        <v>143000</v>
      </c>
      <c r="D54">
        <f t="shared" si="0"/>
        <v>59</v>
      </c>
    </row>
    <row r="55" spans="2:7" x14ac:dyDescent="0.3">
      <c r="B55" t="s">
        <v>2703</v>
      </c>
      <c r="C55" s="52">
        <f>SUMIF(BTS_매출관리!C:C,B55,BTS_매출관리!I:I)</f>
        <v>990000</v>
      </c>
      <c r="D55">
        <f t="shared" si="0"/>
        <v>47</v>
      </c>
    </row>
    <row r="56" spans="2:7" x14ac:dyDescent="0.3">
      <c r="B56" s="47" t="s">
        <v>1018</v>
      </c>
      <c r="C56" s="302">
        <f>SUMIF(BTS_매출관리!C:C,B56,BTS_매출관리!I:I)</f>
        <v>80000</v>
      </c>
      <c r="D56" s="47">
        <f t="shared" si="0"/>
        <v>60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61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61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61</v>
      </c>
    </row>
    <row r="60" spans="2:7" x14ac:dyDescent="0.3">
      <c r="B60" s="47" t="s">
        <v>1306</v>
      </c>
      <c r="C60" s="302">
        <f>SUMIF(BTS_매출관리!C:C,B60,BTS_매출관리!I:I)</f>
        <v>1000000</v>
      </c>
      <c r="D60" s="47">
        <f t="shared" si="0"/>
        <v>46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61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61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61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61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61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61</v>
      </c>
    </row>
    <row r="67" spans="2:4" x14ac:dyDescent="0.3">
      <c r="B67" s="47" t="s">
        <v>1356</v>
      </c>
      <c r="C67" s="302">
        <f>SUMIF(BTS_매출관리!C:C,B67,BTS_매출관리!I:I)</f>
        <v>0</v>
      </c>
      <c r="D67" s="47">
        <f t="shared" si="1"/>
        <v>61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61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61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61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61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61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61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61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61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61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61</v>
      </c>
    </row>
    <row r="78" spans="2:4" x14ac:dyDescent="0.3">
      <c r="B78" t="s">
        <v>1350</v>
      </c>
      <c r="C78" s="52">
        <f>SUMIF(BTS_매출관리!C:C,B78,BTS_매출관리!I:I)</f>
        <v>1738000</v>
      </c>
      <c r="D78">
        <f t="shared" si="1"/>
        <v>28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61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61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61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61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61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61</v>
      </c>
    </row>
    <row r="85" spans="2:4" x14ac:dyDescent="0.3">
      <c r="B85" t="s">
        <v>3542</v>
      </c>
      <c r="C85" s="52">
        <f>SUMIF(BTS_매출관리!C:C,B85,BTS_매출관리!I:I)</f>
        <v>0</v>
      </c>
      <c r="D85">
        <f t="shared" si="1"/>
        <v>61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61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61</v>
      </c>
    </row>
    <row r="88" spans="2:4" x14ac:dyDescent="0.3">
      <c r="B88" t="s">
        <v>2257</v>
      </c>
      <c r="C88" s="52">
        <f>SUMIF(BTS_매출관리!C:C,B88,BTS_매출관리!I:I)</f>
        <v>2300000</v>
      </c>
      <c r="D88">
        <f t="shared" si="1"/>
        <v>20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61</v>
      </c>
    </row>
    <row r="90" spans="2:4" x14ac:dyDescent="0.3">
      <c r="B90" t="s">
        <v>2868</v>
      </c>
      <c r="C90" s="52">
        <f>SUMIF(BTS_매출관리!C:C,B90,BTS_매출관리!I:I)</f>
        <v>0</v>
      </c>
      <c r="D90">
        <f t="shared" si="1"/>
        <v>61</v>
      </c>
    </row>
    <row r="91" spans="2:4" x14ac:dyDescent="0.3">
      <c r="B91" t="s">
        <v>2364</v>
      </c>
      <c r="C91" s="52">
        <f>SUMIF(BTS_매출관리!C:C,B91,BTS_매출관리!I:I)</f>
        <v>0</v>
      </c>
      <c r="D91">
        <f t="shared" si="1"/>
        <v>61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61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61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61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61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61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61</v>
      </c>
    </row>
    <row r="98" spans="2:4" x14ac:dyDescent="0.3">
      <c r="B98" t="s">
        <v>2016</v>
      </c>
      <c r="C98" s="52">
        <f>SUMIF(BTS_매출관리!C:C,B98,BTS_매출관리!I:I)</f>
        <v>0</v>
      </c>
      <c r="D98">
        <f t="shared" si="1"/>
        <v>61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61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61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61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61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61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61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61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61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61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61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61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61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61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61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61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61</v>
      </c>
    </row>
    <row r="115" spans="2:4" x14ac:dyDescent="0.3">
      <c r="B115" t="s">
        <v>1328</v>
      </c>
      <c r="C115" s="52">
        <f>SUMIF(BTS_매출관리!C:C,B115,BTS_매출관리!I:I)</f>
        <v>0</v>
      </c>
      <c r="D115">
        <f t="shared" si="1"/>
        <v>61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61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61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61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61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61</v>
      </c>
    </row>
    <row r="121" spans="2:4" x14ac:dyDescent="0.3">
      <c r="B121" t="s">
        <v>2591</v>
      </c>
      <c r="C121" s="300">
        <f>SUMIF(BTS_매출관리!C:C,B121,BTS_매출관리!I:I)</f>
        <v>0</v>
      </c>
      <c r="D121">
        <f t="shared" si="1"/>
        <v>61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61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61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61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61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61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61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61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61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61</v>
      </c>
    </row>
    <row r="131" spans="2:4" x14ac:dyDescent="0.3">
      <c r="B131" t="s">
        <v>3573</v>
      </c>
      <c r="C131" s="52">
        <f>SUMIF(BTS_매출관리!C:C,B131,BTS_매출관리!I:I)</f>
        <v>0</v>
      </c>
      <c r="D131">
        <f t="shared" si="2"/>
        <v>61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61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61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61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61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61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61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61</v>
      </c>
    </row>
    <row r="139" spans="2:4" x14ac:dyDescent="0.3">
      <c r="B139" t="s">
        <v>1296</v>
      </c>
      <c r="C139" s="300">
        <f>SUMIF(BTS_매출관리!C:C,B139,BTS_매출관리!I:I)</f>
        <v>675000</v>
      </c>
      <c r="D139">
        <f t="shared" si="2"/>
        <v>50</v>
      </c>
    </row>
    <row r="140" spans="2:4" x14ac:dyDescent="0.3">
      <c r="B140" t="s">
        <v>2467</v>
      </c>
      <c r="C140" s="52">
        <f>SUMIF(BTS_매출관리!C:C,B140,BTS_매출관리!I:I)</f>
        <v>0</v>
      </c>
      <c r="D140">
        <f t="shared" si="2"/>
        <v>61</v>
      </c>
    </row>
    <row r="141" spans="2:4" x14ac:dyDescent="0.3">
      <c r="B141" t="s">
        <v>1313</v>
      </c>
      <c r="C141" s="300">
        <f>SUMIF(BTS_매출관리!C:C,B141,BTS_매출관리!I:I)</f>
        <v>0</v>
      </c>
      <c r="D141">
        <f t="shared" si="2"/>
        <v>61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61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61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61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61</v>
      </c>
    </row>
    <row r="146" spans="2:4" x14ac:dyDescent="0.3">
      <c r="B146" t="s">
        <v>2052</v>
      </c>
      <c r="C146" s="52">
        <f>SUMIF(BTS_매출관리!C:C,B146,BTS_매출관리!I:I)</f>
        <v>0</v>
      </c>
      <c r="D146">
        <f t="shared" si="2"/>
        <v>61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61</v>
      </c>
    </row>
    <row r="148" spans="2:4" x14ac:dyDescent="0.3">
      <c r="B148" t="s">
        <v>3501</v>
      </c>
      <c r="C148" s="52">
        <f>SUMIF(BTS_매출관리!C:C,B148,BTS_매출관리!I:I)</f>
        <v>0</v>
      </c>
      <c r="D148">
        <f t="shared" si="2"/>
        <v>61</v>
      </c>
    </row>
    <row r="149" spans="2:4" x14ac:dyDescent="0.3">
      <c r="B149" t="s">
        <v>2963</v>
      </c>
      <c r="C149" s="52">
        <f>SUMIF(BTS_매출관리!C:C,B149,BTS_매출관리!I:I)</f>
        <v>360000</v>
      </c>
      <c r="D149">
        <f t="shared" si="2"/>
        <v>54</v>
      </c>
    </row>
    <row r="150" spans="2:4" x14ac:dyDescent="0.3">
      <c r="B150" t="s">
        <v>3723</v>
      </c>
      <c r="C150" s="52">
        <f>SUMIF(BTS_매출관리!C:C,B150,BTS_매출관리!I:I)</f>
        <v>0</v>
      </c>
      <c r="D150">
        <f t="shared" si="2"/>
        <v>61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61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61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61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61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61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61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61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61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61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61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61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61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61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61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61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61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61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61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61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61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61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61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61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61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61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61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61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61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61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61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61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61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61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61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61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61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61</v>
      </c>
    </row>
    <row r="188" spans="2:4" x14ac:dyDescent="0.3">
      <c r="C188" s="52">
        <f>SUMIF(BTS_매출관리!C:C,B188,BTS_매출관리!I:I)</f>
        <v>0</v>
      </c>
      <c r="D188">
        <f t="shared" si="2"/>
        <v>61</v>
      </c>
    </row>
    <row r="189" spans="2:4" x14ac:dyDescent="0.3">
      <c r="C189" s="52">
        <f>SUMIF(BTS_매출관리!C:C,B189,BTS_매출관리!I:I)</f>
        <v>0</v>
      </c>
      <c r="D189">
        <f t="shared" si="2"/>
        <v>61</v>
      </c>
    </row>
    <row r="190" spans="2:4" x14ac:dyDescent="0.3">
      <c r="C190" s="52">
        <f>SUMIF(BTS_매출관리!C:C,B190,BTS_매출관리!I:I)</f>
        <v>0</v>
      </c>
      <c r="D190">
        <f t="shared" si="2"/>
        <v>61</v>
      </c>
    </row>
    <row r="191" spans="2:4" x14ac:dyDescent="0.3">
      <c r="C191" s="52">
        <f>SUMIF(BTS_매출관리!C:C,B191,BTS_매출관리!I:I)</f>
        <v>0</v>
      </c>
      <c r="D191">
        <f t="shared" si="2"/>
        <v>61</v>
      </c>
    </row>
    <row r="192" spans="2:4" x14ac:dyDescent="0.3">
      <c r="C192" s="52">
        <f>SUMIF(BTS_매출관리!C:C,B192,BTS_매출관리!I:I)</f>
        <v>0</v>
      </c>
      <c r="D192">
        <f t="shared" si="2"/>
        <v>61</v>
      </c>
    </row>
    <row r="193" spans="3:4" x14ac:dyDescent="0.3">
      <c r="C193" s="52">
        <f>SUMIF(BTS_매출관리!C:C,B193,BTS_매출관리!I:I)</f>
        <v>0</v>
      </c>
      <c r="D193">
        <f t="shared" si="2"/>
        <v>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61</v>
      </c>
    </row>
    <row r="195" spans="3:4" x14ac:dyDescent="0.3">
      <c r="C195" s="52">
        <f>SUMIF(BTS_매출관리!C:C,B195,BTS_매출관리!I:I)</f>
        <v>0</v>
      </c>
      <c r="D195">
        <f t="shared" si="3"/>
        <v>61</v>
      </c>
    </row>
    <row r="196" spans="3:4" x14ac:dyDescent="0.3">
      <c r="C196" s="52">
        <f>SUMIF(BTS_매출관리!C:C,B196,BTS_매출관리!I:I)</f>
        <v>0</v>
      </c>
      <c r="D196">
        <f t="shared" si="3"/>
        <v>61</v>
      </c>
    </row>
    <row r="197" spans="3:4" x14ac:dyDescent="0.3">
      <c r="C197" s="52">
        <f>SUMIF(BTS_매출관리!C:C,B197,BTS_매출관리!I:I)</f>
        <v>0</v>
      </c>
      <c r="D197">
        <f t="shared" si="3"/>
        <v>61</v>
      </c>
    </row>
    <row r="198" spans="3:4" x14ac:dyDescent="0.3">
      <c r="C198" s="52">
        <f>SUMIF(BTS_매출관리!C:C,B198,BTS_매출관리!I:I)</f>
        <v>0</v>
      </c>
      <c r="D198">
        <f t="shared" si="3"/>
        <v>61</v>
      </c>
    </row>
    <row r="199" spans="3:4" x14ac:dyDescent="0.3">
      <c r="C199" s="52">
        <f>SUMIF(BTS_매출관리!C:C,B199,BTS_매출관리!I:I)</f>
        <v>0</v>
      </c>
      <c r="D199">
        <f t="shared" si="3"/>
        <v>61</v>
      </c>
    </row>
    <row r="200" spans="3:4" x14ac:dyDescent="0.3">
      <c r="C200" s="52">
        <f>SUMIF(BTS_매출관리!C:C,B200,BTS_매출관리!I:I)</f>
        <v>0</v>
      </c>
      <c r="D200">
        <f t="shared" si="3"/>
        <v>61</v>
      </c>
    </row>
    <row r="201" spans="3:4" x14ac:dyDescent="0.3">
      <c r="C201" s="52">
        <f>SUMIF(BTS_매출관리!C:C,B201,BTS_매출관리!I:I)</f>
        <v>0</v>
      </c>
      <c r="D201">
        <f t="shared" si="3"/>
        <v>61</v>
      </c>
    </row>
    <row r="202" spans="3:4" x14ac:dyDescent="0.3">
      <c r="C202" s="52">
        <f>SUMIF(BTS_매출관리!C:C,B202,BTS_매출관리!I:I)</f>
        <v>0</v>
      </c>
      <c r="D202">
        <f t="shared" si="3"/>
        <v>61</v>
      </c>
    </row>
    <row r="203" spans="3:4" x14ac:dyDescent="0.3">
      <c r="C203" s="52">
        <f>SUMIF(BTS_매출관리!C:C,B203,BTS_매출관리!I:I)</f>
        <v>0</v>
      </c>
      <c r="D203">
        <f t="shared" si="3"/>
        <v>61</v>
      </c>
    </row>
    <row r="204" spans="3:4" x14ac:dyDescent="0.3">
      <c r="C204" s="52">
        <f>SUMIF(BTS_매출관리!C:C,B204,BTS_매출관리!I:I)</f>
        <v>0</v>
      </c>
      <c r="D204">
        <f t="shared" si="3"/>
        <v>61</v>
      </c>
    </row>
    <row r="205" spans="3:4" x14ac:dyDescent="0.3">
      <c r="C205" s="52">
        <f>SUMIF(BTS_매출관리!C:C,B205,BTS_매출관리!I:I)</f>
        <v>0</v>
      </c>
      <c r="D205">
        <f t="shared" si="3"/>
        <v>61</v>
      </c>
    </row>
    <row r="206" spans="3:4" x14ac:dyDescent="0.3">
      <c r="C206" s="52">
        <f>SUMIF(BTS_매출관리!C:C,B206,BTS_매출관리!I:I)</f>
        <v>0</v>
      </c>
      <c r="D206">
        <f t="shared" si="3"/>
        <v>61</v>
      </c>
    </row>
    <row r="207" spans="3:4" x14ac:dyDescent="0.3">
      <c r="C207" s="52">
        <f>SUMIF(BTS_매출관리!C:C,B207,BTS_매출관리!I:I)</f>
        <v>0</v>
      </c>
      <c r="D207">
        <f t="shared" si="3"/>
        <v>61</v>
      </c>
    </row>
    <row r="208" spans="3:4" x14ac:dyDescent="0.3">
      <c r="C208" s="52">
        <f>SUMIF(BTS_매출관리!C:C,B208,BTS_매출관리!I:I)</f>
        <v>0</v>
      </c>
      <c r="D208">
        <f t="shared" si="3"/>
        <v>61</v>
      </c>
    </row>
    <row r="209" spans="3:4" x14ac:dyDescent="0.3">
      <c r="C209" s="52">
        <f>SUMIF(BTS_매출관리!C:C,B209,BTS_매출관리!I:I)</f>
        <v>0</v>
      </c>
      <c r="D209">
        <f t="shared" si="3"/>
        <v>61</v>
      </c>
    </row>
    <row r="210" spans="3:4" x14ac:dyDescent="0.3">
      <c r="C210" s="52">
        <f>SUMIF(BTS_매출관리!C:C,B210,BTS_매출관리!I:I)</f>
        <v>0</v>
      </c>
      <c r="D210">
        <f t="shared" si="3"/>
        <v>61</v>
      </c>
    </row>
    <row r="211" spans="3:4" x14ac:dyDescent="0.3">
      <c r="C211" s="52">
        <f>SUMIF(BTS_매출관리!C:C,B211,BTS_매출관리!I:I)</f>
        <v>0</v>
      </c>
      <c r="D211">
        <f t="shared" si="3"/>
        <v>61</v>
      </c>
    </row>
    <row r="212" spans="3:4" x14ac:dyDescent="0.3">
      <c r="C212" s="52">
        <f>SUMIF(BTS_매출관리!C:C,B212,BTS_매출관리!I:I)</f>
        <v>0</v>
      </c>
      <c r="D212">
        <f t="shared" si="3"/>
        <v>61</v>
      </c>
    </row>
    <row r="213" spans="3:4" x14ac:dyDescent="0.3">
      <c r="C213" s="52">
        <f>SUMIF(BTS_매출관리!C:C,B213,BTS_매출관리!I:I)</f>
        <v>0</v>
      </c>
      <c r="D213">
        <f t="shared" si="3"/>
        <v>61</v>
      </c>
    </row>
    <row r="214" spans="3:4" x14ac:dyDescent="0.3">
      <c r="C214" s="52">
        <f>SUMIF(BTS_매출관리!C:C,B214,BTS_매출관리!I:I)</f>
        <v>0</v>
      </c>
      <c r="D214">
        <f t="shared" si="3"/>
        <v>61</v>
      </c>
    </row>
    <row r="215" spans="3:4" x14ac:dyDescent="0.3">
      <c r="C215" s="52">
        <f>SUMIF(BTS_매출관리!C:C,B215,BTS_매출관리!I:I)</f>
        <v>0</v>
      </c>
      <c r="D215">
        <f t="shared" si="3"/>
        <v>61</v>
      </c>
    </row>
    <row r="216" spans="3:4" x14ac:dyDescent="0.3">
      <c r="C216" s="52">
        <f>SUMIF(BTS_매출관리!C:C,B216,BTS_매출관리!I:I)</f>
        <v>0</v>
      </c>
      <c r="D216">
        <f t="shared" si="3"/>
        <v>61</v>
      </c>
    </row>
    <row r="217" spans="3:4" x14ac:dyDescent="0.3">
      <c r="C217" s="52">
        <f>SUMIF(BTS_매출관리!C:C,B217,BTS_매출관리!I:I)</f>
        <v>0</v>
      </c>
      <c r="D217">
        <f t="shared" si="3"/>
        <v>61</v>
      </c>
    </row>
    <row r="218" spans="3:4" x14ac:dyDescent="0.3">
      <c r="C218" s="52">
        <f>SUMIF(BTS_매출관리!C:C,B218,BTS_매출관리!I:I)</f>
        <v>0</v>
      </c>
      <c r="D218">
        <f t="shared" si="3"/>
        <v>61</v>
      </c>
    </row>
    <row r="219" spans="3:4" x14ac:dyDescent="0.3">
      <c r="C219" s="52">
        <f>SUMIF(BTS_매출관리!C:C,B219,BTS_매출관리!I:I)</f>
        <v>0</v>
      </c>
      <c r="D219">
        <f t="shared" si="3"/>
        <v>61</v>
      </c>
    </row>
    <row r="220" spans="3:4" x14ac:dyDescent="0.3">
      <c r="C220" s="52">
        <f>SUMIF(BTS_매출관리!C:C,B220,BTS_매출관리!I:I)</f>
        <v>0</v>
      </c>
      <c r="D220">
        <f t="shared" si="3"/>
        <v>61</v>
      </c>
    </row>
    <row r="221" spans="3:4" x14ac:dyDescent="0.3">
      <c r="C221" s="52">
        <f>SUMIF(BTS_매출관리!C:C,B221,BTS_매출관리!I:I)</f>
        <v>0</v>
      </c>
      <c r="D221">
        <f t="shared" si="3"/>
        <v>61</v>
      </c>
    </row>
    <row r="222" spans="3:4" x14ac:dyDescent="0.3">
      <c r="C222" s="52">
        <f>SUMIF(BTS_매출관리!C:C,B222,BTS_매출관리!I:I)</f>
        <v>0</v>
      </c>
      <c r="D222">
        <f t="shared" si="3"/>
        <v>61</v>
      </c>
    </row>
    <row r="223" spans="3:4" x14ac:dyDescent="0.3">
      <c r="C223" s="52">
        <f>SUMIF(BTS_매출관리!C:C,B223,BTS_매출관리!I:I)</f>
        <v>0</v>
      </c>
      <c r="D223">
        <f t="shared" si="3"/>
        <v>61</v>
      </c>
    </row>
    <row r="224" spans="3:4" x14ac:dyDescent="0.3">
      <c r="C224" s="52">
        <f>SUMIF(BTS_매출관리!C:C,B224,BTS_매출관리!I:I)</f>
        <v>0</v>
      </c>
      <c r="D224">
        <f t="shared" si="3"/>
        <v>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1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1141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3572</v>
      </c>
      <c r="D887" t="s">
        <v>3579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3580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3581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3583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3584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3585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3586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3598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3599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3600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3601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3603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3604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3605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3606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3607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3608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3609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3610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3611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3618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3619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3620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3622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3630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3635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3636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3637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3638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3639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3640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3641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3645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3647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3648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3649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3650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3651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3652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3654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3656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3663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3665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3666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3667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3668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3716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3717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3718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3719</v>
      </c>
    </row>
    <row r="937" spans="1:4" x14ac:dyDescent="0.3">
      <c r="A937">
        <v>961</v>
      </c>
      <c r="B937" s="13">
        <v>45926</v>
      </c>
      <c r="C937" t="s">
        <v>3720</v>
      </c>
      <c r="D937" t="s">
        <v>3722</v>
      </c>
    </row>
    <row r="938" spans="1:4" x14ac:dyDescent="0.3">
      <c r="A938">
        <v>962</v>
      </c>
      <c r="B938" s="13">
        <v>45927</v>
      </c>
      <c r="C938" t="s">
        <v>3723</v>
      </c>
      <c r="D938" t="s">
        <v>3727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3730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3735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3741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3743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3744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3745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3746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3748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3750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3752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3753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3754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3755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3756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3757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3767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3768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3770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3771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3772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3773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3774</v>
      </c>
    </row>
    <row r="961" spans="1:4" x14ac:dyDescent="0.3">
      <c r="A961">
        <v>985</v>
      </c>
      <c r="B961" s="13">
        <v>45930</v>
      </c>
      <c r="C961" t="s">
        <v>3760</v>
      </c>
      <c r="D961" t="s">
        <v>3775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3810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3811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3812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3813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3815</v>
      </c>
    </row>
    <row r="967" spans="1:4" x14ac:dyDescent="0.3">
      <c r="A967">
        <v>991</v>
      </c>
      <c r="B967" s="13">
        <v>45931</v>
      </c>
      <c r="C967" t="s">
        <v>3816</v>
      </c>
      <c r="D967" t="s">
        <v>3817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3822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3823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3828</v>
      </c>
    </row>
    <row r="971" spans="1:4" x14ac:dyDescent="0.3">
      <c r="A971">
        <v>995</v>
      </c>
      <c r="B971" s="13">
        <v>45932</v>
      </c>
      <c r="C971" t="s">
        <v>3819</v>
      </c>
      <c r="D971" t="s">
        <v>3830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3831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3837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3840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3841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3843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3844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3848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3854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3855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3856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3858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3859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3860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3861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3862</v>
      </c>
    </row>
    <row r="987" spans="1:4" x14ac:dyDescent="0.3">
      <c r="A987">
        <v>1011</v>
      </c>
      <c r="B987" s="13">
        <v>45940</v>
      </c>
      <c r="C987" t="s">
        <v>3816</v>
      </c>
      <c r="D987" t="s">
        <v>3863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3864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3865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3872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3873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3874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3875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3879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3881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3883</v>
      </c>
    </row>
    <row r="997" spans="1:4" x14ac:dyDescent="0.3">
      <c r="A997">
        <v>1021</v>
      </c>
      <c r="B997" s="13">
        <v>45943</v>
      </c>
      <c r="C997" t="s">
        <v>3884</v>
      </c>
      <c r="D997" t="s">
        <v>3887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3888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3889</v>
      </c>
    </row>
    <row r="1000" spans="1:4" x14ac:dyDescent="0.3">
      <c r="A1000">
        <v>1024</v>
      </c>
      <c r="B1000" s="13">
        <v>45943</v>
      </c>
      <c r="C1000" t="s">
        <v>3890</v>
      </c>
      <c r="D1000" t="s">
        <v>3891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3892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3904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3905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3908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3910</v>
      </c>
    </row>
    <row r="1006" spans="1:4" x14ac:dyDescent="0.3">
      <c r="A1006">
        <v>1030</v>
      </c>
      <c r="B1006" s="13">
        <v>45944</v>
      </c>
      <c r="C1006" t="s">
        <v>3911</v>
      </c>
      <c r="D1006" t="s">
        <v>3914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3915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3916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3917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3918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3920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3923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3924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3926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3927</v>
      </c>
    </row>
    <row r="1016" spans="1:4" x14ac:dyDescent="0.3">
      <c r="A1016">
        <v>1040</v>
      </c>
      <c r="B1016" s="13">
        <v>45945</v>
      </c>
      <c r="C1016" t="s">
        <v>3928</v>
      </c>
      <c r="D1016" t="s">
        <v>3932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3934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3935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3937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3948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3949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3950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3951</v>
      </c>
    </row>
    <row r="1025" spans="1:4" x14ac:dyDescent="0.3">
      <c r="A1025">
        <v>1049</v>
      </c>
      <c r="B1025" s="13">
        <v>45946</v>
      </c>
      <c r="C1025" t="s">
        <v>3942</v>
      </c>
      <c r="D1025" t="s">
        <v>3952</v>
      </c>
    </row>
    <row r="1026" spans="1:4" x14ac:dyDescent="0.3">
      <c r="A1026">
        <v>1050</v>
      </c>
      <c r="B1026" s="13">
        <v>45946</v>
      </c>
      <c r="C1026" t="s">
        <v>3816</v>
      </c>
      <c r="D1026" t="s">
        <v>3953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3955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3962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3964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3965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3966</v>
      </c>
    </row>
    <row r="1033" spans="1:4" x14ac:dyDescent="0.3">
      <c r="A1033">
        <v>1057</v>
      </c>
      <c r="B1033" s="13">
        <v>45950</v>
      </c>
      <c r="C1033" t="s">
        <v>3967</v>
      </c>
      <c r="D1033" t="s">
        <v>3970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3971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3973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3974</v>
      </c>
    </row>
    <row r="1037" spans="1:4" x14ac:dyDescent="0.3">
      <c r="A1037">
        <v>1061</v>
      </c>
      <c r="B1037" s="13">
        <v>45950</v>
      </c>
      <c r="C1037" t="s">
        <v>3976</v>
      </c>
      <c r="D1037" t="s">
        <v>3977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3978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3980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3982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3984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3987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3988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3989</v>
      </c>
    </row>
    <row r="1046" spans="1:4" x14ac:dyDescent="0.3">
      <c r="A1046">
        <v>1070</v>
      </c>
      <c r="B1046" s="13">
        <v>45951</v>
      </c>
      <c r="C1046" t="s">
        <v>3928</v>
      </c>
      <c r="D1046" t="s">
        <v>3990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3994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3996</v>
      </c>
    </row>
    <row r="1049" spans="1:4" x14ac:dyDescent="0.3">
      <c r="A1049">
        <v>1073</v>
      </c>
      <c r="B1049" s="13">
        <v>45951</v>
      </c>
      <c r="C1049" t="s">
        <v>3997</v>
      </c>
      <c r="D1049" t="s">
        <v>3998</v>
      </c>
    </row>
    <row r="1050" spans="1:4" x14ac:dyDescent="0.3">
      <c r="A1050">
        <v>1074</v>
      </c>
      <c r="B1050" s="13">
        <v>45952</v>
      </c>
      <c r="C1050" t="s">
        <v>3999</v>
      </c>
      <c r="D1050" t="s">
        <v>4005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4006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4007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4008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4010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4011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4014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4015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4016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4017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4018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4019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4020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4022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4023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4032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4038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4039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4040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4041</v>
      </c>
    </row>
    <row r="1070" spans="1:4" x14ac:dyDescent="0.3">
      <c r="A1070">
        <v>1094</v>
      </c>
      <c r="B1070" s="13">
        <v>45955</v>
      </c>
      <c r="C1070" t="s">
        <v>4042</v>
      </c>
      <c r="D1070" t="s">
        <v>4046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4047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4048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4049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4053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4068</v>
      </c>
    </row>
    <row r="1076" spans="1:4" x14ac:dyDescent="0.3">
      <c r="A1076">
        <v>1100</v>
      </c>
      <c r="B1076" s="13">
        <v>45957</v>
      </c>
      <c r="C1076" t="s">
        <v>4063</v>
      </c>
      <c r="D1076" t="s">
        <v>4069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4070</v>
      </c>
    </row>
    <row r="1078" spans="1:4" x14ac:dyDescent="0.3">
      <c r="A1078">
        <v>1102</v>
      </c>
      <c r="B1078" s="13">
        <v>45957</v>
      </c>
      <c r="C1078" t="s">
        <v>4059</v>
      </c>
      <c r="D1078" t="s">
        <v>4071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4072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4073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4083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4084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4095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4096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4097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4099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4100</v>
      </c>
    </row>
    <row r="1088" spans="1:4" x14ac:dyDescent="0.3">
      <c r="A1088">
        <v>1112</v>
      </c>
      <c r="B1088" s="13">
        <v>45958</v>
      </c>
      <c r="C1088" t="s">
        <v>4089</v>
      </c>
      <c r="D1088" t="s">
        <v>4101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4102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4112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4113</v>
      </c>
    </row>
    <row r="1092" spans="1:4" x14ac:dyDescent="0.3">
      <c r="A1092">
        <v>1116</v>
      </c>
      <c r="B1092" s="13">
        <v>45959</v>
      </c>
      <c r="C1092" t="s">
        <v>4109</v>
      </c>
      <c r="D1092" t="s">
        <v>4115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4116</v>
      </c>
    </row>
    <row r="1094" spans="1:4" x14ac:dyDescent="0.3">
      <c r="A1094">
        <v>1118</v>
      </c>
      <c r="B1094" s="13">
        <v>45959</v>
      </c>
      <c r="C1094" t="s">
        <v>4042</v>
      </c>
      <c r="D1094" t="s">
        <v>4117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4118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4119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4128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4129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4132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4133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4134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4136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4137</v>
      </c>
    </row>
    <row r="1104" spans="1:4" x14ac:dyDescent="0.3">
      <c r="A1104">
        <v>1128</v>
      </c>
      <c r="B1104" s="13">
        <v>45960</v>
      </c>
      <c r="C1104" t="s">
        <v>4063</v>
      </c>
      <c r="D1104" t="s">
        <v>4138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4139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4140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4141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4142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4169</v>
      </c>
    </row>
    <row r="1110" spans="1:4" x14ac:dyDescent="0.3">
      <c r="A1110">
        <v>1134</v>
      </c>
      <c r="B1110" s="13">
        <v>45961</v>
      </c>
      <c r="C1110" t="s">
        <v>4170</v>
      </c>
      <c r="D1110" t="s">
        <v>4173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4174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4175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4176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4177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4180</v>
      </c>
    </row>
    <row r="1116" spans="1:4" x14ac:dyDescent="0.3">
      <c r="A1116">
        <v>1140</v>
      </c>
      <c r="B1116" t="s">
        <v>4188</v>
      </c>
      <c r="C1116" t="s">
        <v>1721</v>
      </c>
      <c r="D1116" t="s">
        <v>4189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2" sqref="G1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200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3642</v>
      </c>
      <c r="E4" t="s">
        <v>3643</v>
      </c>
      <c r="F4" t="s">
        <v>963</v>
      </c>
      <c r="G4" t="s">
        <v>3644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2400000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3797</v>
      </c>
      <c r="F14" t="s">
        <v>3792</v>
      </c>
      <c r="G14" t="s">
        <v>3798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15188000.199999999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2845000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400000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2150000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3617</v>
      </c>
      <c r="J33" t="s">
        <v>3617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4181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3806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3759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3866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4181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4024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3995</v>
      </c>
      <c r="J61" t="s">
        <v>3995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3876</v>
      </c>
      <c r="H65" s="194">
        <f>SUMIF(주문_리스트!C:C,거래처!B65,주문_리스트!K:K)+SUMIF(주문_리스트!C:C,거래처!B65,주문_리스트!L:L)</f>
        <v>0</v>
      </c>
      <c r="J65" t="s">
        <v>3895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4152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3791</v>
      </c>
      <c r="F73" t="s">
        <v>3792</v>
      </c>
      <c r="G73" t="s">
        <v>3793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3851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4181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6905000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4024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3804</v>
      </c>
      <c r="F84" t="s">
        <v>3792</v>
      </c>
      <c r="G84" t="s">
        <v>3805</v>
      </c>
      <c r="H84" s="194">
        <f>SUMIF(주문_리스트!C:C,거래처!B84,주문_리스트!K:K)+SUMIF(주문_리스트!C:C,거래처!B84,주문_리스트!L:L)-1100000</f>
        <v>4650000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3759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9.999999962747097E-2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3799</v>
      </c>
      <c r="F95" t="s">
        <v>3792</v>
      </c>
      <c r="G95" t="s">
        <v>3800</v>
      </c>
      <c r="H95" s="194">
        <f>SUMIF(주문_리스트!C:C,거래처!B95,주문_리스트!K:K)+SUMIF(주문_리스트!C:C,거래처!B95,주문_리스트!L:L)-715000</f>
        <v>0</v>
      </c>
      <c r="J95" t="s">
        <v>4153</v>
      </c>
    </row>
    <row r="96" spans="1:11" x14ac:dyDescent="0.3">
      <c r="A96" s="47">
        <v>95</v>
      </c>
      <c r="B96" t="s">
        <v>1351</v>
      </c>
      <c r="C96" t="s">
        <v>3595</v>
      </c>
      <c r="E96" t="s">
        <v>3596</v>
      </c>
      <c r="F96" t="s">
        <v>963</v>
      </c>
      <c r="G96" t="s">
        <v>3597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7521000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4024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3947</v>
      </c>
      <c r="H102" s="194">
        <f>SUMIF(주문_리스트!C:C,거래처!B102,주문_리스트!K:K)+SUMIF(주문_리스트!C:C,거래처!B102,주문_리스트!L:L)</f>
        <v>0</v>
      </c>
      <c r="J102" t="s">
        <v>3897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3847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3893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3617</v>
      </c>
    </row>
    <row r="115" spans="1:10" x14ac:dyDescent="0.3">
      <c r="A115" s="47">
        <v>114</v>
      </c>
      <c r="B115" t="s">
        <v>4043</v>
      </c>
      <c r="C115" t="s">
        <v>4044</v>
      </c>
      <c r="E115" t="s">
        <v>4045</v>
      </c>
      <c r="F115" t="s">
        <v>4054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1600000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3938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4015000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3617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3794</v>
      </c>
      <c r="F148" t="s">
        <v>3795</v>
      </c>
      <c r="G148" t="s">
        <v>3796</v>
      </c>
      <c r="H148" s="194">
        <f>SUMIF(주문_리스트!C:C,거래처!B148,주문_리스트!K:K)+SUMIF(주문_리스트!C:C,거래처!B148,주문_리스트!L:L)</f>
        <v>0</v>
      </c>
      <c r="K148" t="s">
        <v>4024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4156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3759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4158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4024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3736</v>
      </c>
      <c r="C176" t="s">
        <v>3737</v>
      </c>
      <c r="E176" t="s">
        <v>3738</v>
      </c>
      <c r="F176" t="s">
        <v>3739</v>
      </c>
      <c r="G176" t="s">
        <v>3738</v>
      </c>
      <c r="H176" s="194">
        <f>SUMIF(주문_리스트!C:C,거래처!B176,주문_리스트!K:K)+SUMIF(주문_리스트!C:C,거래처!B176,주문_리스트!L:L)</f>
        <v>0</v>
      </c>
      <c r="J176" t="s">
        <v>3901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4024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3617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3759</v>
      </c>
    </row>
    <row r="183" spans="1:11" x14ac:dyDescent="0.3">
      <c r="A183" s="47">
        <v>182</v>
      </c>
      <c r="B183" t="s">
        <v>3761</v>
      </c>
      <c r="C183" t="s">
        <v>3762</v>
      </c>
      <c r="E183" t="s">
        <v>3763</v>
      </c>
      <c r="F183" t="s">
        <v>3764</v>
      </c>
      <c r="G183" t="s">
        <v>3765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3573</v>
      </c>
      <c r="C185" t="s">
        <v>3574</v>
      </c>
      <c r="E185" t="s">
        <v>3575</v>
      </c>
      <c r="F185" t="s">
        <v>963</v>
      </c>
      <c r="G185" t="s">
        <v>3576</v>
      </c>
      <c r="H185" s="194">
        <f>SUMIF(주문_리스트!C:C,거래처!B185,주문_리스트!K:K)+SUMIF(주문_리스트!C:C,거래처!B185,주문_리스트!L:L)</f>
        <v>0</v>
      </c>
      <c r="J185" t="s">
        <v>3617</v>
      </c>
    </row>
    <row r="186" spans="1:11" x14ac:dyDescent="0.3">
      <c r="A186" s="47">
        <v>185</v>
      </c>
      <c r="B186" t="s">
        <v>3632</v>
      </c>
      <c r="C186" t="s">
        <v>3633</v>
      </c>
      <c r="E186" t="s">
        <v>3634</v>
      </c>
      <c r="F186" t="s">
        <v>1180</v>
      </c>
      <c r="G186" t="s">
        <v>3631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3723</v>
      </c>
      <c r="C187" t="s">
        <v>3724</v>
      </c>
      <c r="E187" t="s">
        <v>3725</v>
      </c>
      <c r="F187" t="s">
        <v>1180</v>
      </c>
      <c r="G187" t="s">
        <v>3726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3819</v>
      </c>
      <c r="C188" t="s">
        <v>3820</v>
      </c>
      <c r="E188" t="s">
        <v>3821</v>
      </c>
      <c r="F188" t="s">
        <v>1180</v>
      </c>
      <c r="G188" t="s">
        <v>3821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3884</v>
      </c>
      <c r="C189" t="s">
        <v>3885</v>
      </c>
      <c r="E189" t="s">
        <v>3886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3903</v>
      </c>
    </row>
    <row r="190" spans="1:11" x14ac:dyDescent="0.3">
      <c r="A190" s="47">
        <v>189</v>
      </c>
      <c r="B190" t="s">
        <v>3911</v>
      </c>
      <c r="C190" t="s">
        <v>3912</v>
      </c>
      <c r="E190" t="s">
        <v>3913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3928</v>
      </c>
      <c r="C191" t="s">
        <v>3929</v>
      </c>
      <c r="E191" t="s">
        <v>3930</v>
      </c>
      <c r="F191" t="s">
        <v>976</v>
      </c>
      <c r="G191" t="s">
        <v>3931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3942</v>
      </c>
      <c r="C192" t="s">
        <v>3943</v>
      </c>
      <c r="E192" t="s">
        <v>3944</v>
      </c>
      <c r="F192" t="s">
        <v>963</v>
      </c>
      <c r="G192" t="s">
        <v>3945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3967</v>
      </c>
      <c r="C193" t="s">
        <v>3968</v>
      </c>
      <c r="E193" t="s">
        <v>3969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4000</v>
      </c>
      <c r="C194" t="s">
        <v>4001</v>
      </c>
      <c r="E194" t="s">
        <v>4002</v>
      </c>
      <c r="F194" t="s">
        <v>4003</v>
      </c>
      <c r="G194" t="s">
        <v>4004</v>
      </c>
      <c r="H194" s="194">
        <f>SUMIF(주문_리스트!C:C,거래처!B194,주문_리스트!K:K)+SUMIF(주문_리스트!C:C,거래처!B194,주문_리스트!L:L)</f>
        <v>0</v>
      </c>
      <c r="K194" t="s">
        <v>4024</v>
      </c>
    </row>
    <row r="195" spans="1:11" x14ac:dyDescent="0.3">
      <c r="A195" s="47">
        <v>195</v>
      </c>
      <c r="B195" t="s">
        <v>4059</v>
      </c>
      <c r="C195" t="s">
        <v>4060</v>
      </c>
      <c r="E195" t="s">
        <v>4061</v>
      </c>
      <c r="F195" t="s">
        <v>963</v>
      </c>
      <c r="G195" t="s">
        <v>4062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4063</v>
      </c>
      <c r="C196" t="s">
        <v>4064</v>
      </c>
      <c r="E196" t="s">
        <v>4065</v>
      </c>
      <c r="F196" t="s">
        <v>1180</v>
      </c>
      <c r="G196" t="s">
        <v>4066</v>
      </c>
      <c r="H196" s="194">
        <f>SUMIF(주문_리스트!C:C,거래처!B196,주문_리스트!K:K)+SUMIF(주문_리스트!C:C,거래처!B196,주문_리스트!L:L)</f>
        <v>0</v>
      </c>
      <c r="J196" t="s">
        <v>4160</v>
      </c>
    </row>
    <row r="197" spans="1:11" x14ac:dyDescent="0.3">
      <c r="A197" s="47">
        <v>197</v>
      </c>
      <c r="B197" t="s">
        <v>4089</v>
      </c>
      <c r="C197" t="s">
        <v>4090</v>
      </c>
      <c r="E197" t="s">
        <v>4091</v>
      </c>
      <c r="F197" t="s">
        <v>963</v>
      </c>
      <c r="G197" t="s">
        <v>4092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4109</v>
      </c>
      <c r="C198" t="s">
        <v>4110</v>
      </c>
      <c r="E198" t="s">
        <v>4111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4170</v>
      </c>
      <c r="C199" t="s">
        <v>4171</v>
      </c>
      <c r="E199" t="s">
        <v>4172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2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256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-53</v>
      </c>
      <c r="I8"/>
    </row>
    <row r="9" spans="1:11" x14ac:dyDescent="0.3">
      <c r="A9">
        <v>8</v>
      </c>
      <c r="B9">
        <v>2</v>
      </c>
      <c r="C9" s="288" t="s">
        <v>3845</v>
      </c>
      <c r="D9" s="288" t="s">
        <v>1140</v>
      </c>
      <c r="E9" s="288" t="s">
        <v>3845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3992</v>
      </c>
      <c r="D15" s="288" t="s">
        <v>1653</v>
      </c>
      <c r="E15" s="288" t="s">
        <v>3992</v>
      </c>
      <c r="F15" s="52">
        <v>1100000</v>
      </c>
      <c r="H15">
        <v>-7</v>
      </c>
      <c r="I15" s="52" t="s">
        <v>3664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-21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-88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-112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-32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-32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-20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-13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-37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-20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-8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-32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-13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-49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-49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-21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4036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4037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-52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-72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-112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-13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-12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-12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-20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4164</v>
      </c>
      <c r="D120" s="288" t="s">
        <v>4165</v>
      </c>
      <c r="E120" s="288" t="s">
        <v>4164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4162</v>
      </c>
      <c r="D121" s="288" t="s">
        <v>4163</v>
      </c>
      <c r="E121" s="288" t="s">
        <v>4162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-32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3846</v>
      </c>
      <c r="D139" s="288" t="s">
        <v>2684</v>
      </c>
      <c r="E139" s="288" t="s">
        <v>3846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3577</v>
      </c>
      <c r="D140" s="288" t="s">
        <v>2682</v>
      </c>
      <c r="E140" s="288" t="s">
        <v>3577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3993</v>
      </c>
      <c r="D145" s="288" t="s">
        <v>2210</v>
      </c>
      <c r="E145" s="288" t="s">
        <v>3993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3766</v>
      </c>
      <c r="D148" s="288" t="s">
        <v>2682</v>
      </c>
      <c r="E148" s="288" t="s">
        <v>3766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3578</v>
      </c>
      <c r="D152" s="288" t="s">
        <v>2517</v>
      </c>
      <c r="E152" s="288" t="s">
        <v>3578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4093</v>
      </c>
      <c r="D162" s="288" t="s">
        <v>2271</v>
      </c>
      <c r="E162" s="288" t="s">
        <v>4093</v>
      </c>
      <c r="F162" s="52">
        <v>80000</v>
      </c>
      <c r="G162" s="52">
        <v>45000</v>
      </c>
      <c r="H162">
        <v>-1</v>
      </c>
      <c r="I162" s="52" t="s">
        <v>4094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-20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4057</v>
      </c>
      <c r="D201" s="288" t="s">
        <v>4058</v>
      </c>
      <c r="E201" s="288" t="s">
        <v>4057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3568</v>
      </c>
      <c r="D216" s="288" t="s">
        <v>3569</v>
      </c>
      <c r="E216" s="288" t="s">
        <v>3568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3570</v>
      </c>
      <c r="D229" s="288" t="s">
        <v>3571</v>
      </c>
      <c r="E229" s="288" t="s">
        <v>3570</v>
      </c>
      <c r="H229" s="52">
        <v>0</v>
      </c>
    </row>
    <row r="230" spans="1:8" x14ac:dyDescent="0.3">
      <c r="A230">
        <v>229</v>
      </c>
      <c r="B230">
        <v>3</v>
      </c>
      <c r="D230" s="288" t="s">
        <v>3582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3587</v>
      </c>
      <c r="D231" s="288" t="s">
        <v>3588</v>
      </c>
      <c r="E231" s="288" t="s">
        <v>3587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3590</v>
      </c>
      <c r="D232" s="288" t="s">
        <v>3591</v>
      </c>
      <c r="E232" s="288" t="s">
        <v>3590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3592</v>
      </c>
      <c r="D233" s="288" t="s">
        <v>3582</v>
      </c>
      <c r="E233" s="288" t="s">
        <v>3592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3593</v>
      </c>
      <c r="D234" s="288" t="s">
        <v>3594</v>
      </c>
      <c r="E234" s="288" t="s">
        <v>3593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3628</v>
      </c>
      <c r="D235" s="288" t="s">
        <v>3629</v>
      </c>
      <c r="E235" s="288" t="s">
        <v>3628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3826</v>
      </c>
      <c r="D236" s="288" t="s">
        <v>3827</v>
      </c>
      <c r="E236" s="288" t="s">
        <v>3826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3838</v>
      </c>
      <c r="D237" s="288" t="s">
        <v>3838</v>
      </c>
      <c r="E237" s="288" t="s">
        <v>3839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3852</v>
      </c>
      <c r="E238" s="288" t="s">
        <v>3853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3877</v>
      </c>
      <c r="D239" s="288" t="s">
        <v>3878</v>
      </c>
      <c r="E239" s="288" t="s">
        <v>3877</v>
      </c>
    </row>
    <row r="240" spans="1:8" x14ac:dyDescent="0.3">
      <c r="A240">
        <v>243</v>
      </c>
      <c r="B240">
        <v>4</v>
      </c>
      <c r="C240" s="288" t="s">
        <v>3921</v>
      </c>
      <c r="D240" s="288" t="s">
        <v>3922</v>
      </c>
      <c r="E240" s="288" t="s">
        <v>3921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3961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3985</v>
      </c>
      <c r="D245" s="288" t="s">
        <v>3986</v>
      </c>
      <c r="E245" s="288" t="s">
        <v>3985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4009</v>
      </c>
      <c r="D246" s="288" t="s">
        <v>2918</v>
      </c>
      <c r="E246" s="288" t="s">
        <v>4009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4012</v>
      </c>
      <c r="D247" s="288" t="s">
        <v>4013</v>
      </c>
      <c r="E247" s="288" t="s">
        <v>4012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4033</v>
      </c>
      <c r="D248" s="288" t="s">
        <v>4034</v>
      </c>
      <c r="E248" s="288" t="s">
        <v>4033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4051</v>
      </c>
      <c r="D249" s="288" t="s">
        <v>4052</v>
      </c>
      <c r="E249" s="288" t="s">
        <v>4051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4056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4114</v>
      </c>
      <c r="D251" s="288" t="s">
        <v>2918</v>
      </c>
      <c r="E251" s="288" t="s">
        <v>4114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4126</v>
      </c>
      <c r="D252" s="288" t="s">
        <v>4127</v>
      </c>
      <c r="E252" s="288" t="s">
        <v>4126</v>
      </c>
      <c r="F252" s="52">
        <v>800000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2025-11-01T06:59:40Z</cp:lastPrinted>
  <dcterms:created xsi:type="dcterms:W3CDTF">2020-10-02T11:51:16Z</dcterms:created>
  <dcterms:modified xsi:type="dcterms:W3CDTF">2025-11-01T11:55:16Z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