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952A817-7720-442A-8661-FAAF08C6CBC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<sst xmlns="http://schemas.openxmlformats.org/spreadsheetml/2006/main" count="12563" uniqueCount="4236">
  <si>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</si>
  <si>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</si>
  <si>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</si>
  <si>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</si>
  <si>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</si>
  <si>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</si>
  <si>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</si>
  <si>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</si>
  <si>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</si>
  <si>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</si>
  <si>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</si>
  <si>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</si>
  <si>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</si>
  <si>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</si>
  <si>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</si>
  <si>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</si>
  <si>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</si>
  <si>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</si>
  <si>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</si>
  <si>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</si>
  <si>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</si>
  <si>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</si>
  <si>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</si>
  <si>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</si>
  <si>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</si>
  <si>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</si>
  <si>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</si>
  <si>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</si>
  <si>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</si>
  <si>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</si>
  <si>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</si>
  <si>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</si>
  <si>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</si>
  <si>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</si>
  <si>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</si>
  <si>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</si>
  <si>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</si>
  <si>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</si>
  <si>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</si>
  <si>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</si>
  <si>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</si>
  <si>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</si>
  <si>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</si>
  <si>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</si>
  <si>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</si>
  <si>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</si>
  <si>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</si>
  <si>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</si>
  <si>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</si>
  <si>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</si>
  <si>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</si>
  <si>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</si>
  <si>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</si>
  <si>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</si>
  <si>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</si>
  <si>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</si>
  <si>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</si>
  <si>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</si>
  <si>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</si>
  <si>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</si>
  <si>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</si>
  <si>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</si>
  <si>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</si>
  <si>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</si>
  <si>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</si>
  <si>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</si>
  <si>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</si>
  <si>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</si>
  <si>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</si>
  <si>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</si>
  <si>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</si>
  <si>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</si>
  <si>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</si>
  <si>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</si>
  <si>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</si>
  <si>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</si>
  <si>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</si>
  <si>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</si>
  <si>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</si>
  <si>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</si>
  <si>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</si>
  <si>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</si>
  <si>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</si>
  <si>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</si>
  <si>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</si>
  <si>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</si>
  <si>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</si>
  <si>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</si>
  <si>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</si>
  <si>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</si>
  <si>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</si>
  <si>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</si>
  <si>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</si>
  <si>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</si>
  <si>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</si>
  <si>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</si>
  <si>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</si>
  <si>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</si>
  <si>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</si>
  <si>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</si>
  <si>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</si>
  <si>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</si>
  <si>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</si>
  <si>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</si>
  <si>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</si>
  <si>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</si>
  <si>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</si>
  <si>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</si>
  <si>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</si>
  <si>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</si>
  <si>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</si>
  <si>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</si>
  <si>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</si>
  <si>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</si>
  <si>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</si>
  <si>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</si>
  <si>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</si>
  <si>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</si>
  <si>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</si>
  <si>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</si>
  <si>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</si>
  <si>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</si>
  <si>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</si>
  <si>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</si>
  <si>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</si>
  <si>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</si>
  <si>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</si>
  <si>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</si>
  <si>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</si>
  <si>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</si>
  <si>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</si>
  <si>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</si>
  <si>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</si>
  <si>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</si>
  <si>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</si>
  <si>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</si>
  <si>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</si>
  <si>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</si>
  <si>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</si>
  <si>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</si>
  <si>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</si>
  <si>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</si>
  <si>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</si>
  <si>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</si>
  <si>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</si>
  <si>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</si>
  <si>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</si>
  <si>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</si>
  <si>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</si>
  <si>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</si>
  <si>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</si>
  <si>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</si>
  <si>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</si>
  <si>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</si>
  <si>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</si>
  <si>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</si>
  <si>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</si>
  <si>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</si>
  <si>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</si>
  <si>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</si>
  <si>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</si>
  <si>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</si>
  <si>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</si>
  <si>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</si>
  <si>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</si>
  <si>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</si>
  <si>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</si>
  <si>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</si>
  <si>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</si>
  <si>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</si>
  <si>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</si>
  <si>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</si>
  <si>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</si>
  <si>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</si>
  <si>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</si>
  <si>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</si>
  <si>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</si>
  <si>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</si>
  <si>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</si>
  <si>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</si>
  <si>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</si>
  <si>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</si>
  <si>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</si>
  <si>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</si>
  <si>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</si>
  <si>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</si>
  <si>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</si>
  <si>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</si>
  <si>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</si>
  <si>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</si>
  <si>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</si>
  <si>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</si>
  <si>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</si>
  <si>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</si>
  <si>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</si>
  <si>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</si>
  <si>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</si>
  <si>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</si>
  <si>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</si>
  <si>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</si>
  <si>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</si>
  <si>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</si>
  <si>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</si>
  <si>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</si>
  <si>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</si>
  <si>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</si>
  <si>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</si>
  <si>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</si>
  <si>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</si>
  <si>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</si>
  <si>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</si>
  <si>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</si>
  <si>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</si>
  <si>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</si>
  <si>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</si>
  <si>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</si>
  <si>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</si>
  <si>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</si>
  <si>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</si>
  <si>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</si>
  <si>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</si>
  <si>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</si>
  <si>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</si>
  <si>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</si>
  <si>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</si>
  <si>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</si>
  <si>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</si>
  <si>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</si>
  <si>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</si>
  <si>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</si>
  <si>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</si>
  <si>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</si>
  <si>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</si>
  <si>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</si>
  <si>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</si>
  <si>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</si>
  <si>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</si>
  <si>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</si>
  <si>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</si>
  <si>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</si>
  <si>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</si>
  <si>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</si>
  <si>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</si>
  <si>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</si>
  <si>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</si>
  <si>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</si>
  <si>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</si>
  <si>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</si>
  <si>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</si>
  <si>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</si>
  <si>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</si>
  <si>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</si>
  <si>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</si>
  <si>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</si>
  <si>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</si>
  <si>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</si>
  <si>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</si>
  <si>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</si>
  <si>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</si>
  <si>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</si>
  <si>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</si>
  <si>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</si>
  <si>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</si>
  <si>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</si>
  <si>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</si>
  <si>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</si>
  <si>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</si>
  <si>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</si>
  <si>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</si>
  <si>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</si>
  <si>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</si>
  <si>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</si>
  <si>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</si>
  <si>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</si>
  <si>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</si>
  <si>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</si>
  <si>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</si>
  <si>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</si>
  <si>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</si>
  <si>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</si>
  <si>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</si>
  <si>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</si>
  <si>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</si>
  <si>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</si>
  <si>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</si>
  <si>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</si>
  <si>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</si>
  <si>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</si>
  <si>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</si>
  <si>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</si>
  <si>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</si>
  <si>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</si>
  <si>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</si>
  <si>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</si>
  <si>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</si>
  <si>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</si>
  <si>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</si>
  <si>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</si>
  <si>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</si>
  <si>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</si>
  <si>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</si>
  <si>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</si>
  <si>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</si>
  <si>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</si>
  <si>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</si>
  <si>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</si>
  <si>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</si>
  <si>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</si>
  <si>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</si>
  <si>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</si>
  <si>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</si>
  <si>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</si>
  <si>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</si>
  <si>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</si>
  <si>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</si>
  <si>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</si>
  <si>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</si>
  <si>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</si>
  <si>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</si>
  <si>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</si>
  <si>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</si>
  <si>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</si>
  <si>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</si>
  <si>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</si>
  <si>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</si>
  <si>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</si>
  <si>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</si>
  <si>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</si>
  <si>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</si>
  <si>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</si>
  <si>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</si>
  <si>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</si>
  <si>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</si>
  <si>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</si>
  <si>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</si>
  <si>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</si>
  <si>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</si>
  <si>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</si>
  <si>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</si>
  <si>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</si>
  <si>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</si>
  <si>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</si>
  <si>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</si>
  <si>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</si>
  <si>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</si>
  <si>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</si>
  <si>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</si>
  <si>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</si>
  <si>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</si>
  <si>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</si>
  <si>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</si>
  <si>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</si>
  <si>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</si>
  <si>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</si>
  <si>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</si>
  <si>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</si>
  <si>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</si>
  <si>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</si>
  <si>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</si>
  <si>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</si>
  <si>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</si>
  <si>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</si>
  <si>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</si>
  <si>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</si>
  <si>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</si>
  <si>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</si>
  <si>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</si>
  <si>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</si>
  <si>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</si>
  <si>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</si>
  <si>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</si>
  <si>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</si>
  <si>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</si>
  <si>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</si>
  <si>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</si>
  <si>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</si>
  <si>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</si>
  <si>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</si>
  <si>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</si>
  <si>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</si>
  <si>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</si>
  <si>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</si>
  <si>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</si>
  <si>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</si>
  <si>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</si>
  <si>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</si>
  <si>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</si>
  <si>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</si>
  <si>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</si>
  <si>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</si>
  <si>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</si>
  <si>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</si>
  <si>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</si>
  <si>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</si>
  <si>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</si>
  <si>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</si>
  <si>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</si>
  <si>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</si>
  <si>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</si>
  <si>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</si>
  <si>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</si>
  <si>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</si>
  <si>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</si>
  <si>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</si>
  <si>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</si>
  <si>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</si>
  <si>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</si>
  <si>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</si>
  <si>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</si>
  <si>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</si>
  <si>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</si>
  <si>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</si>
  <si>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</si>
  <si>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</si>
  <si>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</si>
  <si>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</si>
  <si>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</si>
  <si>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</si>
  <si>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</si>
  <si>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</si>
  <si>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</si>
  <si>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</si>
  <si>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</si>
  <si>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</si>
  <si>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</si>
  <si>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</si>
  <si>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</si>
  <si>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</si>
  <si>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</si>
  <si>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</si>
  <si>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</si>
  <si>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</si>
  <si>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</si>
  <si>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</si>
  <si>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</si>
  <si>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</si>
  <si>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</si>
  <si>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</si>
  <si>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</si>
  <si>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</si>
  <si>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</si>
  <si>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</si>
  <si>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</si>
  <si>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</si>
  <si>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</si>
  <si>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</si>
  <si>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</si>
  <si>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</si>
  <si>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</si>
  <si>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</si>
  <si>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</si>
  <si>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</si>
  <si>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</si>
  <si>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</si>
  <si>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</si>
  <si>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</si>
  <si>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</si>
  <si>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</si>
  <si>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</si>
  <si>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</si>
  <si>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</si>
  <si>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</si>
  <si>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</si>
  <si>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</si>
  <si>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</si>
  <si>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</si>
  <si>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</si>
  <si>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</si>
  <si>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</si>
  <si>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</si>
  <si>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</si>
  <si>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</si>
  <si>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</si>
  <si>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</si>
  <si>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</si>
  <si>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</si>
  <si>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</si>
  <si>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</si>
  <si>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</si>
  <si>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</si>
  <si>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</si>
  <si>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</si>
  <si>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</si>
  <si>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</si>
  <si>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</si>
  <si>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</si>
  <si>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</si>
  <si>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</si>
  <si>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</si>
  <si>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</si>
  <si>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</si>
  <si>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</si>
  <si>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</si>
  <si>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</si>
  <si>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</si>
  <si>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</si>
  <si>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</si>
  <si>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</si>
  <si>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</si>
  <si>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</si>
  <si>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</si>
  <si>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</si>
  <si>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</si>
  <si>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</si>
  <si>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</si>
  <si>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</si>
  <si>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</si>
  <si>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</si>
  <si>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</si>
  <si>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</si>
  <si>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</si>
  <si>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</si>
  <si>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</si>
  <si>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</si>
  <si>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</si>
  <si>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</si>
  <si>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</si>
  <si>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</si>
  <si>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</si>
  <si>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</si>
  <si>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</si>
  <si>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</si>
  <si>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</si>
  <si>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</si>
  <si>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</si>
  <si>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</si>
  <si>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</si>
  <si>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</si>
  <si>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</si>
  <si>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</si>
  <si>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</si>
  <si>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</si>
  <si>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</si>
  <si>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</si>
  <si>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</si>
  <si>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</si>
  <si>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</si>
  <si>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</si>
  <si>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</si>
  <si>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</si>
  <si>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</si>
  <si>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</si>
  <si>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</si>
  <si>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</si>
  <si>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</si>
  <si>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</si>
  <si>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</si>
  <si>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</si>
  <si>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</si>
  <si>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</si>
  <si>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</si>
  <si>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</si>
  <si>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</si>
  <si>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</si>
  <si>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</si>
  <si>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</si>
  <si>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</si>
  <si>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</si>
  <si>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</si>
  <si>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</si>
  <si>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</si>
  <si>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</si>
  <si>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</si>
  <si>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</si>
  <si>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</si>
  <si>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</si>
  <si>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</si>
  <si>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</si>
  <si>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</si>
  <si>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</si>
  <si>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</si>
  <si>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</si>
  <si>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</si>
  <si>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</si>
  <si>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</si>
  <si>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</si>
  <si>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</si>
  <si>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</si>
  <si>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</si>
  <si>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</si>
  <si>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</si>
  <si>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</si>
  <si>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</si>
  <si>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</si>
  <si>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</si>
  <si>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</si>
  <si>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</si>
  <si>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</si>
  <si>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</si>
  <si>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</si>
  <si>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</si>
  <si>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</si>
  <si>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</si>
  <si>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</si>
  <si>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</si>
  <si>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</si>
  <si>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</si>
  <si>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</si>
  <si>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</si>
  <si>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</si>
  <si>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</si>
  <si>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</si>
  <si>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</si>
  <si>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</si>
  <si>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</si>
  <si>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</si>
  <si>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</si>
  <si>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</si>
  <si>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</si>
  <si>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</si>
  <si>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</si>
  <si>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</si>
  <si>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</si>
  <si>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</si>
  <si>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</si>
  <si>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</si>
  <si>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</si>
  <si>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</si>
  <si>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</si>
  <si>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</si>
  <si>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</si>
  <si>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</si>
  <si>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</si>
  <si>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</si>
  <si>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</si>
  <si>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</si>
  <si>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</si>
  <si>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</si>
  <si>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</si>
  <si>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</si>
  <si>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</si>
  <si>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</si>
  <si>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</si>
  <si>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</si>
  <si>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</si>
  <si>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</si>
  <si>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</si>
  <si>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</si>
  <si>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</si>
  <si>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</si>
  <si>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</si>
  <si>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</si>
  <si>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</si>
  <si>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</si>
  <si>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</si>
  <si>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</si>
  <si>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</si>
  <si>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</si>
  <si>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</si>
  <si>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</si>
  <si>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</si>
  <si>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</si>
  <si>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</si>
  <si>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</si>
  <si>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</si>
  <si>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</si>
  <si>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</si>
  <si>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</si>
  <si>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</si>
  <si>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</si>
  <si>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</si>
  <si>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</si>
  <si>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</si>
  <si>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</si>
  <si>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</si>
  <si>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</si>
  <si>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</si>
  <si>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</si>
  <si>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</si>
  <si>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</si>
  <si>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</si>
  <si>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</si>
  <si>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</si>
  <si>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</si>
  <si>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</si>
  <si>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</si>
  <si>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</si>
  <si>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</si>
  <si>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</si>
  <si>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</si>
  <si>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</si>
  <si>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</si>
  <si>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</si>
  <si>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</si>
  <si>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</si>
  <si>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</si>
  <si>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</si>
  <si>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</si>
  <si>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</si>
  <si>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</si>
  <si>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</si>
  <si>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</si>
  <si>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</si>
  <si>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</si>
  <si>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</si>
  <si>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</si>
  <si>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</si>
  <si>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</si>
  <si>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</si>
  <si>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</si>
  <si>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</si>
  <si>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</si>
  <si>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</si>
  <si>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</si>
  <si>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</si>
  <si>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</si>
  <si>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</si>
  <si>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</si>
  <si>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</si>
  <si>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</si>
  <si>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</si>
  <si>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</si>
  <si>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</si>
  <si>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</si>
  <si>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</si>
  <si>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</si>
  <si>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</si>
  <si>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</si>
  <si>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</si>
  <si>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</si>
  <si>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</si>
  <si>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</si>
  <si>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</si>
  <si>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</si>
  <si>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</si>
  <si>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</si>
  <si>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</si>
  <si>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</si>
  <si>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</si>
  <si>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</si>
  <si>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</si>
  <si>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</si>
  <si>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</si>
  <si>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</si>
  <si>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</si>
  <si>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</si>
  <si>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</si>
  <si>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</si>
  <si>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</si>
  <si>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</si>
  <si>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</si>
  <si>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</si>
  <si>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</si>
  <si>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</si>
  <si>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</si>
  <si>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</si>
  <si>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</si>
  <si>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</si>
  <si>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</si>
  <si>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</si>
  <si>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</si>
  <si>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</si>
  <si>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</si>
  <si>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</si>
  <si>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</si>
  <si>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</si>
  <si>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</si>
  <si>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</si>
  <si>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</si>
  <si>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</si>
  <si>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</si>
  <si>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</si>
  <si>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</si>
  <si>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</si>
  <si>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</si>
  <si>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</si>
  <si>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</si>
  <si>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</si>
  <si>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</si>
  <si>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</si>
  <si>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</si>
  <si>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</si>
  <si>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</si>
  <si>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</si>
  <si>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</si>
  <si>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</si>
  <si>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</si>
  <si>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</si>
  <si>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</si>
  <si>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</si>
  <si>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</si>
  <si>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</si>
  <si>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</si>
  <si>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</si>
  <si>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</si>
  <si>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</si>
  <si>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</si>
  <si>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</si>
  <si>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</si>
  <si>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</si>
  <si>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</si>
  <si>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</si>
  <si>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</si>
  <si>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</si>
  <si>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</si>
  <si>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</si>
  <si>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</si>
  <si>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</si>
  <si>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</si>
  <si>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</si>
  <si>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</si>
  <si>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</si>
  <si>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</si>
  <si>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</si>
  <si>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</si>
  <si>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</si>
  <si>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</si>
  <si>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</si>
  <si>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</si>
  <si>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</si>
  <si>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</si>
  <si>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</si>
  <si>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</si>
  <si>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</si>
  <si>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</si>
  <si>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</si>
  <si>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</si>
  <si>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</si>
  <si>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</si>
  <si>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</si>
  <si>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</si>
  <si>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</si>
  <si>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</si>
  <si>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</si>
  <si>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</si>
  <si>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</si>
  <si>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</si>
  <si>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</si>
  <si>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</si>
  <si>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</si>
  <si>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</si>
  <si>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</si>
  <si>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</si>
  <si>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</si>
  <si>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</si>
  <si>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</si>
  <si>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</si>
  <si>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</si>
  <si>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</si>
  <si>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</si>
  <si>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</si>
  <si>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</si>
  <si>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</si>
  <si>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</si>
  <si>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</si>
  <si>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</si>
  <si>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</si>
  <si>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</si>
  <si>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</si>
  <si>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</si>
  <si>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</si>
  <si>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</si>
  <si>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</si>
  <si>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</si>
  <si>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</si>
  <si>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</si>
  <si>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</si>
  <si>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</si>
  <si>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</si>
  <si>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</si>
  <si>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</si>
  <si>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</si>
  <si>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</si>
  <si>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</si>
  <si>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</si>
  <si>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</si>
  <si>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</si>
  <si>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</si>
  <si>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</si>
  <si>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</si>
  <si>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</si>
  <si>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</si>
  <si>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</si>
  <si>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</si>
  <si>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</si>
  <si>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</si>
  <si>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</si>
  <si>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</si>
  <si>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</si>
  <si>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</si>
  <si>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</si>
  <si>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</si>
  <si>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</si>
  <si>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</si>
  <si>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</si>
  <si>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</si>
  <si>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</si>
  <si>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</si>
  <si>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</si>
  <si>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</si>
  <si>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</si>
  <si>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</si>
  <si>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</si>
  <si>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</si>
  <si>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</si>
  <si>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</si>
  <si>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</si>
  <si>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</si>
  <si>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</si>
  <si>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</si>
  <si>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</si>
  <si>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</si>
  <si>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</si>
  <si>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</si>
  <si>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</si>
  <si>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</si>
  <si>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</si>
  <si>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</si>
  <si>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</si>
  <si>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</si>
  <si>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</si>
  <si>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</si>
  <si>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</si>
  <si>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</si>
  <si>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</si>
  <si>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</si>
  <si>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</si>
  <si>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</si>
  <si>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</si>
  <si>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</si>
  <si>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</si>
  <si>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</si>
  <si>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</si>
  <si>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</si>
  <si>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</si>
  <si>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</si>
  <si>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</si>
  <si>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</si>
  <si>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</si>
  <si>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</si>
  <si>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</si>
  <si>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</si>
  <si>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</si>
  <si>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</si>
  <si>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</si>
  <si>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</si>
  <si>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</si>
  <si>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</si>
  <si>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</si>
  <si>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</si>
  <si>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</si>
  <si>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</si>
  <si>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</si>
  <si>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</si>
  <si>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</si>
  <si>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</si>
  <si>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</si>
  <si>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</si>
  <si>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</si>
  <si>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</si>
  <si>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</si>
  <si>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</si>
  <si>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</si>
  <si>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</si>
  <si>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</si>
  <si>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</si>
  <si>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</si>
  <si>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</si>
  <si>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</si>
  <si>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</si>
  <si>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</si>
  <si>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</si>
  <si>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</si>
  <si>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</si>
  <si>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</si>
  <si>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</si>
  <si>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</si>
  <si>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</si>
  <si>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</si>
  <si>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</si>
  <si>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</si>
  <si>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</si>
  <si>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</si>
  <si>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</si>
  <si>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</si>
  <si>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</si>
  <si>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</si>
  <si>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</si>
  <si>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</si>
  <si>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</si>
  <si>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</si>
  <si>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</si>
  <si>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</si>
  <si>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</si>
  <si>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</si>
  <si>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</si>
  <si>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</si>
  <si>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</si>
  <si>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</si>
  <si>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</si>
  <si>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</si>
  <si>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</si>
  <si>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</si>
  <si>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</si>
  <si>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</si>
  <si>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</si>
  <si>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</si>
  <si>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</si>
  <si>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</si>
  <si>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</si>
  <si>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</si>
  <si>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</si>
  <si>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</si>
  <si>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</si>
  <si>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</si>
  <si>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</si>
  <si>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</si>
  <si>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</si>
  <si>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</si>
  <si>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</si>
  <si>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</si>
  <si>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</si>
  <si>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</si>
  <si>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</si>
  <si>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</si>
  <si>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</si>
  <si>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</si>
  <si>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</si>
  <si>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</si>
  <si>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</si>
  <si>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</si>
  <si>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</si>
  <si>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</si>
  <si>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</si>
  <si>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</si>
  <si>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</si>
  <si>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</si>
  <si>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</si>
  <si>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</si>
  <si>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</si>
  <si>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</si>
  <si>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</si>
  <si>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</si>
  <si>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</si>
  <si>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</si>
  <si>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</si>
  <si>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</si>
  <si>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</si>
  <si>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</si>
  <si>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</si>
  <si>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</si>
  <si>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</si>
  <si>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</si>
  <si>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</si>
  <si>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</si>
  <si>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</si>
  <si>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</si>
  <si>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</si>
  <si>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</si>
  <si>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</si>
  <si>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</si>
  <si>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</si>
  <si>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</si>
  <si>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</si>
  <si>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</si>
  <si>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</si>
  <si>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</si>
  <si>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</si>
  <si>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</si>
  <si>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</si>
  <si>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</si>
  <si>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</si>
  <si>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</si>
  <si>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</si>
  <si>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</si>
  <si>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</si>
  <si>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</si>
  <si>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</si>
  <si>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</si>
  <si>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</si>
  <si>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</si>
  <si>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</si>
  <si>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</si>
  <si>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</si>
  <si>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</si>
  <si>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</si>
  <si>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</si>
  <si>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</si>
  <si>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</si>
  <si>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</si>
  <si>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</si>
  <si>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</si>
  <si>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</si>
  <si>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</si>
  <si>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</si>
  <si>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</si>
  <si>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</si>
  <si>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</si>
  <si>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</si>
  <si>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</si>
  <si>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</si>
  <si>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</si>
  <si>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</si>
  <si>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</si>
  <si>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</si>
  <si>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</si>
  <si>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</si>
  <si>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</si>
  <si>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</si>
  <si>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</si>
  <si>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</si>
  <si>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</si>
  <si>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</si>
  <si>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</si>
  <si>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</si>
  <si>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</si>
  <si>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</si>
  <si>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</si>
  <si>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</si>
  <si>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</si>
  <si>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</si>
  <si>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</si>
  <si>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</si>
  <si>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</si>
  <si>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</si>
  <si>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</si>
  <si>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</si>
  <si>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</si>
  <si>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</si>
  <si>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</si>
  <si>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</si>
  <si>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</si>
  <si>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</si>
  <si>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</si>
  <si>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</si>
  <si>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</si>
  <si>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</si>
  <si>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</si>
  <si>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</si>
  <si>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</si>
  <si>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</si>
  <si>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</si>
  <si>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</si>
  <si>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</si>
  <si>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</si>
  <si>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</si>
  <si>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</si>
  <si>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</si>
  <si>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</si>
  <si>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</si>
  <si>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</si>
  <si>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</si>
  <si>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</si>
  <si>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</si>
  <si>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</si>
  <si>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</si>
  <si>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</si>
  <si>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</si>
  <si>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</si>
  <si>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</si>
  <si>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</si>
  <si>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</si>
  <si>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</si>
  <si>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</si>
  <si>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</si>
  <si>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</si>
  <si>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</si>
  <si>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</si>
  <si>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</si>
  <si>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</si>
  <si>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</si>
  <si>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</si>
  <si>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</si>
  <si>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</si>
  <si>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</si>
  <si>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</si>
  <si>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</si>
  <si>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</si>
  <si>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</si>
  <si>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</si>
  <si>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</si>
  <si>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</si>
  <si>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</si>
  <si>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</si>
  <si>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</si>
  <si>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</si>
  <si>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</si>
  <si>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</si>
  <si>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</si>
  <si>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</si>
  <si>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</si>
  <si>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</si>
  <si>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</si>
  <si>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</si>
  <si>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</si>
  <si>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</si>
  <si>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</si>
  <si>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</si>
  <si>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</si>
  <si>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</si>
  <si>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</si>
  <si>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</si>
  <si>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</si>
  <si>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</si>
  <si>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</si>
  <si>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</si>
  <si>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</si>
  <si>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</si>
  <si>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</si>
  <si>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</si>
  <si>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</si>
  <si>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</si>
  <si>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</si>
  <si>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</si>
  <si>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</si>
  <si>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</si>
  <si>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</si>
  <si>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</si>
  <si>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</si>
  <si>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</si>
  <si>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</si>
  <si>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</si>
  <si>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</si>
  <si>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</si>
  <si>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</si>
  <si>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</si>
  <si>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</si>
  <si>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</si>
  <si>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</si>
  <si>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</si>
  <si>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</si>
  <si>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</si>
  <si>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</si>
  <si>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</si>
  <si>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</si>
  <si>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</si>
  <si>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</si>
  <si>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</si>
  <si>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</si>
  <si>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</si>
  <si>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</si>
  <si>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</si>
  <si>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</si>
  <si>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</si>
  <si>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</si>
  <si>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</si>
  <si>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</si>
  <si>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</si>
  <si>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</si>
  <si>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</si>
  <si>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</si>
  <si>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</si>
  <si>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</si>
  <si>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</si>
  <si>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</si>
  <si>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</si>
  <si>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</si>
  <si>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</si>
  <si>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</si>
  <si>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</si>
  <si>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</si>
  <si>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</si>
  <si>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</si>
  <si>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</si>
  <si>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</si>
  <si>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</si>
  <si>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</si>
  <si>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</si>
  <si>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</si>
  <si>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</si>
  <si>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</si>
  <si>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</si>
  <si>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</si>
  <si>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</si>
  <si>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</si>
  <si>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</si>
  <si>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</si>
  <si>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</si>
  <si>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</si>
  <si>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</si>
  <si>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</si>
  <si>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</si>
  <si>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</si>
  <si>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</si>
  <si>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</si>
  <si>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</si>
  <si>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</si>
  <si>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</si>
  <si>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</si>
  <si>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</si>
  <si>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</si>
  <si>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</si>
  <si>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</si>
  <si>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</si>
  <si>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</si>
  <si>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</si>
  <si>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</si>
  <si>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</si>
  <si>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</si>
  <si>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</si>
  <si>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</si>
  <si>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</si>
  <si>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</si>
  <si>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</si>
  <si>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</si>
  <si>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</si>
  <si>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</si>
  <si>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</si>
  <si>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</si>
  <si>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</si>
  <si>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</si>
  <si>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</si>
  <si>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</si>
  <si>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</si>
  <si>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</si>
  <si>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</si>
  <si>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</si>
  <si>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</si>
  <si>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</si>
  <si>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</si>
  <si>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</si>
  <si>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</si>
  <si>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</si>
  <si>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</si>
  <si>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</si>
  <si>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</si>
  <si>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</si>
  <si>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</si>
  <si>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</si>
  <si>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</si>
  <si>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</si>
  <si>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</si>
  <si>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</si>
  <si>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</si>
  <si>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</si>
  <si>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</si>
  <si>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</si>
  <si>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</si>
  <si>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</si>
  <si>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</si>
  <si>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</si>
  <si>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</si>
  <si>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</si>
  <si>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</si>
  <si>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</si>
  <si>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</si>
  <si>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</si>
  <si>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</si>
  <si>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</si>
  <si>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</si>
  <si>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</si>
  <si>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</si>
  <si>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</si>
  <si>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</si>
  <si>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</si>
  <si>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</si>
  <si>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</si>
  <si>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</si>
  <si>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</si>
  <si>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</si>
  <si>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</si>
  <si>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</si>
  <si>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</si>
  <si>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</si>
  <si>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</si>
  <si>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</si>
  <si>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</si>
  <si>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</si>
  <si>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</si>
  <si>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</si>
  <si>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</si>
  <si>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</si>
  <si>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</si>
  <si>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</si>
  <si>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</si>
  <si>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</si>
  <si>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</si>
  <si>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</si>
  <si>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</si>
  <si>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</si>
  <si>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</si>
  <si>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</si>
  <si>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</si>
  <si>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</si>
  <si>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</si>
  <si>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</si>
  <si>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</si>
  <si>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</si>
  <si>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</si>
  <si>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</si>
  <si>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</si>
  <si>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</si>
  <si>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</si>
  <si>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</si>
  <si>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</si>
  <si>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</si>
  <si>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</si>
  <si>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</si>
  <si>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</si>
  <si>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</si>
  <si>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</si>
  <si>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</si>
  <si>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</si>
  <si>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</si>
  <si>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</si>
  <si>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</si>
  <si>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</si>
  <si>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</si>
  <si>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</si>
  <si>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</si>
  <si>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</si>
  <si>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</si>
  <si>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</si>
  <si>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</si>
  <si>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</si>
  <si>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</si>
  <si>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</si>
  <si>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</si>
  <si>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</si>
  <si>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</si>
  <si>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</si>
  <si>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</si>
  <si>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</si>
  <si>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</si>
  <si>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</si>
  <si>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</si>
  <si>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</si>
  <si>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</si>
  <si>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</si>
  <si>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</si>
  <si>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</si>
  <si>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</si>
  <si>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</si>
  <si>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</si>
  <si>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</si>
  <si>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</si>
  <si>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</si>
  <si>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</si>
  <si>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</si>
  <si>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</si>
  <si>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</si>
  <si>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</si>
  <si>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</si>
  <si>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</si>
  <si>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</si>
  <si>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</si>
  <si>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</si>
  <si>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</si>
  <si>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</si>
  <si>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</si>
  <si>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</si>
  <si>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</si>
  <si>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</si>
  <si>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</si>
  <si>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</si>
  <si>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</si>
  <si>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</si>
  <si>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</si>
  <si>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</si>
  <si>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</si>
  <si>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</si>
  <si>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</si>
  <si>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</si>
  <si>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</si>
  <si>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</si>
  <si>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</si>
  <si>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</si>
  <si>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</si>
  <si>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</si>
  <si>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</si>
  <si>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</si>
  <si>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</si>
  <si>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</si>
  <si>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</si>
  <si>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</si>
  <si>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</si>
  <si>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</si>
  <si>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</si>
  <si>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</si>
  <si>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</si>
  <si>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</si>
  <si>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</si>
  <si>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</si>
  <si>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</si>
  <si>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</si>
  <si>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</si>
  <si>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</si>
  <si>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</si>
  <si>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</si>
  <si>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</si>
  <si>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</si>
  <si>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</si>
  <si>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</si>
  <si>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</si>
  <si>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</si>
  <si>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</si>
  <si>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</si>
  <si>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</si>
  <si>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</si>
  <si>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</si>
  <si>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</si>
  <si>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</si>
  <si>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</si>
  <si>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</si>
  <si>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</si>
  <si>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</si>
  <si>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</si>
  <si>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</si>
  <si>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</si>
  <si>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</si>
  <si>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</si>
  <si>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</si>
  <si>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</si>
  <si>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</si>
  <si>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</si>
  <si>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</si>
  <si>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</si>
  <si>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</si>
  <si>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</si>
  <si>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</si>
  <si>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</si>
  <si>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</si>
  <si>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</si>
  <si>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</si>
  <si>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</si>
  <si>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</si>
  <si>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</si>
  <si>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</si>
  <si>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</si>
  <si>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</si>
  <si>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</si>
  <si>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</si>
  <si>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</si>
  <si>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</si>
  <si>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</si>
  <si>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</si>
  <si>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</si>
  <si>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</si>
  <si>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</si>
  <si>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</si>
  <si>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</si>
  <si>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</si>
  <si>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</si>
  <si>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</si>
  <si>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</si>
  <si>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</si>
  <si>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</si>
  <si>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</si>
  <si>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</si>
  <si>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</si>
  <si>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</si>
  <si>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</si>
  <si>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</si>
  <si>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</si>
  <si>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</si>
  <si>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</si>
  <si>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</si>
  <si>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</si>
  <si>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</si>
  <si>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</si>
  <si>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</si>
  <si>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</si>
  <si>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</si>
  <si>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</si>
  <si>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</si>
  <si>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</si>
  <si>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</si>
  <si>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</si>
  <si>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</si>
  <si>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</si>
  <si>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</si>
  <si>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</si>
  <si>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</si>
  <si>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</si>
  <si>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</si>
  <si>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</si>
  <si>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</si>
  <si>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</si>
  <si>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</si>
  <si>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</si>
  <si>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</si>
  <si>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</si>
  <si>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</si>
  <si>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</si>
  <si>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</si>
  <si>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</si>
  <si>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</si>
  <si>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</si>
  <si>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</si>
  <si>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</si>
  <si>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</si>
  <si>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</si>
  <si>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</si>
  <si>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</si>
  <si>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</si>
  <si>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</si>
  <si>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</si>
  <si>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</si>
  <si>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</si>
  <si>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</si>
  <si>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</si>
  <si>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</si>
  <si>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</si>
  <si>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</si>
  <si>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</si>
  <si>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</si>
  <si>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</si>
  <si>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</si>
  <si>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</si>
  <si>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</si>
  <si>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</si>
  <si>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</si>
  <si>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</si>
  <si>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</si>
  <si>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</si>
  <si>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</si>
  <si>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</si>
  <si>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</si>
  <si>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</si>
  <si>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</si>
  <si>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</si>
  <si>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</si>
  <si>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</si>
  <si>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</si>
  <si>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</si>
  <si>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</si>
  <si>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</si>
  <si>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</si>
  <si>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</si>
  <si>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</si>
  <si>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</si>
  <si>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</si>
  <si>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</si>
  <si>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</si>
  <si>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</si>
  <si>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</si>
  <si>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</si>
  <si>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</si>
  <si>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</si>
  <si>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</si>
  <si>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</si>
  <si>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</si>
  <si>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</si>
  <si>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</si>
  <si>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</si>
  <si>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</si>
  <si>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</si>
  <si>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</si>
  <si>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</si>
  <si>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</si>
  <si>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</si>
  <si>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</si>
  <si>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</si>
  <si>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</si>
  <si>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</si>
  <si>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</si>
  <si>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</si>
  <si>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</si>
  <si>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</si>
  <si>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</si>
  <si>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</si>
  <si>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</si>
  <si>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</si>
  <si>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</si>
  <si>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</si>
  <si>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</si>
  <si>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</si>
  <si>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</si>
  <si>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</si>
  <si>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</si>
  <si>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</si>
  <si>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</si>
  <si>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</si>
  <si>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</si>
  <si>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</si>
  <si>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</si>
  <si>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</si>
  <si>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</si>
  <si>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</si>
  <si>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</si>
  <si>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</si>
  <si>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</si>
  <si>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</si>
  <si>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</si>
  <si>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</si>
  <si>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</si>
  <si>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</si>
  <si>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</si>
  <si>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</si>
  <si>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</si>
  <si>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</si>
  <si>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</si>
  <si>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</si>
  <si>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</si>
  <si>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</si>
  <si>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</si>
  <si>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</si>
  <si>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</si>
  <si>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</si>
  <si>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</si>
  <si>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</si>
  <si>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</si>
  <si>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</si>
  <si>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</si>
  <si>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</si>
  <si>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</si>
  <si>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</si>
  <si>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</si>
  <si>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</si>
  <si>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</si>
  <si>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</si>
  <si>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</si>
  <si>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</si>
  <si>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</si>
  <si>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</si>
  <si>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</si>
  <si>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</si>
  <si>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</si>
  <si>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</si>
  <si>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</si>
  <si>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</si>
  <si>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</si>
  <si>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</si>
  <si>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</si>
  <si>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</si>
  <si>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</si>
  <si>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</si>
  <si>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</si>
  <si>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</si>
  <si>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</si>
  <si>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</si>
  <si>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</si>
  <si>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</si>
  <si>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</si>
  <si>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</si>
  <si>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</si>
  <si>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</si>
  <si>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</si>
  <si>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</si>
  <si>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</si>
  <si>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</si>
  <si>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</si>
  <si>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</si>
  <si>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</si>
  <si>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</si>
  <si>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</si>
  <si>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</si>
  <si>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</si>
  <si>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</si>
  <si>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</si>
  <si>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</si>
  <si>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</si>
  <si>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</si>
  <si>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</si>
  <si>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</si>
  <si>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</si>
  <si>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</si>
  <si>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</si>
  <si>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</si>
  <si>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</si>
  <si>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</si>
  <si>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</si>
  <si>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</si>
  <si>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</si>
  <si>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</si>
  <si>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</si>
  <si>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</si>
  <si>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</si>
  <si>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</si>
  <si>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</si>
  <si>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</si>
  <si>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</si>
  <si>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</si>
  <si>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</si>
  <si>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</si>
  <si>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</si>
  <si>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</si>
  <si>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</si>
  <si>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</si>
  <si>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</si>
  <si>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</si>
  <si>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</si>
  <si>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</si>
  <si>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</si>
  <si>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</si>
  <si>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</si>
  <si>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</si>
  <si>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</si>
  <si>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</si>
  <si>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</si>
  <si>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</si>
  <si>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</si>
  <si>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</si>
  <si>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</si>
  <si>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</si>
  <si>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</si>
  <si>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</si>
  <si>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</si>
  <si>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</si>
  <si>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</si>
  <si>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</si>
  <si>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</si>
  <si>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</si>
  <si>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</si>
  <si>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</si>
  <si>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</si>
  <si>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</si>
  <si>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</si>
  <si>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</si>
  <si>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</si>
  <si>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</si>
  <si>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</si>
  <si>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</si>
  <si>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</si>
  <si>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</si>
  <si>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</si>
  <si>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</si>
  <si>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</si>
  <si>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</si>
  <si>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</si>
  <si>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</si>
  <si>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</si>
  <si>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</si>
  <si>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</si>
  <si>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</si>
  <si>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</si>
  <si>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</si>
  <si>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</si>
  <si>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</si>
  <si>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</si>
  <si>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</si>
  <si>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</si>
  <si>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</si>
  <si>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</si>
  <si>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</si>
  <si>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</si>
  <si>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</si>
  <si>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</si>
  <si>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</si>
  <si>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</si>
  <si>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</si>
  <si>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</si>
  <si>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</si>
  <si>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</si>
  <si>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</si>
  <si>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</si>
  <si>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</si>
  <si>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</si>
  <si>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</si>
  <si>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</si>
  <si>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</si>
  <si>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</si>
  <si>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</si>
  <si>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</si>
  <si>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</si>
  <si>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</si>
  <si>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</si>
  <si>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</si>
  <si>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</si>
  <si>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</si>
  <si>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</si>
  <si>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</si>
  <si>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</si>
  <si>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</si>
  <si>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</si>
  <si>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</si>
  <si>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</si>
  <si>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</si>
  <si>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</si>
  <si>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</si>
  <si>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</si>
  <si>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</si>
  <si>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</si>
  <si>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</si>
  <si>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</si>
  <si>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</si>
  <si>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</si>
  <si>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</si>
  <si>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</si>
  <si>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</si>
  <si>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</si>
  <si>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</si>
  <si>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</si>
  <si>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</si>
  <si>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</si>
  <si>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</si>
  <si>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</si>
  <si>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</si>
  <si>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</si>
  <si>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</si>
  <si>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</si>
  <si>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</si>
  <si>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</si>
  <si>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</si>
  <si>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</si>
  <si>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</si>
  <si>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</si>
  <si>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</si>
  <si>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</si>
  <si>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</si>
  <si>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</si>
  <si>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</si>
  <si>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</si>
  <si>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</si>
  <si>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</si>
  <si>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</si>
  <si>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</si>
  <si>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</si>
  <si>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</si>
  <si>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</si>
  <si>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</si>
  <si>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</si>
  <si>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</si>
  <si>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</si>
  <si>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</si>
  <si>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</si>
  <si>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</si>
  <si>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</si>
  <si>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</si>
  <si>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</si>
  <si>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</si>
  <si>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</si>
  <si>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</si>
  <si>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</si>
  <si>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</si>
  <si>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</si>
  <si>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</si>
  <si>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</si>
  <si>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</si>
  <si>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</si>
  <si>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</si>
  <si>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</si>
  <si>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</si>
  <si>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</si>
  <si>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</si>
  <si>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</si>
  <si>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</si>
  <si>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</si>
  <si>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</si>
  <si>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</si>
  <si>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</si>
  <si>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</si>
  <si>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</si>
  <si>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</si>
  <si>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</si>
  <si>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</si>
  <si>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</si>
  <si>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</si>
  <si>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</si>
  <si>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</si>
  <si>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</si>
  <si>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</si>
  <si>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</si>
  <si>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</si>
  <si>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</si>
  <si>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</si>
  <si>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</si>
  <si>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</si>
  <si>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</si>
  <si>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</si>
  <si>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</si>
  <si>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</si>
  <si>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</si>
  <si>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</si>
  <si>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</si>
  <si>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</si>
  <si>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</si>
  <si>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</si>
  <si>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</si>
  <si>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</si>
  <si>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</si>
  <si>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</si>
  <si>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</si>
  <si>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</si>
  <si>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</si>
  <si>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</si>
  <si>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</si>
  <si>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</si>
  <si>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</si>
  <si>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</si>
  <si>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</si>
  <si>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</si>
  <si>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</si>
  <si>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</si>
  <si>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</si>
  <si>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</si>
  <si>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</si>
  <si>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</si>
  <si>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</si>
  <si>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</si>
  <si>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</si>
  <si>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</si>
  <si>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</si>
  <si>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</si>
  <si>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</si>
  <si>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</si>
  <si>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</si>
  <si>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</si>
  <si>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</si>
  <si>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</si>
  <si>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</si>
  <si>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</si>
  <si>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</si>
  <si>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</si>
  <si>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</si>
  <si>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</si>
  <si>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</si>
  <si>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</si>
  <si>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</si>
  <si>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</si>
  <si>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</si>
  <si>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</si>
  <si>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</si>
  <si>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</si>
  <si>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</si>
  <si>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</si>
  <si>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</si>
  <si>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</si>
  <si>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</si>
  <si>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</si>
  <si>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</si>
  <si>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</si>
  <si>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</si>
  <si>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</si>
  <si>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</si>
  <si>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</si>
  <si>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</si>
  <si>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</si>
  <si>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</si>
  <si>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</si>
  <si>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</si>
  <si>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</si>
  <si>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</si>
  <si>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</si>
  <si>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</si>
  <si>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</si>
  <si>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</si>
  <si>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</si>
  <si>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</si>
  <si>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</si>
  <si>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</si>
  <si>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</si>
  <si>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</si>
  <si>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</si>
  <si>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</si>
  <si>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</si>
  <si>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</si>
  <si>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</si>
  <si>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</si>
  <si>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</si>
  <si>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</si>
  <si>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</si>
  <si>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</si>
  <si>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</si>
  <si>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</si>
  <si>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</si>
  <si>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</si>
  <si>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</si>
  <si>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</si>
  <si>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</si>
  <si>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</si>
  <si>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</si>
  <si>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</si>
  <si>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</si>
  <si>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</si>
  <si>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</si>
  <si>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</si>
  <si>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</si>
  <si>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</si>
  <si>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</si>
  <si>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</si>
  <si>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</si>
  <si>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</si>
  <si>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</si>
  <si>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</si>
  <si>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</si>
  <si>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</si>
  <si>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</si>
  <si>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</si>
  <si>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</si>
  <si>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</si>
  <si>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</si>
  <si>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</si>
  <si>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</si>
  <si>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</si>
  <si>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</si>
  <si>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</si>
  <si>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</si>
  <si>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</si>
  <si>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</si>
  <si>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</si>
  <si>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</si>
  <si>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</si>
  <si>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</si>
  <si>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</si>
  <si>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</si>
  <si>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</si>
  <si>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</si>
  <si>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</si>
  <si>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</si>
  <si>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</si>
  <si>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</si>
  <si>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</si>
  <si>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</si>
  <si>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</si>
  <si>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</si>
  <si>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</si>
  <si>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</si>
  <si>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</si>
  <si>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</si>
  <si>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</si>
  <si>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</si>
  <si>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</si>
  <si>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</si>
  <si>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</si>
  <si>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</si>
  <si>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</si>
  <si>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</si>
  <si>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</si>
  <si>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</si>
  <si>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</si>
  <si>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</si>
  <si>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</si>
  <si>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</si>
  <si>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</si>
  <si>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</si>
  <si>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</si>
  <si>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</si>
  <si>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</si>
  <si>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</si>
  <si>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</si>
  <si>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</si>
  <si>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</si>
  <si>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</si>
  <si>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</si>
  <si>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</si>
  <si>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</si>
  <si>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</si>
  <si>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</si>
  <si>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</si>
  <si>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</si>
  <si>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</si>
  <si>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</si>
  <si>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</si>
  <si>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</si>
  <si>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</si>
  <si>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</si>
  <si>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</si>
  <si>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</si>
  <si>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</si>
  <si>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</si>
  <si>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</si>
  <si>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</si>
  <si>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</si>
  <si>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</si>
  <si>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</si>
  <si>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</si>
  <si>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</si>
  <si>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</si>
  <si>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</si>
  <si>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</si>
  <si>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</si>
  <si>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</si>
  <si>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</si>
  <si>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</si>
  <si>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</si>
  <si>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</si>
  <si>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</si>
  <si>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</si>
  <si>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</si>
  <si>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</si>
  <si>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</si>
  <si>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</si>
  <si>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</si>
  <si>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</si>
  <si>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</si>
  <si>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</si>
  <si>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</si>
  <si>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</si>
  <si>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</si>
  <si>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</si>
  <si>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</si>
  <si>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</si>
  <si>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</si>
  <si>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</si>
  <si>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</si>
  <si>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</si>
  <si>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</si>
  <si>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</si>
  <si>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</si>
  <si>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</si>
  <si>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</si>
  <si>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</si>
  <si>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</si>
  <si>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</si>
  <si>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</si>
  <si>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</si>
  <si>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</si>
  <si>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</si>
  <si>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</si>
  <si>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</si>
  <si>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</si>
  <si>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</si>
  <si>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</si>
  <si>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</si>
  <si>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</si>
  <si>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</si>
  <si>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</si>
  <si>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</si>
  <si>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</si>
  <si>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</si>
  <si>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</si>
  <si>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</si>
  <si>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</si>
  <si>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</si>
  <si>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</si>
  <si>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</si>
  <si>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</si>
  <si>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</si>
  <si>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</si>
  <si>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</si>
  <si>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</si>
  <si>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</si>
  <si>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</si>
  <si>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</si>
  <si>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</si>
  <si>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</si>
  <si>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</si>
  <si>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</si>
  <si>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</si>
  <si>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</si>
  <si>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</si>
  <si>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</si>
  <si>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</si>
  <si>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</si>
  <si>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</si>
  <si>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</si>
  <si>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</si>
  <si>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</si>
  <si>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</si>
  <si>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</si>
  <si>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</si>
  <si>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</si>
  <si>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</si>
  <si>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</si>
  <si>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</si>
  <si>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</si>
  <si>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</si>
  <si>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</si>
  <si>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</si>
  <si>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</si>
  <si>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</si>
  <si>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</si>
  <si>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</si>
  <si>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</si>
  <si>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</si>
  <si>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</si>
  <si>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</si>
  <si>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</si>
  <si>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</si>
  <si>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</si>
  <si>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</si>
  <si>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</si>
  <si>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</si>
  <si>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</si>
  <si>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</si>
  <si>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</si>
  <si>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</si>
  <si>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</si>
  <si>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</si>
  <si>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</si>
  <si>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</si>
  <si>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</si>
  <si>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</si>
  <si>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</si>
  <si>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</si>
  <si>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</si>
  <si>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</si>
  <si>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</si>
  <si>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</si>
  <si>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</si>
  <si>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</si>
  <si>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</si>
  <si>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</si>
  <si>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</si>
  <si>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</si>
  <si>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</si>
  <si>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</si>
  <si>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</si>
  <si>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</si>
  <si>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</si>
  <si>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</si>
  <si>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</si>
  <si>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</si>
  <si>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</si>
  <si>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</si>
  <si>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</si>
  <si>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</si>
  <si>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</si>
  <si>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</si>
  <si>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</si>
  <si>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</si>
  <si>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</si>
  <si>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</si>
  <si>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</si>
  <si>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</si>
  <si>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</si>
  <si>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</si>
  <si>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</si>
  <si>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</si>
  <si>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</si>
  <si>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</si>
  <si>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</si>
  <si>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</si>
  <si>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</si>
  <si>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</si>
  <si>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</si>
  <si>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</si>
  <si>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</si>
  <si>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</si>
  <si>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</si>
  <si>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</si>
  <si>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</si>
  <si>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</si>
  <si>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</si>
  <si>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</si>
  <si>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</si>
  <si>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</si>
  <si>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</si>
  <si>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</si>
  <si>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</si>
  <si>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</si>
  <si>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</si>
  <si>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</si>
  <si>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</si>
  <si>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</si>
  <si>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</si>
  <si>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</si>
  <si>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</si>
  <si>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</si>
  <si>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</si>
  <si>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</si>
  <si>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</si>
  <si>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</si>
  <si>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</si>
  <si>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</si>
  <si>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</si>
  <si>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</si>
  <si>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</si>
  <si>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</si>
  <si>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</si>
  <si>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</si>
  <si>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</si>
  <si>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</si>
  <si>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</si>
  <si>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</si>
  <si>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</si>
  <si>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</si>
  <si>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</si>
  <si>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</si>
  <si>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</si>
  <si>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</si>
  <si>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</si>
  <si>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</si>
  <si>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</si>
  <si>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</si>
  <si>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</si>
  <si>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</si>
  <si>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</si>
  <si>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</si>
  <si>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</si>
  <si>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</si>
  <si>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</si>
  <si>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</si>
  <si>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</si>
  <si>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</si>
  <si>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</si>
  <si>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</si>
  <si>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</si>
  <si>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</si>
  <si>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</si>
  <si>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</si>
  <si>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</si>
  <si>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</si>
  <si>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</si>
  <si>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</si>
  <si>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</si>
  <si>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</si>
  <si>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</si>
  <si>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</si>
  <si>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</si>
  <si>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</si>
  <si>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</si>
  <si>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</si>
  <si>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</si>
  <si>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</si>
  <si>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</si>
  <si>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</si>
  <si>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</si>
  <si>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</si>
  <si>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</si>
  <si>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</si>
  <si>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</si>
  <si>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</si>
  <si>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</si>
  <si>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</si>
  <si>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</si>
  <si>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</si>
  <si>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</si>
  <si>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</si>
  <si>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</si>
  <si>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</si>
  <si>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</si>
  <si>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</si>
  <si>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</si>
  <si>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</si>
  <si>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</si>
  <si>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</si>
  <si>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</si>
  <si>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</si>
  <si>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</si>
  <si>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</si>
  <si>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</si>
  <si>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</si>
  <si>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</si>
  <si>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</si>
  <si>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</si>
  <si>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</si>
  <si>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</si>
  <si>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</si>
  <si>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</si>
  <si>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</si>
  <si>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</si>
  <si>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</si>
  <si>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</si>
  <si>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</si>
  <si>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</si>
  <si>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</si>
  <si>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</si>
  <si>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</si>
  <si>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</si>
  <si>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</si>
  <si>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</si>
  <si>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</si>
  <si>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</si>
  <si>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</si>
  <si>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</si>
  <si>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</si>
  <si>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</si>
  <si>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</si>
  <si>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</si>
  <si>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</si>
  <si>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</si>
  <si>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</si>
  <si>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</si>
  <si>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</si>
  <si>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</si>
  <si>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</si>
  <si>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</si>
  <si>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</si>
  <si>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</si>
  <si>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</si>
  <si>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</si>
  <si>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</si>
  <si>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</si>
  <si>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</si>
  <si>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</si>
  <si>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</si>
  <si>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</si>
  <si>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</si>
  <si>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</si>
  <si>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</si>
  <si>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</si>
  <si>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</si>
  <si>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</si>
  <si>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</si>
  <si>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</si>
  <si>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</si>
  <si>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</si>
  <si>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</si>
  <si>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</si>
  <si>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</si>
  <si>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</si>
  <si>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</si>
  <si>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</si>
  <si>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</si>
  <si>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</si>
  <si>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</si>
  <si>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</si>
  <si>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</si>
  <si>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</si>
  <si>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</si>
  <si>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</si>
  <si>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</si>
  <si>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</si>
  <si>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</si>
  <si>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</si>
  <si>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</si>
  <si>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</si>
  <si>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</si>
  <si>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</si>
  <si>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</si>
  <si>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</si>
  <si>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</si>
  <si>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</si>
  <si>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</si>
  <si>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</si>
  <si>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</si>
  <si>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</si>
  <si>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</si>
  <si>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</si>
  <si>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</si>
  <si>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</si>
  <si>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</si>
  <si>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</si>
  <si>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</si>
  <si>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</si>
  <si>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</si>
  <si>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</si>
  <si>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</si>
  <si>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</si>
  <si>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</si>
  <si>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</si>
  <si>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</si>
  <si>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</si>
  <si>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</si>
  <si>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</si>
  <si>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</si>
  <si>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</si>
  <si>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</si>
  <si>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</si>
  <si>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</si>
  <si>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</si>
  <si>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</si>
  <si>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</si>
  <si>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</si>
  <si>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</si>
  <si>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</si>
  <si>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</si>
  <si>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</si>
  <si>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</si>
  <si>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</si>
  <si>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</si>
  <si>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</si>
  <si>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</si>
  <si>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</si>
  <si>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</si>
  <si>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</si>
  <si>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</si>
  <si>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</si>
  <si>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</si>
  <si>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</si>
  <si>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</si>
  <si>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</si>
  <si>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</si>
  <si>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</si>
  <si>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</si>
  <si>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</si>
  <si>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</si>
  <si>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</si>
  <si>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</si>
  <si>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</si>
  <si>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</si>
  <si>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</si>
  <si>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</si>
  <si>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</si>
  <si>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</si>
  <si>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</si>
  <si>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</si>
  <si>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</si>
  <si>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</si>
  <si>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</si>
  <si>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</si>
  <si>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</si>
  <si>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</si>
  <si>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</si>
  <si>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</si>
  <si>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</si>
  <si>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</si>
  <si>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</si>
  <si>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</si>
  <si>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</si>
  <si>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</si>
  <si>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</si>
  <si>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</si>
  <si>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</si>
  <si>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</si>
  <si>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</si>
  <si>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</si>
  <si>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</si>
  <si>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</si>
  <si>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</si>
  <si>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</si>
  <si>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</si>
  <si>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</si>
  <si>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</si>
  <si>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</si>
  <si>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</si>
  <si>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</si>
  <si>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</si>
  <si>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</si>
  <si>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</si>
  <si>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</si>
  <si>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</si>
  <si>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</si>
  <si>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</si>
  <si>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</si>
  <si>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</si>
  <si>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</si>
  <si>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</si>
  <si>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</si>
  <si>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</si>
  <si>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</si>
  <si>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</si>
  <si>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</si>
  <si>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</si>
  <si>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</si>
  <si>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</si>
  <si>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</si>
  <si>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</si>
  <si>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</si>
  <si>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</si>
  <si>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</si>
  <si>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</si>
  <si>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</si>
  <si>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</si>
  <si>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</si>
  <si>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</si>
  <si>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</si>
  <si>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</si>
  <si>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</si>
  <si>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</si>
  <si>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</si>
  <si>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</si>
  <si>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</si>
  <si>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</si>
  <si>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</si>
  <si>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</si>
  <si>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</si>
  <si>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</si>
  <si>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</si>
  <si>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</si>
  <si>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</si>
  <si>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</si>
  <si>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</si>
  <si>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</si>
  <si>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</si>
  <si>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</si>
  <si>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</si>
  <si>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</si>
  <si>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</si>
  <si>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</si>
  <si>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</si>
  <si>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</si>
  <si>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</si>
  <si>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</si>
  <si>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</si>
  <si>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</si>
  <si>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</si>
  <si>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</si>
  <si>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</si>
  <si>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</si>
  <si>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</si>
  <si>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</si>
  <si>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</si>
  <si>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</si>
  <si>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</si>
  <si>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</si>
  <si>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</si>
  <si>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</si>
  <si>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</si>
  <si>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</si>
  <si>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</si>
  <si>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</si>
  <si>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</si>
  <si>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</si>
  <si>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</si>
  <si>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</si>
  <si>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</si>
  <si>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</si>
  <si>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</si>
  <si>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</si>
  <si>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</si>
  <si>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</si>
  <si>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</si>
  <si>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</si>
  <si>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</si>
  <si>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</si>
  <si>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</si>
  <si>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</si>
  <si>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</si>
  <si>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</si>
  <si>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</si>
  <si>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</si>
  <si>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</si>
  <si>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</si>
  <si>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</si>
  <si>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</si>
  <si>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</si>
  <si>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</si>
  <si>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</si>
  <si>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</si>
  <si>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</si>
  <si>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</si>
  <si>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</si>
  <si>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</si>
  <si>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</si>
  <si>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</si>
  <si>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</si>
  <si>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</si>
  <si>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</si>
  <si>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</si>
  <si>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</si>
  <si>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</si>
  <si>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</si>
  <si>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</si>
  <si>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</si>
  <si>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</si>
  <si>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</si>
  <si>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</si>
  <si>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</si>
  <si>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</si>
  <si>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</si>
  <si>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</si>
  <si>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</si>
  <si>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</si>
  <si>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</si>
  <si>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</si>
  <si>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</si>
  <si>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</si>
  <si>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</si>
  <si>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</si>
  <si>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</si>
  <si>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</si>
  <si>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</si>
  <si>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</si>
  <si>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</si>
  <si>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</si>
  <si>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</si>
  <si>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</si>
  <si>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</si>
  <si>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</si>
  <si>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</si>
  <si>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</si>
  <si>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</si>
  <si>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</si>
  <si>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</si>
  <si>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</si>
  <si>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</si>
  <si>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</si>
  <si>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</si>
  <si>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</si>
  <si>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</si>
  <si>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</si>
  <si>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</si>
  <si>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</si>
  <si>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</si>
  <si>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</si>
  <si>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</si>
  <si>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</si>
  <si>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</si>
  <si>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</si>
  <si>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</si>
  <si>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</si>
  <si>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</si>
  <si>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</si>
  <si>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</si>
  <si>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</si>
  <si>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</si>
  <si>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</si>
  <si>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</si>
  <si>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</si>
  <si>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</si>
  <si>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</si>
  <si>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</si>
  <si>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</si>
  <si>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</si>
  <si>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</si>
  <si>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</si>
  <si>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</si>
  <si>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</si>
  <si>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</si>
  <si>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</si>
  <si>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</si>
  <si>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</si>
  <si>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</si>
  <si>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</si>
  <si>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</si>
  <si>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</si>
  <si>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</si>
  <si>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</si>
  <si>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</si>
  <si>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</si>
  <si>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</si>
  <si>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</si>
  <si>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</si>
  <si>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</si>
  <si>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</si>
  <si>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</si>
  <si>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</si>
  <si>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</si>
  <si>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</si>
  <si>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</si>
  <si>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</si>
  <si>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</si>
  <si>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</si>
  <si>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</si>
  <si>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</si>
  <si>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</si>
  <si>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</si>
  <si>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</si>
  <si>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</si>
  <si>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</si>
  <si>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</si>
  <si>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</si>
  <si>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</si>
  <si>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</si>
  <si>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</si>
  <si>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</si>
  <si>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</si>
  <si>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</si>
  <si>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</si>
  <si>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</si>
  <si>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</si>
  <si>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</si>
  <si>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</si>
  <si>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</si>
  <si>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</si>
  <si>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</si>
  <si>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</si>
  <si>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</si>
  <si>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</si>
  <si>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</si>
  <si>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</si>
  <si>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</si>
  <si>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</si>
  <si>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</si>
  <si>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</si>
  <si>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</si>
  <si>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</si>
  <si>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</si>
  <si>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</si>
  <si>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</si>
  <si>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</si>
  <si>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</si>
  <si>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</si>
  <si>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</si>
  <si>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</si>
  <si>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</si>
  <si>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</si>
  <si>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</si>
  <si>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</si>
  <si>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</si>
  <si>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</si>
  <si>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</si>
  <si>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</si>
  <si>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</si>
  <si>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</si>
  <si>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</si>
  <si>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</si>
  <si>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</si>
  <si>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</si>
  <si>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</si>
  <si>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</si>
  <si>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</si>
  <si>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</si>
  <si>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</si>
  <si>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</si>
  <si>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</si>
  <si>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</si>
  <si>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</si>
  <si>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</si>
  <si>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</si>
  <si>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</si>
  <si>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</si>
  <si>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</si>
  <si>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</si>
  <si>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</si>
  <si>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</si>
  <si>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</si>
  <si>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</si>
  <si>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</si>
  <si>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</si>
  <si>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</si>
  <si>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</si>
  <si>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</si>
  <si>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</si>
  <si>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</si>
  <si>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</si>
  <si>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</si>
  <si>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</si>
  <si>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</si>
  <si>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</si>
  <si>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</si>
  <si>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</si>
  <si>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</si>
  <si>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</si>
  <si>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</si>
  <si>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</si>
  <si>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</si>
  <si>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</si>
  <si>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</si>
  <si>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</si>
  <si>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</si>
  <si>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</si>
  <si>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</si>
  <si>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</si>
  <si>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</si>
  <si>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</si>
  <si>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</si>
  <si>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</si>
  <si>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</si>
  <si>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</si>
  <si>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</si>
  <si>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</si>
  <si>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</si>
  <si>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</si>
  <si>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</si>
  <si>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</si>
  <si>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</si>
  <si>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</si>
  <si>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</si>
  <si>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</si>
  <si>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</si>
  <si>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</si>
  <si>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</si>
  <si>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</si>
  <si>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</si>
  <si>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</si>
  <si>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</si>
  <si>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</si>
  <si>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</si>
  <si>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</si>
  <si>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</si>
  <si>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</si>
  <si>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</si>
  <si>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</si>
  <si>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</si>
  <si>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</si>
  <si>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</si>
  <si>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</si>
  <si>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</si>
  <si>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</si>
  <si>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</si>
  <si>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</si>
  <si>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</si>
  <si>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</si>
  <si>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</si>
  <si>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</si>
  <si>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</si>
  <si>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</si>
  <si>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</si>
  <si>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</si>
  <si>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</si>
  <si>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</si>
  <si>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</si>
  <si>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</si>
  <si>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</si>
  <si>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</si>
  <si>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</si>
  <si>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</si>
  <si>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</si>
  <si>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</si>
  <si>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</si>
  <si>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</si>
  <si>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</si>
  <si>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</si>
  <si>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</si>
  <si>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</si>
  <si>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</si>
  <si>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</si>
  <si>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</si>
  <si>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</si>
  <si>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</si>
  <si>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</si>
  <si>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</si>
  <si>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</si>
  <si>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</si>
  <si>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</si>
  <si>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</si>
  <si>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</si>
  <si>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</si>
  <si>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</si>
  <si>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</si>
  <si>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</si>
  <si>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</si>
  <si>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</si>
  <si>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</si>
  <si>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</si>
  <si>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</si>
  <si>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</si>
  <si>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</si>
  <si>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</si>
  <si>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</si>
  <si>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</si>
  <si>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</si>
  <si>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</si>
  <si>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</si>
  <si>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</si>
  <si>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</si>
  <si>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</si>
  <si>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</si>
  <si>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</si>
  <si>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</si>
  <si>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</si>
  <si>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</si>
  <si>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</si>
  <si>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</si>
  <si>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</si>
  <si>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</si>
  <si>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</si>
  <si>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</si>
  <si>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</si>
  <si>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</si>
  <si>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</si>
  <si>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</si>
  <si>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</si>
  <si>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</si>
  <si>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</si>
  <si>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</si>
  <si>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</si>
  <si>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</si>
  <si>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</si>
  <si>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</si>
  <si>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</si>
  <si>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</si>
  <si>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</si>
  <si>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</si>
  <si>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</si>
  <si>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</si>
  <si>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</si>
  <si>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</si>
  <si>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</si>
  <si>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</si>
  <si>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</si>
  <si>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</si>
  <si>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</si>
  <si>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</si>
  <si>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</si>
  <si>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</si>
  <si>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</si>
  <si>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</si>
  <si>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</si>
  <si>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</si>
  <si>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</si>
  <si>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</si>
  <si>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</si>
  <si>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</si>
  <si>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</si>
  <si>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</si>
  <si>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</si>
  <si>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</si>
  <si>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</si>
  <si>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</si>
  <si>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</si>
  <si>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</si>
  <si>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</si>
  <si>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</si>
  <si>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</si>
  <si>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</si>
  <si>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</si>
  <si>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</si>
  <si>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</si>
  <si>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</si>
  <si>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</si>
  <si>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</si>
  <si>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</si>
  <si>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</si>
  <si>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</si>
  <si>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</si>
  <si>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</si>
  <si>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</si>
  <si>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</si>
  <si>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</si>
  <si>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</si>
  <si>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</si>
  <si>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</si>
  <si>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</si>
  <si>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</si>
  <si>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</si>
  <si>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</si>
  <si>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</si>
  <si>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</si>
  <si>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</si>
  <si>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</si>
  <si>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</si>
  <si>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</si>
  <si>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</si>
  <si>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</si>
  <si>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</si>
  <si>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</si>
  <si>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</si>
  <si>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</si>
  <si>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</si>
  <si>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</si>
  <si>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</si>
  <si>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</si>
  <si>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</si>
  <si>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</si>
  <si>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</si>
  <si>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</si>
  <si>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</si>
  <si>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</si>
  <si>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</si>
  <si>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</si>
  <si>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</si>
  <si>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</si>
  <si>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</si>
  <si>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</si>
  <si>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</si>
  <si>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</si>
  <si>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</si>
  <si>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</si>
  <si>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</si>
  <si>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</si>
  <si>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</si>
  <si>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</si>
  <si>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</si>
  <si>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</si>
  <si>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</si>
  <si>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</si>
  <si>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</si>
  <si>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</si>
  <si>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</si>
  <si>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</si>
  <si>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</si>
  <si>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</si>
  <si>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</si>
  <si>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</si>
  <si>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</si>
  <si>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</si>
  <si>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</si>
  <si>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</si>
  <si>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</si>
  <si>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</si>
  <si>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</si>
  <si>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</si>
  <si>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</si>
  <si>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</si>
  <si>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</si>
  <si>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</si>
  <si>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</si>
  <si>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</si>
  <si>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</si>
  <si>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</si>
  <si>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</si>
  <si>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</si>
  <si>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</si>
  <si>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</si>
  <si>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</si>
  <si>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</si>
  <si>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</si>
  <si>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</si>
  <si>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</si>
  <si>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</si>
  <si>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</si>
  <si>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</si>
  <si>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</si>
  <si>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</si>
  <si>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</si>
  <si>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</si>
  <si>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</si>
  <si>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</si>
  <si>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</si>
  <si>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</si>
  <si>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</si>
  <si>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</si>
  <si>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</si>
  <si>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</si>
  <si>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</si>
  <si>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</si>
  <si>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</si>
  <si>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</si>
  <si>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</si>
  <si>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</si>
  <si>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</si>
  <si>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</si>
  <si>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</si>
  <si>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</si>
  <si>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</si>
  <si>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</si>
  <si>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</si>
  <si>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</si>
  <si>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</si>
  <si>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</si>
  <si>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</si>
  <si>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</si>
  <si>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</si>
  <si>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</si>
  <si>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</si>
  <si>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</si>
  <si>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</si>
  <si>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</si>
  <si>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</si>
  <si>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</si>
  <si>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</si>
  <si>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</si>
  <si>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</si>
  <si>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</si>
  <si>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</si>
  <si>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</si>
  <si>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</si>
  <si>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</si>
  <si>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</si>
  <si>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</si>
  <si>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</si>
  <si>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</si>
  <si>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</si>
  <si>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</si>
  <si>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</si>
  <si>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</si>
  <si>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</si>
  <si>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</si>
  <si>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</si>
  <si>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</si>
  <si>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</si>
  <si>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</si>
  <si>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</si>
  <si>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</si>
  <si>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</si>
  <si>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</si>
  <si>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</si>
  <si>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</si>
  <si>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</si>
  <si>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</si>
  <si>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</si>
  <si>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</si>
  <si>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</si>
  <si>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</si>
  <si>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</si>
  <si>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</si>
  <si>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</si>
  <si>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</si>
  <si>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</si>
  <si>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</si>
  <si>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</si>
  <si>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</si>
  <si>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</si>
  <si>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</si>
  <si>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</si>
  <si>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</si>
  <si>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</si>
  <si>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</si>
  <si>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</si>
  <si>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</si>
  <si>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</si>
  <si>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</si>
  <si>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</si>
  <si>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</si>
  <si>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</si>
  <si>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</si>
  <si>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</si>
  <si>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</si>
  <si>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</si>
  <si>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</si>
  <si>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</si>
  <si>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</si>
  <si>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</si>
  <si>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</si>
  <si>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</si>
  <si>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</si>
  <si>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</si>
  <si>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</si>
  <si>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</si>
  <si>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</si>
  <si>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</si>
  <si>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</si>
  <si>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</si>
  <si>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</si>
  <si>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</si>
  <si>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</si>
  <si>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</si>
  <si>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</si>
  <si>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</si>
  <si>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</si>
  <si>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</si>
  <si>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</si>
  <si>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</si>
  <si>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</si>
  <si>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</si>
  <si>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</si>
  <si>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</si>
  <si>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</si>
  <si>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</si>
  <si>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</si>
  <si>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</si>
  <si>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</si>
  <si>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</si>
  <si>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</si>
  <si>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</si>
  <si>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</si>
  <si>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</si>
  <si>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</si>
  <si>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</si>
  <si>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</si>
  <si>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</si>
  <si>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</si>
  <si>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</si>
  <si>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</si>
  <si>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</si>
  <si>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</si>
  <si>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</si>
  <si>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</si>
  <si>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</si>
  <si>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</si>
  <si>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</si>
  <si>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</si>
  <si>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</si>
  <si>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</si>
  <si>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</si>
  <si>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</si>
  <si>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</si>
  <si>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</si>
  <si>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</si>
  <si>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</si>
  <si>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</si>
  <si>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</si>
  <si>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</si>
  <si>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</si>
  <si>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</si>
  <si>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</si>
  <si>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</si>
  <si>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</si>
  <si>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</si>
  <si>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</si>
  <si>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</si>
  <si>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</si>
  <si>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</si>
  <si>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</si>
  <si>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</si>
  <si>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</si>
  <si>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</si>
  <si>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</si>
  <si>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</si>
  <si>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</si>
  <si>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</si>
  <si>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</si>
  <si>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</si>
  <si>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</si>
  <si>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</si>
  <si>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</si>
  <si>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</si>
  <si>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</si>
  <si>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</si>
  <si>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</si>
  <si>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</si>
  <si>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</si>
  <si>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</si>
  <si>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</si>
  <si>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</si>
  <si>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</si>
  <si>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</si>
  <si>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</si>
  <si>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</si>
  <si>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</si>
  <si>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</si>
  <si>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</si>
  <si>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</si>
  <si>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</si>
  <si>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</si>
  <si>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</si>
  <si>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</si>
  <si>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</si>
  <si>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</si>
  <si>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</si>
  <si>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</si>
  <si>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</si>
  <si>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</si>
  <si>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</si>
  <si>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</si>
  <si>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</si>
  <si>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</si>
  <si>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</si>
  <si>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</si>
  <si>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</si>
  <si>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</si>
  <si>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</si>
  <si>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</si>
  <si>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</si>
  <si>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</si>
  <si>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</si>
  <si>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</si>
  <si>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</si>
  <si>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</si>
  <si>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</si>
  <si>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</si>
  <si>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</si>
  <si>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</si>
  <si>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</si>
  <si>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</si>
  <si>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</si>
  <si>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</si>
  <si>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</si>
  <si>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</si>
  <si>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</si>
  <si>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</si>
  <si>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</si>
  <si>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</si>
  <si>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</si>
  <si>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</si>
  <si>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</si>
  <si>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</si>
  <si>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</si>
  <si>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</si>
  <si>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</si>
  <si>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</si>
  <si>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</si>
  <si>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</si>
  <si>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</si>
  <si>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</si>
  <si>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</si>
  <si>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</si>
  <si>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</si>
  <si>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</si>
  <si>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</si>
  <si>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</si>
  <si>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</si>
  <si>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</si>
  <si>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</si>
  <si>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</si>
  <si>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</si>
  <si>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</si>
  <si>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</si>
  <si>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</si>
  <si>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</si>
  <si>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</si>
  <si>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</si>
  <si>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</si>
  <si>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</si>
  <si>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</si>
  <si>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</si>
  <si>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</si>
  <si>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</si>
  <si>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</si>
  <si>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</si>
  <si>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</si>
  <si>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</si>
  <si>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</si>
  <si>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</si>
  <si>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</si>
  <si>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</si>
  <si>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</si>
  <si>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</si>
  <si>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</si>
  <si>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</si>
  <si>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</si>
  <si>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</si>
  <si>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</si>
  <si>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</si>
  <si>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</si>
  <si>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</si>
  <si>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</si>
  <si>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</si>
  <si>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</si>
  <si>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</si>
  <si>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</si>
  <si>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</si>
  <si>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</si>
  <si>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</si>
  <si>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</si>
  <si>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</si>
  <si>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</si>
  <si>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</si>
  <si>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</si>
  <si>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</si>
  <si>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</si>
  <si>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</si>
  <si>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</si>
  <si>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</si>
  <si>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</si>
  <si>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</si>
  <si>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</si>
  <si>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</si>
  <si>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</si>
  <si>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</si>
  <si>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</si>
  <si>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</si>
  <si>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</si>
  <si>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</si>
  <si>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</si>
  <si>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</si>
  <si>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</si>
  <si>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</si>
  <si>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</si>
  <si>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</si>
  <si>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</si>
  <si>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</si>
  <si>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</si>
  <si>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</si>
  <si>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</si>
  <si>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</si>
  <si>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</si>
  <si>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</si>
  <si>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</si>
  <si>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</si>
  <si>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</si>
  <si>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</si>
  <si>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</si>
  <si>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</si>
  <si>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</si>
  <si>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</si>
  <si>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</si>
  <si>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</si>
  <si>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</si>
  <si>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</si>
  <si>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</si>
  <si>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</si>
  <si>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</si>
  <si>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</si>
  <si>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</si>
  <si>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</si>
  <si>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</si>
  <si>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</si>
  <si>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</si>
  <si>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</si>
  <si>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</si>
  <si>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</si>
  <si>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</si>
  <si>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</si>
  <si>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</si>
  <si>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</si>
  <si>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</si>
  <si>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</si>
  <si>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</si>
  <si>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</si>
  <si>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</si>
  <si>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</si>
  <si>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</si>
  <si>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</si>
  <si>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</si>
  <si>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</si>
  <si>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</si>
  <si>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</si>
  <si>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</si>
  <si>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</si>
  <si>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</si>
  <si>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</si>
  <si>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</si>
  <si>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</si>
  <si>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</si>
  <si>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</si>
  <si>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</si>
  <si>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</si>
  <si>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</si>
  <si>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</si>
  <si>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</si>
  <si>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</si>
  <si>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</si>
  <si>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</si>
  <si>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</si>
  <si>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</si>
  <si>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</si>
  <si>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</si>
  <si>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</si>
  <si>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</si>
  <si>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</si>
  <si>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</si>
  <si>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</si>
  <si>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</si>
  <si>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</si>
  <si>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</si>
  <si>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</si>
  <si>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</si>
  <si>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</si>
  <si>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</si>
  <si>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</si>
  <si>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</si>
  <si>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</si>
  <si>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</si>
  <si>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</si>
  <si>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</si>
  <si>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</si>
  <si>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</si>
  <si>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</si>
  <si>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</si>
  <si>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</si>
  <si>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</si>
  <si>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</si>
  <si>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</si>
  <si>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</si>
  <si>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</si>
  <si>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</si>
  <si>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</si>
  <si>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</si>
  <si>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</si>
  <si>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</si>
  <si>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</si>
  <si>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</si>
  <si>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</si>
  <si>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</si>
  <si>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</si>
  <si>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</si>
  <si>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</si>
  <si>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</si>
  <si>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</si>
  <si>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</si>
  <si>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</si>
  <si>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</si>
  <si>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</si>
  <si>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</si>
  <si>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</si>
  <si>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</si>
  <si>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</si>
  <si>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</si>
  <si>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</si>
  <si>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</si>
  <si>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</si>
  <si>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</si>
  <si>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</si>
  <si>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</si>
  <si>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</si>
  <si>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</si>
  <si>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</si>
  <si>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</si>
  <si>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</si>
  <si>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</si>
  <si>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</si>
  <si>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</si>
  <si>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</si>
  <si>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</si>
  <si>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</si>
  <si>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</si>
  <si>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</si>
  <si>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</si>
  <si>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</si>
  <si>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</si>
  <si>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</si>
  <si>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</si>
  <si>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</si>
  <si>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</si>
  <si>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</si>
  <si>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</si>
  <si>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</si>
  <si>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</si>
  <si>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</si>
  <si>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</si>
  <si>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</si>
  <si>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</si>
  <si>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</si>
  <si>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</si>
  <si>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</si>
  <si>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</si>
  <si>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</si>
  <si>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</si>
  <si>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</si>
  <si>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</si>
  <si>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</si>
  <si>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</si>
  <si>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</si>
  <si>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</si>
  <si>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</si>
  <si>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</si>
  <si>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</si>
  <si>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</si>
  <si>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</si>
  <si>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</si>
  <si>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</si>
  <si>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</si>
  <si>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</si>
  <si>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</si>
  <si>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</si>
  <si>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</si>
  <si>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</si>
  <si>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</si>
  <si>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</si>
  <si>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</si>
  <si>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</si>
  <si>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</si>
  <si>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</si>
  <si>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</si>
  <si>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</si>
  <si>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</si>
  <si>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</si>
  <si>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</si>
  <si>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</si>
  <si>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</si>
  <si>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</si>
  <si>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</si>
  <si>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</si>
  <si>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</si>
  <si>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</si>
  <si>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</si>
  <si>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</si>
  <si>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</si>
  <si>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</si>
  <si>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</si>
  <si>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</si>
  <si>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</si>
  <si>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</si>
  <si>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</si>
  <si>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</si>
  <si>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</si>
  <si>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</si>
  <si>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</si>
  <si>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</si>
  <si>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</si>
  <si>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</si>
  <si>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</si>
  <si>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</si>
  <si>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</si>
  <si>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</si>
  <si>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</si>
  <si>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</si>
  <si>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</si>
  <si>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</si>
  <si>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</si>
  <si>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</si>
  <si>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</si>
  <si>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</si>
  <si>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</si>
  <si>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</si>
  <si>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</si>
  <si>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</si>
  <si>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</si>
  <si>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</si>
  <si>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</si>
  <si>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</si>
  <si>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</si>
  <si>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</si>
  <si>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</si>
  <si>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</si>
  <si>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</si>
  <si>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</si>
  <si>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</si>
  <si>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</si>
  <si>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</si>
  <si>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</si>
  <si>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</si>
  <si>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</si>
  <si>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</si>
  <si>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</si>
  <si>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</si>
  <si>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</si>
  <si>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</si>
  <si>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</si>
  <si>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</si>
  <si>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</si>
  <si>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</si>
  <si>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</si>
  <si>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</si>
  <si>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</si>
  <si>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</si>
  <si>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</si>
  <si>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</si>
  <si>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</si>
  <si>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</si>
  <si>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</si>
  <si>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</si>
  <si>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</si>
  <si>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</si>
  <si>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</si>
  <si>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</si>
  <si>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</si>
  <si>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</si>
  <si>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</si>
  <si>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</si>
  <si>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</si>
  <si>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</si>
  <si>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</si>
  <si>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</si>
  <si>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</si>
  <si>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</si>
  <si>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</si>
  <si>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</si>
  <si>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</si>
  <si>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</si>
  <si>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</si>
  <si>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</si>
  <si>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</si>
  <si>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</si>
  <si>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</si>
  <si>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</si>
  <si>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</si>
  <si>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</si>
  <si>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</si>
  <si>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</si>
  <si>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</si>
  <si>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</si>
  <si>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</si>
  <si>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</si>
  <si>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</si>
  <si>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</si>
  <si>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</si>
  <si>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</si>
  <si>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</si>
  <si>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</si>
  <si>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</si>
  <si>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</si>
  <si>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</si>
  <si>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</si>
  <si>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</si>
  <si>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</si>
  <si>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</si>
  <si>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</si>
  <si>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</si>
  <si>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</si>
  <si>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</si>
  <si>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</si>
  <si>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</si>
  <si>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</si>
  <si>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</si>
  <si>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</si>
  <si>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</si>
  <si>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</si>
  <si>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</si>
  <si>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</si>
  <si>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</si>
  <si>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</si>
  <si>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</si>
  <si>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</si>
  <si>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</si>
  <si>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</si>
  <si>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</si>
  <si>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</si>
  <si>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</si>
  <si>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</si>
  <si>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</si>
  <si>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</si>
  <si>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</si>
  <si>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</si>
  <si>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</si>
  <si>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</si>
  <si>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</si>
  <si>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</si>
  <si>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</si>
  <si>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</si>
  <si>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</si>
  <si>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</si>
  <si>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</si>
  <si>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</si>
  <si>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</si>
  <si>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</si>
  <si>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</si>
  <si>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</si>
  <si>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</si>
  <si>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</si>
  <si>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</si>
  <si>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</si>
  <si>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</si>
  <si>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</si>
  <si>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</si>
  <si>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</si>
  <si>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</si>
  <si>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</si>
  <si>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</si>
  <si>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</si>
  <si>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</si>
  <si>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</si>
  <si>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</si>
  <si>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</si>
  <si>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</si>
  <si>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</si>
  <si>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</si>
  <si>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</si>
  <si>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</si>
  <si>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</si>
  <si>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</si>
  <si>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</si>
  <si>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</si>
  <si>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</si>
  <si>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</si>
  <si>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</si>
  <si>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</si>
  <si>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</si>
  <si>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</si>
  <si>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</si>
  <si>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</si>
  <si>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</si>
  <si>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</si>
  <si>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</si>
  <si>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</si>
  <si>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</si>
  <si>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</si>
  <si>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</si>
  <si>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</si>
  <si>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</si>
  <si>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</si>
  <si>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</si>
  <si>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</si>
  <si>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</si>
  <si>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</si>
  <si>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</si>
  <si>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</si>
  <si>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</si>
  <si>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</si>
  <si>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</si>
  <si>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</si>
  <si>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</si>
  <si>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</si>
  <si>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</si>
  <si>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</si>
  <si>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</si>
  <si>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</si>
  <si>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</si>
  <si>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</si>
  <si>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</si>
  <si>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</si>
  <si>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</si>
  <si>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</si>
  <si>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</si>
  <si>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</si>
  <si>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</si>
  <si>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</si>
  <si>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</si>
  <si>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</si>
  <si>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</si>
  <si>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</si>
  <si>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</si>
  <si>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</si>
  <si>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</si>
  <si>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</si>
  <si>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</si>
  <si>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</si>
  <si>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</si>
  <si>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</si>
  <si>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</si>
  <si>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</si>
  <si>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</si>
  <si>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</si>
  <si>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</si>
  <si>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</si>
  <si>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</si>
  <si>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</si>
  <si>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</si>
  <si>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</si>
  <si>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</si>
  <si>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</si>
  <si>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</si>
  <si>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</si>
  <si>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</si>
  <si>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</si>
  <si>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</si>
  <si>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</si>
  <si>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</si>
  <si>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</si>
  <si>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</si>
  <si>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</si>
  <si>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</si>
  <si>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</si>
  <si>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</si>
  <si>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</si>
  <si>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</si>
  <si>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</si>
  <si>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</si>
  <si>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</si>
  <si>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</si>
  <si>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</si>
  <si>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</si>
  <si>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</si>
  <si>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</si>
  <si>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</si>
  <si>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</si>
  <si>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</si>
  <si>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</si>
  <si>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</si>
  <si>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</si>
  <si>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</si>
  <si>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</si>
  <si>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</si>
  <si>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</si>
  <si>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</si>
  <si>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</si>
  <si>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</si>
  <si>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</si>
  <si>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</si>
  <si>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</si>
  <si>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</si>
  <si>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</si>
  <si>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</si>
  <si>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</si>
  <si>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</si>
  <si>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</si>
  <si>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</si>
  <si>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</si>
  <si>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</si>
  <si>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</si>
  <si>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</si>
  <si>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</si>
  <si>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</si>
  <si>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</si>
  <si>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</si>
  <si>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</si>
  <si>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</si>
  <si>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</si>
  <si>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</si>
  <si>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</si>
  <si>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</si>
  <si>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</si>
  <si>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</si>
  <si>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</si>
  <si>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</si>
  <si>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</si>
  <si>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</si>
  <si>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</si>
  <si>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</si>
  <si>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</si>
  <si>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</si>
  <si>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</si>
  <si>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</si>
  <si>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</si>
  <si>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</si>
  <si>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</si>
  <si>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</si>
  <si>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</si>
  <si>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</si>
  <si>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</si>
  <si>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</si>
  <si>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</si>
  <si>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</si>
  <si>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</si>
  <si>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</si>
  <si>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</si>
  <si>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</si>
  <si>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</si>
  <si>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</si>
  <si>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</si>
  <si>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</si>
  <si>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</si>
  <si>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</si>
  <si>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</si>
  <si>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</si>
  <si>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</si>
  <si>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</si>
  <si>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</si>
  <si>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</si>
  <si>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</si>
  <si>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</si>
  <si>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</si>
  <si>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</si>
  <si>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</si>
  <si>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</si>
  <si>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</si>
  <si>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</si>
  <si>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</si>
  <si>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</si>
  <si>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</si>
  <si>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</si>
  <si>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</si>
  <si>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</si>
  <si>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</si>
  <si>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</si>
  <si>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</si>
  <si>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</si>
  <si>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</si>
  <si>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</si>
  <si>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</si>
  <si>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</si>
  <si>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</si>
  <si>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</si>
  <si>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</si>
  <si>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</si>
  <si>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</si>
  <si>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</si>
  <si>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</si>
  <si>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</si>
  <si>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</si>
  <si>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</si>
  <si>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</si>
  <si>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</si>
  <si>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</si>
  <si>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</si>
  <si>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</si>
  <si>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</si>
  <si>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</si>
  <si>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</si>
  <si>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</si>
  <si>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</si>
  <si>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</si>
  <si>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</si>
  <si>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</si>
  <si>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</si>
  <si>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</si>
  <si>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</si>
  <si>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</si>
  <si>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</si>
  <si>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</si>
  <si>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</si>
  <si>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</si>
  <si>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</si>
  <si>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</si>
  <si>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</si>
  <si>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</si>
  <si>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</si>
  <si>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</si>
  <si>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</si>
  <si>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</si>
  <si>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</si>
  <si>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</si>
  <si>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</si>
  <si>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</si>
  <si>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</si>
  <si>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</si>
  <si>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</si>
  <si>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</si>
  <si>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</si>
  <si>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</si>
  <si>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</si>
  <si>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</si>
  <si>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</si>
  <si>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</si>
  <si>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</si>
  <si>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</si>
  <si>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</si>
  <si>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</si>
  <si>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</si>
  <si>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</si>
  <si>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</si>
  <si>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</si>
  <si>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</si>
  <si>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</si>
  <si>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</si>
  <si>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</si>
  <si>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</si>
  <si>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</si>
  <si>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</si>
  <si>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</si>
  <si>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</si>
  <si>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</si>
  <si>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</si>
  <si>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</si>
  <si>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</si>
  <si>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</si>
  <si>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</si>
  <si>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</si>
  <si>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</si>
  <si>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</si>
  <si>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</si>
  <si>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</si>
  <si>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</si>
  <si>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</si>
  <si>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</si>
  <si>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</si>
  <si>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</si>
  <si>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</si>
  <si>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</si>
  <si>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</si>
  <si>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</si>
  <si>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</si>
  <si>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</si>
  <si>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</si>
  <si>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</si>
  <si>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</si>
  <si>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</si>
  <si>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</si>
  <si>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</si>
  <si>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</si>
  <si>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</si>
  <si>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</si>
  <si>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</si>
  <si>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</si>
  <si>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</si>
  <si>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</si>
  <si>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</si>
  <si>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</si>
  <si>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</si>
  <si>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</si>
  <si>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</si>
  <si>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</si>
  <si>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</si>
  <si>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</si>
  <si>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</si>
  <si>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</si>
  <si>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</si>
  <si>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</si>
  <si>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</si>
  <si>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</si>
  <si>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</si>
  <si>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</si>
  <si>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</si>
  <si>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</si>
  <si>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</si>
  <si>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</si>
  <si>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</si>
  <si>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</si>
  <si>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</si>
  <si>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</si>
  <si>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</si>
  <si>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</si>
  <si>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</si>
  <si>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</si>
  <si>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</si>
  <si>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</si>
  <si>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</si>
  <si>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</si>
  <si>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</si>
  <si>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</si>
  <si>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</si>
  <si>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</si>
  <si>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</si>
  <si>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</si>
  <si>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</si>
  <si>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</si>
  <si>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</si>
  <si>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</si>
  <si>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</si>
  <si>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</si>
  <si>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</si>
  <si>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</si>
  <si>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</si>
  <si>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</si>
  <si>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</si>
  <si>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</si>
  <si>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</si>
  <si>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</si>
  <si>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</si>
  <si>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</si>
  <si>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</si>
  <si>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</si>
  <si>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</si>
  <si>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</si>
  <si>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</si>
  <si>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</si>
  <si>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</si>
  <si>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</si>
  <si>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</si>
  <si>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</si>
  <si>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</si>
  <si>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</si>
  <si>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</si>
  <si>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</si>
  <si>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</si>
  <si>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</si>
  <si>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</si>
  <si>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</si>
  <si>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</si>
  <si>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</si>
  <si>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</si>
  <si>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</si>
  <si>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</si>
  <si>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2025-11-05</t>
  </si>
  <si>
    <t>현대오토(목포)_251105_171205.xlsx</t>
  </si>
  <si>
    <t>농협 3520106511413</t>
    <phoneticPr fontId="2" type="noConversion"/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</si>
  <si>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</si>
  <si>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</si>
  <si>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</si>
  <si>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</si>
  <si>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</si>
  <si>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</si>
  <si>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</si>
  <si>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</si>
  <si>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하나오토(청주)_251105_171657.xlsx</t>
    <phoneticPr fontId="2" type="noConversion"/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</si>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</sst>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1600000</c:v>
                </c:pt>
                <c:pt idx="2">
                  <c:v>0</c:v>
                </c:pt>
                <c:pt idx="3">
                  <c:v>2050000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9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4</c:v>
                      </c:pt>
                      <c:pt idx="4">
                        <c:v>16</c:v>
                      </c:pt>
                      <c:pt idx="5">
                        <c:v>16</c:v>
                      </c:pt>
                      <c:pt idx="6">
                        <c:v>16</c:v>
                      </c:pt>
                      <c:pt idx="7">
                        <c:v>7</c:v>
                      </c:pt>
                      <c:pt idx="8">
                        <c:v>16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4221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45966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2214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2220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2219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34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2465</v>
      </c>
      <c r="B8" s="424"/>
      <c r="C8" s="424"/>
      <c r="D8" s="424"/>
      <c r="E8" s="425"/>
      <c r="F8" s="426" t="s">
        <v>1211</v>
      </c>
      <c r="G8" s="427"/>
      <c r="H8" s="427"/>
      <c r="I8" s="428"/>
      <c r="J8" s="434">
        <v>1500000</v>
      </c>
      <c r="K8" s="434"/>
      <c r="L8" s="434"/>
      <c r="M8" s="434"/>
      <c r="N8" s="434"/>
      <c r="O8" s="435">
        <v>1</v>
      </c>
      <c r="P8" s="435"/>
      <c r="Q8" s="429">
        <v>150000</v>
      </c>
      <c r="R8" s="430"/>
      <c r="S8" s="431"/>
      <c r="T8" s="432">
        <v>1650000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1650000</v>
      </c>
      <c r="G20" s="318"/>
      <c r="H20" s="318"/>
      <c r="I20" s="319"/>
      <c r="J20" s="355">
        <f>SUM(J8:N19)</f>
        <v>1500000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150000</v>
      </c>
      <c r="R20" s="318"/>
      <c r="S20" s="319"/>
      <c r="T20" s="318">
        <f>SUM(T8:U15)</f>
        <v>1650000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3300000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하나오토(청주)</v>
      </c>
      <c r="R21" s="326"/>
      <c r="S21" s="326"/>
      <c r="T21" s="326"/>
      <c r="U21" s="378"/>
    </row>
    <row r="22" spans="1:21" ht="20.100000000000001" customHeight="1" x14ac:dyDescent="0.3">
      <c r="A22" s="305" t="s">
        <v>4230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45966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하나오토(청주)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충북 청주시 서원구 사북로30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010-9977-2169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대신(화물)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02E_AL</v>
      </c>
      <c r="B31" s="373"/>
      <c r="C31" s="373"/>
      <c r="D31" s="373"/>
      <c r="E31" s="373"/>
      <c r="F31" s="373" t="str">
        <f>F8</f>
        <v>02E927770AL</v>
      </c>
      <c r="G31" s="373"/>
      <c r="H31" s="373"/>
      <c r="I31" s="373"/>
      <c r="J31" s="377">
        <f>J8</f>
        <v>1500000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150000</v>
      </c>
      <c r="R31" s="374"/>
      <c r="S31" s="374"/>
      <c r="T31" s="375">
        <f>T8</f>
        <v>1650000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1650000</v>
      </c>
      <c r="G43" s="318"/>
      <c r="H43" s="318"/>
      <c r="I43" s="319"/>
      <c r="J43" s="355">
        <f>J20</f>
        <v>1500000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150000</v>
      </c>
      <c r="R43" s="318"/>
      <c r="S43" s="318"/>
      <c r="T43" s="318">
        <f>T20</f>
        <v>1650000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3300000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하나오토(청주)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1500000</v>
      </c>
      <c r="H1" s="107">
        <f>SUM(H2:H2)</f>
        <v>1</v>
      </c>
      <c r="I1" s="107">
        <f>SUM(I2:I2)</f>
        <v>150000</v>
      </c>
      <c r="J1" s="107">
        <f>SUM(J2:J2)</f>
        <v>1650000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4219</v>
      </c>
      <c r="C2" s="47" t="s">
        <v>1015</v>
      </c>
      <c r="D2" s="290" t="s">
        <v>1463</v>
      </c>
      <c r="E2" t="s">
        <v>2177</v>
      </c>
      <c r="F2" s="290" t="s">
        <v>1463</v>
      </c>
      <c r="G2">
        <v>1500000</v>
      </c>
      <c r="H2">
        <v>1</v>
      </c>
      <c r="I2" s="226">
        <v>150000</v>
      </c>
      <c r="J2" s="226">
        <v>1650000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77"/>
  <sheetViews>
    <sheetView workbookViewId="0">
      <pane xSplit="1" ySplit="1" topLeftCell="B2144" activePane="bottomRight" state="frozen"/>
      <selection activeCell="N26" sqref="N26"/>
      <selection pane="topRight" activeCell="N26" sqref="N26"/>
      <selection pane="bottomLeft" activeCell="N26" sqref="N26"/>
      <selection pane="bottomRight" activeCell="M2171" sqref="M217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2178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4033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4033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4033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4033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4033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3905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3905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3905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3905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3905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3905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3905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3905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3905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3905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3905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3905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3905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3905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3905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3905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3905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3905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3905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3905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3905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3905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3905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3905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3905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3905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3905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3905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3905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3905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3905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3905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3905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3905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3905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3905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3905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3905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3905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3905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3905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3905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3905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3905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3905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3905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3905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3905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3905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3905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3905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3905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3905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3905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3905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3905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3905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3905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4033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3905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3905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3905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3905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3905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3905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3905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3905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3905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3905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3905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3905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3905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3905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3905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3905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3905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3905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3905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3905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3905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3905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3905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3905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3905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3905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3905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3905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3905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3905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3905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3905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3905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3905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3905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3905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3905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3905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3905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3905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3905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3905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3905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3905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3905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3905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3905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3905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3905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3905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3905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3905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3905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3905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3905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3905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3905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3905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3905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3905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3905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3905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3905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3905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3905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3905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3905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3905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3905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3905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3905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3905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3905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3905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3905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3905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3905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3905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3905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3905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3905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3905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3905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3905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3905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3905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3905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3905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3905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3905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3905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3905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3905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3905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3905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3905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3905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3905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3905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3905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3905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3905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3905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3905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3905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3905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3905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3905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3905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3905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3905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3905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3905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3906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3905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3905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3905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3905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3905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3905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3905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3905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3905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3905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3905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3905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3905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3905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3905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3905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3905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3905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3905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3905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3905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3905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3905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3905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3905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3905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3905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3905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3905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3905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3905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3905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3905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3905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3905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3905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3905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3905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3905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3905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3905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3905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3905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3905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3905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3905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3905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3905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3905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3905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3905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3905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3905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3905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3905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3905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3905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3905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3905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3905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3905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3905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4033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3905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3905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3905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3905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3905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3905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3905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3905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3905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3905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3783</v>
      </c>
      <c r="E1819" s="292" t="s">
        <v>3784</v>
      </c>
      <c r="F1819" s="269" t="s">
        <v>3785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3813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3815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3815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3817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3824</v>
      </c>
      <c r="F1834" s="269" t="s">
        <v>3823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3818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3828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3831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3818</v>
      </c>
      <c r="E1838" s="292" t="s">
        <v>3832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3833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3834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3835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3841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3848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3849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3851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4101</v>
      </c>
      <c r="D1856" s="295" t="s">
        <v>4102</v>
      </c>
      <c r="E1856" s="292" t="s">
        <v>4103</v>
      </c>
      <c r="F1856" s="269" t="s">
        <v>4104</v>
      </c>
      <c r="G1856" s="265">
        <v>250000</v>
      </c>
      <c r="H1856" s="269">
        <v>1</v>
      </c>
      <c r="K1856" s="265">
        <v>0</v>
      </c>
      <c r="M1856" s="304" t="s">
        <v>3856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3815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3866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3867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3815</v>
      </c>
      <c r="E1870" s="292" t="s">
        <v>3868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3869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3870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3879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3877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3881</v>
      </c>
    </row>
    <row r="1880" spans="1:13" x14ac:dyDescent="0.3">
      <c r="A1880" s="271">
        <v>1879</v>
      </c>
      <c r="B1880" s="264">
        <v>45943</v>
      </c>
      <c r="C1880" s="292" t="s">
        <v>3883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3889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3889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3893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3889</v>
      </c>
      <c r="E1888" s="292" t="s">
        <v>3895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3897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3899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3883</v>
      </c>
      <c r="E1892" s="292" t="s">
        <v>3901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4073</v>
      </c>
      <c r="E1894" s="292" t="s">
        <v>4074</v>
      </c>
      <c r="F1894" s="269" t="s">
        <v>4075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4073</v>
      </c>
      <c r="E1895" s="292" t="s">
        <v>4076</v>
      </c>
      <c r="F1895" s="269" t="s">
        <v>4077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3910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3918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3921</v>
      </c>
      <c r="F1909" s="269" t="s">
        <v>3920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3924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4023</v>
      </c>
      <c r="E1915" s="292" t="s">
        <v>4024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4023</v>
      </c>
      <c r="E1916" s="292" t="s">
        <v>4025</v>
      </c>
      <c r="F1916" s="269" t="s">
        <v>4026</v>
      </c>
      <c r="G1916" s="265">
        <v>1000000</v>
      </c>
      <c r="H1916" s="269">
        <v>1</v>
      </c>
      <c r="J1916" s="266" t="s">
        <v>4027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3927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3938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3939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3927</v>
      </c>
      <c r="E1929" s="292" t="s">
        <v>3940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3941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3815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3867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3815</v>
      </c>
      <c r="E1938" s="292" t="s">
        <v>3956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3941</v>
      </c>
      <c r="E1939" s="292" t="s">
        <v>3957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3939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3960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3966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3966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4028</v>
      </c>
      <c r="E1954" s="292" t="s">
        <v>4029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3971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3966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3975</v>
      </c>
      <c r="E1960" s="292" t="s">
        <v>3974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3982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3985</v>
      </c>
      <c r="F1970" s="269" t="s">
        <v>3984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3927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3927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3927</v>
      </c>
      <c r="E1974" s="292" t="s">
        <v>3990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4117</v>
      </c>
      <c r="E1976" s="292" t="s">
        <v>4118</v>
      </c>
      <c r="F1976" s="269" t="s">
        <v>4119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3975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3995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3997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3960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4011</v>
      </c>
      <c r="F1991" s="269" t="s">
        <v>4010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4019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3995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3997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4160</v>
      </c>
      <c r="D2026" s="295" t="s">
        <v>4102</v>
      </c>
      <c r="E2026" s="292" t="s">
        <v>4161</v>
      </c>
      <c r="F2026" s="269" t="s">
        <v>4162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4139</v>
      </c>
      <c r="D2027" s="295" t="s">
        <v>4102</v>
      </c>
      <c r="E2027" s="292" t="s">
        <v>4142</v>
      </c>
      <c r="F2027" s="269" t="s">
        <v>4143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4083</v>
      </c>
      <c r="E2030" s="292" t="s">
        <v>4084</v>
      </c>
      <c r="F2030" s="269" t="s">
        <v>4085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4050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4053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4072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4065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4061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3960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4057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4057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4057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4057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4057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4078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4061</v>
      </c>
      <c r="E2049" s="292" t="s">
        <v>4079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4057</v>
      </c>
      <c r="E2050" s="292" t="s">
        <v>4080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4100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3960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3960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4086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4086</v>
      </c>
      <c r="E2072" s="292" t="s">
        <v>4099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4105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4139</v>
      </c>
      <c r="E2082" s="292" t="s">
        <v>4140</v>
      </c>
      <c r="F2082" s="269" t="s">
        <v>4141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4105</v>
      </c>
      <c r="E2087" s="292" t="s">
        <v>4116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3938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4120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4172</v>
      </c>
      <c r="D2090" s="295" t="s">
        <v>4102</v>
      </c>
      <c r="E2090" s="292" t="s">
        <v>4161</v>
      </c>
      <c r="F2090" s="269" t="s">
        <v>4162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4125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4126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4130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4061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4061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4122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4138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4040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4144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4145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4061</v>
      </c>
      <c r="E2120" s="292" t="s">
        <v>4153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4208</v>
      </c>
      <c r="D2121" s="295" t="s">
        <v>4102</v>
      </c>
      <c r="E2121" s="292" t="s">
        <v>4209</v>
      </c>
      <c r="F2121" s="269" t="s">
        <v>4210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4164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4122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4212</v>
      </c>
      <c r="D2128" s="295" t="s">
        <v>4102</v>
      </c>
      <c r="E2128" s="292" t="s">
        <v>4213</v>
      </c>
      <c r="F2128" s="269" t="s">
        <v>4214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4175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4176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3939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4177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4164</v>
      </c>
      <c r="E2134" s="292" t="s">
        <v>4178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4179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4180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4033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3908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3664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4191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4192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4193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4194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4197</v>
      </c>
      <c r="E2153" s="292" t="s">
        <v>4195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4198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3975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3975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1930</v>
      </c>
      <c r="E2161" s="292" t="s">
        <v>3123</v>
      </c>
      <c r="F2161" s="269">
        <v>6058008060</v>
      </c>
      <c r="G2161" s="265">
        <v>1600000</v>
      </c>
      <c r="H2161" s="269">
        <v>1</v>
      </c>
      <c r="K2161" s="265">
        <v>1600000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4205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3975</v>
      </c>
      <c r="E2163" s="292" t="s">
        <v>4207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1377</v>
      </c>
      <c r="E2164" s="292" t="s">
        <v>4211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4215</v>
      </c>
      <c r="E2165" s="292" t="s">
        <v>2179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1579</v>
      </c>
      <c r="E2166" s="292" t="s">
        <v>2179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1579</v>
      </c>
      <c r="E2167" s="292" t="s">
        <v>2180</v>
      </c>
      <c r="F2167" s="269" t="s">
        <v>1802</v>
      </c>
      <c r="G2167" s="265">
        <v>50000</v>
      </c>
      <c r="H2167" s="269">
        <v>1</v>
      </c>
      <c r="J2167" s="266">
        <v>5000</v>
      </c>
      <c r="K2167" s="265">
        <v>55000</v>
      </c>
      <c r="M2167" s="292" t="s">
        <v>4223</v>
      </c>
    </row>
    <row r="2168" spans="1:13" x14ac:dyDescent="0.3">
      <c r="A2168" s="58">
        <v>2168</v>
      </c>
      <c r="B2168" s="264">
        <v>45966</v>
      </c>
      <c r="C2168" s="292" t="s">
        <v>1305</v>
      </c>
      <c r="E2168" s="292" t="s">
        <v>4224</v>
      </c>
      <c r="F2168" s="269" t="s">
        <v>2398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1721</v>
      </c>
      <c r="E2169" s="292" t="s">
        <v>4224</v>
      </c>
      <c r="F2169" s="269" t="s">
        <v>2398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4232</v>
      </c>
      <c r="E2170" s="292" t="s">
        <v>4233</v>
      </c>
      <c r="F2170" s="269" t="s">
        <v>4234</v>
      </c>
      <c r="G2170" s="265">
        <v>1200000</v>
      </c>
      <c r="H2170" s="269">
        <v>1</v>
      </c>
      <c r="J2170" s="266" t="s">
        <v>2971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2201</v>
      </c>
      <c r="F2171" s="269" t="s">
        <v>1955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2679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2182</v>
      </c>
      <c r="F2173" s="269" t="s">
        <v>1719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2177</v>
      </c>
      <c r="F2174" s="269" t="s">
        <v>1463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4194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1893</v>
      </c>
      <c r="E2176" s="292" t="s">
        <v>4231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2868</v>
      </c>
      <c r="E2177" s="292" t="s">
        <v>4235</v>
      </c>
      <c r="L2177" s="265">
        <v>-1320000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19" sqref="D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45966</v>
      </c>
      <c r="B3" s="235" t="s">
        <v>1126</v>
      </c>
      <c r="C3" s="286">
        <f>SUMIF($B:$B,A3,I:I)</f>
        <v>10131000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25831000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3782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3777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4180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4033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3908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4191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4192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4193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4194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4195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3975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3975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1930</v>
      </c>
      <c r="D34" s="113" t="s">
        <v>3123</v>
      </c>
      <c r="F34" s="120">
        <v>1600000</v>
      </c>
      <c r="G34" s="85">
        <v>1</v>
      </c>
      <c r="I34" s="80">
        <v>1600000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4205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3975</v>
      </c>
      <c r="D36" s="113" t="s">
        <v>4207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1377</v>
      </c>
      <c r="D37" s="113" t="s">
        <v>4211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4215</v>
      </c>
      <c r="D38" s="113" t="s">
        <v>2179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1579</v>
      </c>
      <c r="D39" s="113" t="s">
        <v>2179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1579</v>
      </c>
      <c r="D40" s="113" t="s">
        <v>2180</v>
      </c>
      <c r="F40" s="120">
        <v>50000</v>
      </c>
      <c r="G40" s="85">
        <v>1</v>
      </c>
      <c r="H40" s="126">
        <v>5000</v>
      </c>
      <c r="I40" s="80">
        <v>55000</v>
      </c>
    </row>
    <row r="41" spans="1:10" ht="18" customHeight="1" x14ac:dyDescent="0.3">
      <c r="A41" s="82">
        <v>2168</v>
      </c>
      <c r="B41" s="93">
        <v>45966</v>
      </c>
      <c r="C41" s="83" t="s">
        <v>1305</v>
      </c>
      <c r="D41" s="113" t="s">
        <v>4224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1721</v>
      </c>
      <c r="D42" s="112" t="s">
        <v>4224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2868</v>
      </c>
      <c r="D43" s="112" t="s">
        <v>1202</v>
      </c>
      <c r="E43" s="79"/>
      <c r="F43" s="224">
        <v>1200000</v>
      </c>
      <c r="G43" s="85">
        <v>1</v>
      </c>
      <c r="H43" s="128"/>
      <c r="I43" s="80">
        <v>1200000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2201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2679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2182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2177</v>
      </c>
      <c r="F47" s="120">
        <v>1500000</v>
      </c>
      <c r="G47" s="85">
        <v>1</v>
      </c>
      <c r="H47" s="126">
        <v>150000</v>
      </c>
      <c r="I47" s="80">
        <v>1650000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9</v>
      </c>
    </row>
    <row r="3" spans="1:6" x14ac:dyDescent="0.3">
      <c r="B3" s="269" t="s">
        <v>1351</v>
      </c>
      <c r="C3" s="268">
        <f>SUMIF(BTS_매출관리!C:C,B3,BTS_매출관리!I:I)</f>
        <v>1600000</v>
      </c>
      <c r="D3" s="269">
        <f t="shared" si="0"/>
        <v>8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16</v>
      </c>
    </row>
    <row r="5" spans="1:6" x14ac:dyDescent="0.3">
      <c r="B5" s="58" t="s">
        <v>1335</v>
      </c>
      <c r="C5" s="301">
        <f>SUMIF(BTS_매출관리!C:C,B5,BTS_매출관리!I:I)</f>
        <v>2050000</v>
      </c>
      <c r="D5" s="58">
        <f t="shared" si="0"/>
        <v>4</v>
      </c>
    </row>
    <row r="6" spans="1:6" x14ac:dyDescent="0.3">
      <c r="B6" s="58" t="s">
        <v>1352</v>
      </c>
      <c r="C6" s="301">
        <f>SUMIF(BTS_매출관리!C:C,B6,BTS_매출관리!I:I)</f>
        <v>0</v>
      </c>
      <c r="D6" s="58">
        <f t="shared" si="0"/>
        <v>16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16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16</v>
      </c>
    </row>
    <row r="9" spans="1:6" x14ac:dyDescent="0.3">
      <c r="B9" s="58" t="s">
        <v>2214</v>
      </c>
      <c r="C9" s="301">
        <f>SUMIF(BTS_매출관리!C:C,B9,BTS_매출관리!I:I)</f>
        <v>1650000</v>
      </c>
      <c r="D9" s="58">
        <f t="shared" si="0"/>
        <v>7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16</v>
      </c>
    </row>
    <row r="11" spans="1:6" x14ac:dyDescent="0.3">
      <c r="B11" s="58" t="s">
        <v>1332</v>
      </c>
      <c r="C11" s="301">
        <f>SUMIF(BTS_매출관리!C:C,B11,BTS_매출관리!I:I)</f>
        <v>1100000</v>
      </c>
      <c r="D11" s="58">
        <f t="shared" si="0"/>
        <v>11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16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16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16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16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16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16</v>
      </c>
    </row>
    <row r="18" spans="2:18" x14ac:dyDescent="0.3">
      <c r="B18" s="58" t="s">
        <v>1670</v>
      </c>
      <c r="C18" s="301">
        <f>SUMIF(BTS_매출관리!C:C,B18,BTS_매출관리!I:I)</f>
        <v>0</v>
      </c>
      <c r="D18" s="58">
        <f t="shared" si="0"/>
        <v>16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16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16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16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16</v>
      </c>
      <c r="F22" t="s">
        <v>3670</v>
      </c>
      <c r="G22" t="s">
        <v>3800</v>
      </c>
      <c r="I22" t="s">
        <v>3673</v>
      </c>
      <c r="J22" s="303" t="s">
        <v>3713</v>
      </c>
      <c r="O22" t="s">
        <v>3696</v>
      </c>
      <c r="P22">
        <v>2</v>
      </c>
      <c r="Q22" t="s">
        <v>3801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16</v>
      </c>
      <c r="F23" t="s">
        <v>3671</v>
      </c>
      <c r="G23" t="s">
        <v>3800</v>
      </c>
      <c r="I23" t="s">
        <v>3675</v>
      </c>
      <c r="J23" s="303" t="s">
        <v>3713</v>
      </c>
      <c r="O23" t="s">
        <v>3697</v>
      </c>
      <c r="P23">
        <v>3</v>
      </c>
      <c r="Q23" t="s">
        <v>3801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16</v>
      </c>
      <c r="F24" t="s">
        <v>3672</v>
      </c>
      <c r="G24" t="s">
        <v>3800</v>
      </c>
      <c r="I24" t="s">
        <v>3677</v>
      </c>
      <c r="J24" s="303" t="s">
        <v>3713</v>
      </c>
      <c r="O24" t="s">
        <v>3698</v>
      </c>
      <c r="P24">
        <v>2</v>
      </c>
      <c r="Q24" t="s">
        <v>3801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16</v>
      </c>
      <c r="F25" t="s">
        <v>3674</v>
      </c>
      <c r="G25" t="s">
        <v>3713</v>
      </c>
      <c r="I25" t="s">
        <v>3680</v>
      </c>
      <c r="J25" s="303" t="s">
        <v>3800</v>
      </c>
      <c r="O25" t="s">
        <v>3699</v>
      </c>
      <c r="P25">
        <v>1</v>
      </c>
      <c r="R25" t="s">
        <v>3800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16</v>
      </c>
      <c r="F26" t="s">
        <v>3676</v>
      </c>
      <c r="G26" t="s">
        <v>3800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16</v>
      </c>
      <c r="F27" t="s">
        <v>3786</v>
      </c>
      <c r="G27" t="s">
        <v>3808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4136000</v>
      </c>
      <c r="D28" s="58">
        <f t="shared" si="0"/>
        <v>1</v>
      </c>
      <c r="F28" t="s">
        <v>3679</v>
      </c>
      <c r="G28" t="s">
        <v>3806</v>
      </c>
      <c r="I28" t="s">
        <v>2257</v>
      </c>
      <c r="J28" s="303" t="s">
        <v>3732</v>
      </c>
      <c r="O28" t="s">
        <v>3702</v>
      </c>
      <c r="P28">
        <v>2</v>
      </c>
      <c r="R28" t="s">
        <v>3807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16</v>
      </c>
      <c r="F29" t="s">
        <v>3681</v>
      </c>
      <c r="G29" t="s">
        <v>3800</v>
      </c>
      <c r="O29" t="s">
        <v>3703</v>
      </c>
      <c r="P29">
        <v>2</v>
      </c>
      <c r="Q29" t="s">
        <v>3801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16</v>
      </c>
      <c r="F30" t="s">
        <v>3682</v>
      </c>
      <c r="G30" t="s">
        <v>3806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16</v>
      </c>
      <c r="F31" t="s">
        <v>3683</v>
      </c>
      <c r="G31" t="s">
        <v>3800</v>
      </c>
      <c r="O31" t="s">
        <v>3705</v>
      </c>
      <c r="P31">
        <v>1</v>
      </c>
      <c r="R31" t="s">
        <v>3806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16</v>
      </c>
      <c r="F32" t="s">
        <v>3684</v>
      </c>
      <c r="G32" t="s">
        <v>3800</v>
      </c>
      <c r="O32" t="s">
        <v>3706</v>
      </c>
      <c r="P32">
        <v>1</v>
      </c>
      <c r="R32" t="s">
        <v>3800</v>
      </c>
    </row>
    <row r="33" spans="2:17" x14ac:dyDescent="0.3">
      <c r="B33" s="269" t="s">
        <v>3632</v>
      </c>
      <c r="C33" s="268">
        <f>SUMIF(BTS_매출관리!C:C,B33,BTS_매출관리!I:I)</f>
        <v>0</v>
      </c>
      <c r="D33" s="269">
        <f t="shared" si="0"/>
        <v>16</v>
      </c>
      <c r="F33" t="s">
        <v>3685</v>
      </c>
      <c r="G33" t="s">
        <v>3800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16</v>
      </c>
      <c r="F34" t="s">
        <v>3686</v>
      </c>
      <c r="G34" t="s">
        <v>3806</v>
      </c>
      <c r="O34" t="s">
        <v>3678</v>
      </c>
      <c r="P34">
        <v>2</v>
      </c>
      <c r="Q34" t="s">
        <v>3801</v>
      </c>
    </row>
    <row r="35" spans="2:17" x14ac:dyDescent="0.3">
      <c r="B35" s="58" t="s">
        <v>1288</v>
      </c>
      <c r="C35" s="301">
        <f>SUMIF(BTS_매출관리!C:C,B35,BTS_매출관리!I:I)</f>
        <v>3258000</v>
      </c>
      <c r="D35" s="58">
        <f t="shared" si="0"/>
        <v>2</v>
      </c>
      <c r="F35" t="s">
        <v>3687</v>
      </c>
      <c r="G35" t="s">
        <v>3806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352000</v>
      </c>
      <c r="D36" s="58">
        <f t="shared" si="0"/>
        <v>14</v>
      </c>
      <c r="F36" t="s">
        <v>3688</v>
      </c>
      <c r="G36" t="s">
        <v>3800</v>
      </c>
      <c r="O36" t="s">
        <v>3709</v>
      </c>
      <c r="P36">
        <v>1</v>
      </c>
      <c r="Q36" t="s">
        <v>3801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16</v>
      </c>
      <c r="F37" t="s">
        <v>3689</v>
      </c>
      <c r="G37" t="s">
        <v>3800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16</v>
      </c>
      <c r="F38" t="s">
        <v>3690</v>
      </c>
      <c r="G38" t="s">
        <v>3806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16</v>
      </c>
      <c r="F39" t="s">
        <v>3691</v>
      </c>
      <c r="G39" t="s">
        <v>3806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16</v>
      </c>
      <c r="F40" t="s">
        <v>3692</v>
      </c>
      <c r="G40" t="s">
        <v>3806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16</v>
      </c>
      <c r="F41" t="s">
        <v>3694</v>
      </c>
      <c r="G41" t="s">
        <v>3800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16</v>
      </c>
      <c r="F42" t="s">
        <v>1327</v>
      </c>
      <c r="G42" t="s">
        <v>3806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16</v>
      </c>
      <c r="F43" t="s">
        <v>3787</v>
      </c>
      <c r="G43" t="s">
        <v>3800</v>
      </c>
    </row>
    <row r="44" spans="2:17" x14ac:dyDescent="0.3">
      <c r="B44" s="58" t="s">
        <v>1286</v>
      </c>
      <c r="C44" s="301">
        <f>SUMIF(BTS_매출관리!C:C,B44,BTS_매출관리!I:I)</f>
        <v>1705000</v>
      </c>
      <c r="D44" s="58">
        <f t="shared" si="0"/>
        <v>6</v>
      </c>
      <c r="F44" t="s">
        <v>3788</v>
      </c>
      <c r="G44" t="s">
        <v>3800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3</v>
      </c>
      <c r="F45" t="s">
        <v>3789</v>
      </c>
      <c r="G45" t="s">
        <v>3800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16</v>
      </c>
      <c r="F46" t="s">
        <v>3802</v>
      </c>
      <c r="G46" t="s">
        <v>3800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16</v>
      </c>
      <c r="F47" s="58" t="s">
        <v>1035</v>
      </c>
      <c r="G47" t="s">
        <v>3800</v>
      </c>
      <c r="K47" t="s">
        <v>3800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16</v>
      </c>
      <c r="F48" s="58" t="s">
        <v>1356</v>
      </c>
      <c r="G48" t="s">
        <v>3806</v>
      </c>
      <c r="K48" t="s">
        <v>3806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16</v>
      </c>
      <c r="F49" t="s">
        <v>1320</v>
      </c>
      <c r="G49" t="s">
        <v>3806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16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16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16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16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16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16</v>
      </c>
    </row>
    <row r="56" spans="2:7" x14ac:dyDescent="0.3">
      <c r="B56" s="47" t="s">
        <v>1018</v>
      </c>
      <c r="C56" s="302">
        <f>SUMIF(BTS_매출관리!C:C,B56,BTS_매출관리!I:I)</f>
        <v>580000</v>
      </c>
      <c r="D56" s="47">
        <f t="shared" si="0"/>
        <v>13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16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16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16</v>
      </c>
    </row>
    <row r="60" spans="2:7" x14ac:dyDescent="0.3">
      <c r="B60" s="47" t="s">
        <v>1306</v>
      </c>
      <c r="C60" s="302">
        <f>SUMIF(BTS_매출관리!C:C,B60,BTS_매출관리!I:I)</f>
        <v>850000</v>
      </c>
      <c r="D60" s="47">
        <f t="shared" si="0"/>
        <v>12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16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16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16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16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16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16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16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16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16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16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16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16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16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16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16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16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16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16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16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16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16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16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16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16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16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16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16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16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16</v>
      </c>
    </row>
    <row r="90" spans="2:4" x14ac:dyDescent="0.3">
      <c r="B90" t="s">
        <v>2868</v>
      </c>
      <c r="C90" s="52">
        <f>SUMIF(BTS_매출관리!C:C,B90,BTS_매출관리!I:I)</f>
        <v>1200000</v>
      </c>
      <c r="D90">
        <f t="shared" si="1"/>
        <v>9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16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16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16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16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16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16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16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16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16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16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16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16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16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16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16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16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16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16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16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16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16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16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16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16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16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16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16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16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16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16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16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16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16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16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16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16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16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16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16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16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16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16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16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16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16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16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16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16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16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15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5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16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16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16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16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16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16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16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16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16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16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16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16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16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16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16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16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16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16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16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16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16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16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16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16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16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16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16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16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16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16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16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16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16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16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16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16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16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16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16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16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16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16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16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16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16</v>
      </c>
    </row>
    <row r="188" spans="2:4" x14ac:dyDescent="0.3">
      <c r="C188" s="52">
        <f>SUMIF(BTS_매출관리!C:C,B188,BTS_매출관리!I:I)</f>
        <v>0</v>
      </c>
      <c r="D188">
        <f t="shared" si="2"/>
        <v>16</v>
      </c>
    </row>
    <row r="189" spans="2:4" x14ac:dyDescent="0.3">
      <c r="C189" s="52">
        <f>SUMIF(BTS_매출관리!C:C,B189,BTS_매출관리!I:I)</f>
        <v>0</v>
      </c>
      <c r="D189">
        <f t="shared" si="2"/>
        <v>16</v>
      </c>
    </row>
    <row r="190" spans="2:4" x14ac:dyDescent="0.3">
      <c r="C190" s="52">
        <f>SUMIF(BTS_매출관리!C:C,B190,BTS_매출관리!I:I)</f>
        <v>0</v>
      </c>
      <c r="D190">
        <f t="shared" si="2"/>
        <v>16</v>
      </c>
    </row>
    <row r="191" spans="2:4" x14ac:dyDescent="0.3">
      <c r="C191" s="52">
        <f>SUMIF(BTS_매출관리!C:C,B191,BTS_매출관리!I:I)</f>
        <v>0</v>
      </c>
      <c r="D191">
        <f t="shared" si="2"/>
        <v>16</v>
      </c>
    </row>
    <row r="192" spans="2:4" x14ac:dyDescent="0.3">
      <c r="C192" s="52">
        <f>SUMIF(BTS_매출관리!C:C,B192,BTS_매출관리!I:I)</f>
        <v>0</v>
      </c>
      <c r="D192">
        <f t="shared" si="2"/>
        <v>16</v>
      </c>
    </row>
    <row r="193" spans="3:4" x14ac:dyDescent="0.3">
      <c r="C193" s="52">
        <f>SUMIF(BTS_매출관리!C:C,B193,BTS_매출관리!I:I)</f>
        <v>0</v>
      </c>
      <c r="D193">
        <f t="shared" si="2"/>
        <v>16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</v>
      </c>
    </row>
    <row r="195" spans="3:4" x14ac:dyDescent="0.3">
      <c r="C195" s="52">
        <f>SUMIF(BTS_매출관리!C:C,B195,BTS_매출관리!I:I)</f>
        <v>0</v>
      </c>
      <c r="D195">
        <f t="shared" si="3"/>
        <v>16</v>
      </c>
    </row>
    <row r="196" spans="3:4" x14ac:dyDescent="0.3">
      <c r="C196" s="52">
        <f>SUMIF(BTS_매출관리!C:C,B196,BTS_매출관리!I:I)</f>
        <v>0</v>
      </c>
      <c r="D196">
        <f t="shared" si="3"/>
        <v>16</v>
      </c>
    </row>
    <row r="197" spans="3:4" x14ac:dyDescent="0.3">
      <c r="C197" s="52">
        <f>SUMIF(BTS_매출관리!C:C,B197,BTS_매출관리!I:I)</f>
        <v>0</v>
      </c>
      <c r="D197">
        <f t="shared" si="3"/>
        <v>16</v>
      </c>
    </row>
    <row r="198" spans="3:4" x14ac:dyDescent="0.3">
      <c r="C198" s="52">
        <f>SUMIF(BTS_매출관리!C:C,B198,BTS_매출관리!I:I)</f>
        <v>0</v>
      </c>
      <c r="D198">
        <f t="shared" si="3"/>
        <v>16</v>
      </c>
    </row>
    <row r="199" spans="3:4" x14ac:dyDescent="0.3">
      <c r="C199" s="52">
        <f>SUMIF(BTS_매출관리!C:C,B199,BTS_매출관리!I:I)</f>
        <v>0</v>
      </c>
      <c r="D199">
        <f t="shared" si="3"/>
        <v>16</v>
      </c>
    </row>
    <row r="200" spans="3:4" x14ac:dyDescent="0.3">
      <c r="C200" s="52">
        <f>SUMIF(BTS_매출관리!C:C,B200,BTS_매출관리!I:I)</f>
        <v>0</v>
      </c>
      <c r="D200">
        <f t="shared" si="3"/>
        <v>16</v>
      </c>
    </row>
    <row r="201" spans="3:4" x14ac:dyDescent="0.3">
      <c r="C201" s="52">
        <f>SUMIF(BTS_매출관리!C:C,B201,BTS_매출관리!I:I)</f>
        <v>0</v>
      </c>
      <c r="D201">
        <f t="shared" si="3"/>
        <v>16</v>
      </c>
    </row>
    <row r="202" spans="3:4" x14ac:dyDescent="0.3">
      <c r="C202" s="52">
        <f>SUMIF(BTS_매출관리!C:C,B202,BTS_매출관리!I:I)</f>
        <v>0</v>
      </c>
      <c r="D202">
        <f t="shared" si="3"/>
        <v>16</v>
      </c>
    </row>
    <row r="203" spans="3:4" x14ac:dyDescent="0.3">
      <c r="C203" s="52">
        <f>SUMIF(BTS_매출관리!C:C,B203,BTS_매출관리!I:I)</f>
        <v>0</v>
      </c>
      <c r="D203">
        <f t="shared" si="3"/>
        <v>16</v>
      </c>
    </row>
    <row r="204" spans="3:4" x14ac:dyDescent="0.3">
      <c r="C204" s="52">
        <f>SUMIF(BTS_매출관리!C:C,B204,BTS_매출관리!I:I)</f>
        <v>0</v>
      </c>
      <c r="D204">
        <f t="shared" si="3"/>
        <v>16</v>
      </c>
    </row>
    <row r="205" spans="3:4" x14ac:dyDescent="0.3">
      <c r="C205" s="52">
        <f>SUMIF(BTS_매출관리!C:C,B205,BTS_매출관리!I:I)</f>
        <v>0</v>
      </c>
      <c r="D205">
        <f t="shared" si="3"/>
        <v>16</v>
      </c>
    </row>
    <row r="206" spans="3:4" x14ac:dyDescent="0.3">
      <c r="C206" s="52">
        <f>SUMIF(BTS_매출관리!C:C,B206,BTS_매출관리!I:I)</f>
        <v>0</v>
      </c>
      <c r="D206">
        <f t="shared" si="3"/>
        <v>16</v>
      </c>
    </row>
    <row r="207" spans="3:4" x14ac:dyDescent="0.3">
      <c r="C207" s="52">
        <f>SUMIF(BTS_매출관리!C:C,B207,BTS_매출관리!I:I)</f>
        <v>0</v>
      </c>
      <c r="D207">
        <f t="shared" si="3"/>
        <v>16</v>
      </c>
    </row>
    <row r="208" spans="3:4" x14ac:dyDescent="0.3">
      <c r="C208" s="52">
        <f>SUMIF(BTS_매출관리!C:C,B208,BTS_매출관리!I:I)</f>
        <v>0</v>
      </c>
      <c r="D208">
        <f t="shared" si="3"/>
        <v>16</v>
      </c>
    </row>
    <row r="209" spans="3:4" x14ac:dyDescent="0.3">
      <c r="C209" s="52">
        <f>SUMIF(BTS_매출관리!C:C,B209,BTS_매출관리!I:I)</f>
        <v>0</v>
      </c>
      <c r="D209">
        <f t="shared" si="3"/>
        <v>16</v>
      </c>
    </row>
    <row r="210" spans="3:4" x14ac:dyDescent="0.3">
      <c r="C210" s="52">
        <f>SUMIF(BTS_매출관리!C:C,B210,BTS_매출관리!I:I)</f>
        <v>0</v>
      </c>
      <c r="D210">
        <f t="shared" si="3"/>
        <v>16</v>
      </c>
    </row>
    <row r="211" spans="3:4" x14ac:dyDescent="0.3">
      <c r="C211" s="52">
        <f>SUMIF(BTS_매출관리!C:C,B211,BTS_매출관리!I:I)</f>
        <v>0</v>
      </c>
      <c r="D211">
        <f t="shared" si="3"/>
        <v>16</v>
      </c>
    </row>
    <row r="212" spans="3:4" x14ac:dyDescent="0.3">
      <c r="C212" s="52">
        <f>SUMIF(BTS_매출관리!C:C,B212,BTS_매출관리!I:I)</f>
        <v>0</v>
      </c>
      <c r="D212">
        <f t="shared" si="3"/>
        <v>16</v>
      </c>
    </row>
    <row r="213" spans="3:4" x14ac:dyDescent="0.3">
      <c r="C213" s="52">
        <f>SUMIF(BTS_매출관리!C:C,B213,BTS_매출관리!I:I)</f>
        <v>0</v>
      </c>
      <c r="D213">
        <f t="shared" si="3"/>
        <v>16</v>
      </c>
    </row>
    <row r="214" spans="3:4" x14ac:dyDescent="0.3">
      <c r="C214" s="52">
        <f>SUMIF(BTS_매출관리!C:C,B214,BTS_매출관리!I:I)</f>
        <v>0</v>
      </c>
      <c r="D214">
        <f t="shared" si="3"/>
        <v>16</v>
      </c>
    </row>
    <row r="215" spans="3:4" x14ac:dyDescent="0.3">
      <c r="C215" s="52">
        <f>SUMIF(BTS_매출관리!C:C,B215,BTS_매출관리!I:I)</f>
        <v>0</v>
      </c>
      <c r="D215">
        <f t="shared" si="3"/>
        <v>16</v>
      </c>
    </row>
    <row r="216" spans="3:4" x14ac:dyDescent="0.3">
      <c r="C216" s="52">
        <f>SUMIF(BTS_매출관리!C:C,B216,BTS_매출관리!I:I)</f>
        <v>0</v>
      </c>
      <c r="D216">
        <f t="shared" si="3"/>
        <v>16</v>
      </c>
    </row>
    <row r="217" spans="3:4" x14ac:dyDescent="0.3">
      <c r="C217" s="52">
        <f>SUMIF(BTS_매출관리!C:C,B217,BTS_매출관리!I:I)</f>
        <v>0</v>
      </c>
      <c r="D217">
        <f t="shared" si="3"/>
        <v>16</v>
      </c>
    </row>
    <row r="218" spans="3:4" x14ac:dyDescent="0.3">
      <c r="C218" s="52">
        <f>SUMIF(BTS_매출관리!C:C,B218,BTS_매출관리!I:I)</f>
        <v>0</v>
      </c>
      <c r="D218">
        <f t="shared" si="3"/>
        <v>16</v>
      </c>
    </row>
    <row r="219" spans="3:4" x14ac:dyDescent="0.3">
      <c r="C219" s="52">
        <f>SUMIF(BTS_매출관리!C:C,B219,BTS_매출관리!I:I)</f>
        <v>0</v>
      </c>
      <c r="D219">
        <f t="shared" si="3"/>
        <v>16</v>
      </c>
    </row>
    <row r="220" spans="3:4" x14ac:dyDescent="0.3">
      <c r="C220" s="52">
        <f>SUMIF(BTS_매출관리!C:C,B220,BTS_매출관리!I:I)</f>
        <v>0</v>
      </c>
      <c r="D220">
        <f t="shared" si="3"/>
        <v>16</v>
      </c>
    </row>
    <row r="221" spans="3:4" x14ac:dyDescent="0.3">
      <c r="C221" s="52">
        <f>SUMIF(BTS_매출관리!C:C,B221,BTS_매출관리!I:I)</f>
        <v>0</v>
      </c>
      <c r="D221">
        <f t="shared" si="3"/>
        <v>16</v>
      </c>
    </row>
    <row r="222" spans="3:4" x14ac:dyDescent="0.3">
      <c r="C222" s="52">
        <f>SUMIF(BTS_매출관리!C:C,B222,BTS_매출관리!I:I)</f>
        <v>0</v>
      </c>
      <c r="D222">
        <f t="shared" si="3"/>
        <v>16</v>
      </c>
    </row>
    <row r="223" spans="3:4" x14ac:dyDescent="0.3">
      <c r="C223" s="52">
        <f>SUMIF(BTS_매출관리!C:C,B223,BTS_매출관리!I:I)</f>
        <v>0</v>
      </c>
      <c r="D223">
        <f t="shared" si="3"/>
        <v>16</v>
      </c>
    </row>
    <row r="224" spans="3:4" x14ac:dyDescent="0.3">
      <c r="C224" s="52">
        <f>SUMIF(BTS_매출관리!C:C,B224,BTS_매출관리!I:I)</f>
        <v>0</v>
      </c>
      <c r="D224">
        <f t="shared" si="3"/>
        <v>16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3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1160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3809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3810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3811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3812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3814</v>
      </c>
    </row>
    <row r="967" spans="1:4" x14ac:dyDescent="0.3">
      <c r="A967">
        <v>991</v>
      </c>
      <c r="B967" s="13">
        <v>45931</v>
      </c>
      <c r="C967" t="s">
        <v>3815</v>
      </c>
      <c r="D967" t="s">
        <v>3816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3821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3822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3827</v>
      </c>
    </row>
    <row r="971" spans="1:4" x14ac:dyDescent="0.3">
      <c r="A971">
        <v>995</v>
      </c>
      <c r="B971" s="13">
        <v>45932</v>
      </c>
      <c r="C971" t="s">
        <v>3818</v>
      </c>
      <c r="D971" t="s">
        <v>3829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3830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3836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3839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3840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3842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3843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3847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3853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3854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3855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3857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3858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3859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3860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3861</v>
      </c>
    </row>
    <row r="987" spans="1:4" x14ac:dyDescent="0.3">
      <c r="A987">
        <v>1011</v>
      </c>
      <c r="B987" s="13">
        <v>45940</v>
      </c>
      <c r="C987" t="s">
        <v>3815</v>
      </c>
      <c r="D987" t="s">
        <v>3862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3863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3864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3871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3872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3873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3874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3878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3880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3882</v>
      </c>
    </row>
    <row r="997" spans="1:4" x14ac:dyDescent="0.3">
      <c r="A997">
        <v>1021</v>
      </c>
      <c r="B997" s="13">
        <v>45943</v>
      </c>
      <c r="C997" t="s">
        <v>3883</v>
      </c>
      <c r="D997" t="s">
        <v>3886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3887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3888</v>
      </c>
    </row>
    <row r="1000" spans="1:4" x14ac:dyDescent="0.3">
      <c r="A1000">
        <v>1024</v>
      </c>
      <c r="B1000" s="13">
        <v>45943</v>
      </c>
      <c r="C1000" t="s">
        <v>3889</v>
      </c>
      <c r="D1000" t="s">
        <v>3890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3891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3903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3904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3907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3909</v>
      </c>
    </row>
    <row r="1006" spans="1:4" x14ac:dyDescent="0.3">
      <c r="A1006">
        <v>1030</v>
      </c>
      <c r="B1006" s="13">
        <v>45944</v>
      </c>
      <c r="C1006" t="s">
        <v>3910</v>
      </c>
      <c r="D1006" t="s">
        <v>3913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3914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3915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3916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3917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3919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3922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3923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3925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3926</v>
      </c>
    </row>
    <row r="1016" spans="1:4" x14ac:dyDescent="0.3">
      <c r="A1016">
        <v>1040</v>
      </c>
      <c r="B1016" s="13">
        <v>45945</v>
      </c>
      <c r="C1016" t="s">
        <v>3927</v>
      </c>
      <c r="D1016" t="s">
        <v>3931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3933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3934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3936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3947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3948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3949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3950</v>
      </c>
    </row>
    <row r="1025" spans="1:4" x14ac:dyDescent="0.3">
      <c r="A1025">
        <v>1049</v>
      </c>
      <c r="B1025" s="13">
        <v>45946</v>
      </c>
      <c r="C1025" t="s">
        <v>3941</v>
      </c>
      <c r="D1025" t="s">
        <v>3951</v>
      </c>
    </row>
    <row r="1026" spans="1:4" x14ac:dyDescent="0.3">
      <c r="A1026">
        <v>1050</v>
      </c>
      <c r="B1026" s="13">
        <v>45946</v>
      </c>
      <c r="C1026" t="s">
        <v>3815</v>
      </c>
      <c r="D1026" t="s">
        <v>3952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3954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3959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3961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3963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3964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3965</v>
      </c>
    </row>
    <row r="1033" spans="1:4" x14ac:dyDescent="0.3">
      <c r="A1033">
        <v>1057</v>
      </c>
      <c r="B1033" s="13">
        <v>45950</v>
      </c>
      <c r="C1033" t="s">
        <v>3966</v>
      </c>
      <c r="D1033" t="s">
        <v>3969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3970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3972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3973</v>
      </c>
    </row>
    <row r="1037" spans="1:4" x14ac:dyDescent="0.3">
      <c r="A1037">
        <v>1061</v>
      </c>
      <c r="B1037" s="13">
        <v>45950</v>
      </c>
      <c r="C1037" t="s">
        <v>3975</v>
      </c>
      <c r="D1037" t="s">
        <v>3976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3977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3979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3980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3981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3983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3986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3987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3988</v>
      </c>
    </row>
    <row r="1046" spans="1:4" x14ac:dyDescent="0.3">
      <c r="A1046">
        <v>1070</v>
      </c>
      <c r="B1046" s="13">
        <v>45951</v>
      </c>
      <c r="C1046" t="s">
        <v>3927</v>
      </c>
      <c r="D1046" t="s">
        <v>3989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3993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3994</v>
      </c>
    </row>
    <row r="1049" spans="1:4" x14ac:dyDescent="0.3">
      <c r="A1049">
        <v>1073</v>
      </c>
      <c r="B1049" s="13">
        <v>45951</v>
      </c>
      <c r="C1049" t="s">
        <v>3995</v>
      </c>
      <c r="D1049" t="s">
        <v>3996</v>
      </c>
    </row>
    <row r="1050" spans="1:4" x14ac:dyDescent="0.3">
      <c r="A1050">
        <v>1074</v>
      </c>
      <c r="B1050" s="13">
        <v>45952</v>
      </c>
      <c r="C1050" t="s">
        <v>3997</v>
      </c>
      <c r="D1050" t="s">
        <v>4003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4004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4005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4006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4008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4009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4012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4013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4014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4015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4016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4017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4018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4020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4021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4030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4036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4037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4038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4039</v>
      </c>
    </row>
    <row r="1070" spans="1:4" x14ac:dyDescent="0.3">
      <c r="A1070">
        <v>1094</v>
      </c>
      <c r="B1070" s="13">
        <v>45955</v>
      </c>
      <c r="C1070" t="s">
        <v>4040</v>
      </c>
      <c r="D1070" t="s">
        <v>4044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4045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4046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4047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4051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4066</v>
      </c>
    </row>
    <row r="1076" spans="1:4" x14ac:dyDescent="0.3">
      <c r="A1076">
        <v>1100</v>
      </c>
      <c r="B1076" s="13">
        <v>45957</v>
      </c>
      <c r="C1076" t="s">
        <v>4061</v>
      </c>
      <c r="D1076" t="s">
        <v>4067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4068</v>
      </c>
    </row>
    <row r="1078" spans="1:4" x14ac:dyDescent="0.3">
      <c r="A1078">
        <v>1102</v>
      </c>
      <c r="B1078" s="13">
        <v>45957</v>
      </c>
      <c r="C1078" t="s">
        <v>4057</v>
      </c>
      <c r="D1078" t="s">
        <v>4069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4070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4071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4081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4082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4092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4093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4094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4095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4096</v>
      </c>
    </row>
    <row r="1088" spans="1:4" x14ac:dyDescent="0.3">
      <c r="A1088">
        <v>1112</v>
      </c>
      <c r="B1088" s="13">
        <v>45958</v>
      </c>
      <c r="C1088" t="s">
        <v>4086</v>
      </c>
      <c r="D1088" t="s">
        <v>4097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4098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4108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4109</v>
      </c>
    </row>
    <row r="1092" spans="1:4" x14ac:dyDescent="0.3">
      <c r="A1092">
        <v>1116</v>
      </c>
      <c r="B1092" s="13">
        <v>45959</v>
      </c>
      <c r="C1092" t="s">
        <v>4105</v>
      </c>
      <c r="D1092" t="s">
        <v>4111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4112</v>
      </c>
    </row>
    <row r="1094" spans="1:4" x14ac:dyDescent="0.3">
      <c r="A1094">
        <v>1118</v>
      </c>
      <c r="B1094" s="13">
        <v>45959</v>
      </c>
      <c r="C1094" t="s">
        <v>4040</v>
      </c>
      <c r="D1094" t="s">
        <v>4113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4114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4115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4123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4124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4127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4128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4129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4131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4132</v>
      </c>
    </row>
    <row r="1104" spans="1:4" x14ac:dyDescent="0.3">
      <c r="A1104">
        <v>1128</v>
      </c>
      <c r="B1104" s="13">
        <v>45960</v>
      </c>
      <c r="C1104" t="s">
        <v>4061</v>
      </c>
      <c r="D1104" t="s">
        <v>4133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4134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4135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4136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4137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4163</v>
      </c>
    </row>
    <row r="1110" spans="1:4" x14ac:dyDescent="0.3">
      <c r="A1110">
        <v>1134</v>
      </c>
      <c r="B1110" s="13">
        <v>45961</v>
      </c>
      <c r="C1110" t="s">
        <v>4164</v>
      </c>
      <c r="D1110" t="s">
        <v>4167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4168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4169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4170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4171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4173</v>
      </c>
    </row>
    <row r="1116" spans="1:4" x14ac:dyDescent="0.3">
      <c r="A1116">
        <v>1140</v>
      </c>
      <c r="B1116" t="s">
        <v>4181</v>
      </c>
      <c r="C1116" t="s">
        <v>1721</v>
      </c>
      <c r="D1116" t="s">
        <v>4182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4187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4188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4189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4190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4196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4199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4200</v>
      </c>
    </row>
    <row r="1126" spans="1:4" x14ac:dyDescent="0.3">
      <c r="A1126">
        <v>1150</v>
      </c>
      <c r="B1126" s="13">
        <v>45965</v>
      </c>
      <c r="C1126" t="s">
        <v>3975</v>
      </c>
      <c r="D1126" t="s">
        <v>4201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4202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4204</v>
      </c>
    </row>
    <row r="1129" spans="1:4" x14ac:dyDescent="0.3">
      <c r="A1129">
        <v>1153</v>
      </c>
      <c r="B1129" s="13">
        <v>45966</v>
      </c>
      <c r="C1129" t="s">
        <v>4215</v>
      </c>
      <c r="D1129" t="s">
        <v>4220</v>
      </c>
    </row>
    <row r="1130" spans="1:4" x14ac:dyDescent="0.3">
      <c r="A1130">
        <v>1154</v>
      </c>
      <c r="B1130" s="13">
        <v>45966</v>
      </c>
      <c r="C1130" t="s">
        <v>1579</v>
      </c>
      <c r="D1130" t="s">
        <v>4222</v>
      </c>
    </row>
    <row r="1131" spans="1:4" x14ac:dyDescent="0.3">
      <c r="A1131">
        <v>1155</v>
      </c>
      <c r="B1131" s="13">
        <v>45966</v>
      </c>
      <c r="C1131" t="s">
        <v>1305</v>
      </c>
      <c r="D1131" t="s">
        <v>4225</v>
      </c>
    </row>
    <row r="1132" spans="1:4" x14ac:dyDescent="0.3">
      <c r="A1132">
        <v>1156</v>
      </c>
      <c r="B1132" s="13">
        <v>45966</v>
      </c>
      <c r="C1132" t="s">
        <v>1721</v>
      </c>
      <c r="D1132" t="s">
        <v>4226</v>
      </c>
    </row>
    <row r="1133" spans="1:4" x14ac:dyDescent="0.3">
      <c r="A1133">
        <v>1157</v>
      </c>
      <c r="B1133" s="13">
        <v>45966</v>
      </c>
      <c r="C1133" t="s">
        <v>2868</v>
      </c>
      <c r="D1133" t="s">
        <v>4227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4228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3945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3796</v>
      </c>
      <c r="F14" t="s">
        <v>3791</v>
      </c>
      <c r="G14" t="s">
        <v>3797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16693000.199999999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5803000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1800000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3805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850000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3865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4174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4022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3875</v>
      </c>
      <c r="H65" s="194">
        <f>SUMIF(주문_리스트!C:C,거래처!B65,주문_리스트!K:K)+SUMIF(주문_리스트!C:C,거래처!B65,주문_리스트!L:L)</f>
        <v>0</v>
      </c>
      <c r="J65" t="s">
        <v>3894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4146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3790</v>
      </c>
      <c r="F73" t="s">
        <v>3791</v>
      </c>
      <c r="G73" t="s">
        <v>3792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1100000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7755000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4022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3803</v>
      </c>
      <c r="F84" t="s">
        <v>3791</v>
      </c>
      <c r="G84" t="s">
        <v>3804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352000.09999999963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3300000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3798</v>
      </c>
      <c r="F95" t="s">
        <v>3791</v>
      </c>
      <c r="G95" t="s">
        <v>3799</v>
      </c>
      <c r="H95" s="194">
        <f>SUMIF(주문_리스트!C:C,거래처!B95,주문_리스트!K:K)+SUMIF(주문_리스트!C:C,거래처!B95,주문_리스트!L:L)-715000</f>
        <v>0</v>
      </c>
      <c r="J95" t="s">
        <v>4147</v>
      </c>
    </row>
    <row r="96" spans="1:1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1600000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4022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3946</v>
      </c>
      <c r="H102" s="194">
        <f>SUMIF(주문_리스트!C:C,거래처!B102,주문_리스트!K:K)+SUMIF(주문_리스트!C:C,거래처!B102,주문_리스트!L:L)</f>
        <v>0</v>
      </c>
      <c r="J102" t="s">
        <v>3896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3846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3892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660000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x14ac:dyDescent="0.3">
      <c r="A115" s="47">
        <v>114</v>
      </c>
      <c r="B115" t="s">
        <v>4041</v>
      </c>
      <c r="C115" t="s">
        <v>4042</v>
      </c>
      <c r="E115" t="s">
        <v>4043</v>
      </c>
      <c r="F115" t="s">
        <v>4052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4206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3937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3793</v>
      </c>
      <c r="F148" t="s">
        <v>3794</v>
      </c>
      <c r="G148" t="s">
        <v>3795</v>
      </c>
      <c r="H148" s="194">
        <f>SUMIF(주문_리스트!C:C,거래처!B148,주문_리스트!K:K)+SUMIF(주문_리스트!C:C,거래처!B148,주문_리스트!L:L)</f>
        <v>0</v>
      </c>
      <c r="K148" t="s">
        <v>4022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4150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4152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4022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3900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4022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3818</v>
      </c>
      <c r="C188" t="s">
        <v>3819</v>
      </c>
      <c r="E188" t="s">
        <v>3820</v>
      </c>
      <c r="F188" t="s">
        <v>1180</v>
      </c>
      <c r="G188" t="s">
        <v>3820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3883</v>
      </c>
      <c r="C189" t="s">
        <v>3884</v>
      </c>
      <c r="E189" t="s">
        <v>3885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3902</v>
      </c>
    </row>
    <row r="190" spans="1:11" x14ac:dyDescent="0.3">
      <c r="A190" s="47">
        <v>189</v>
      </c>
      <c r="B190" t="s">
        <v>3910</v>
      </c>
      <c r="C190" t="s">
        <v>3911</v>
      </c>
      <c r="E190" t="s">
        <v>3912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3927</v>
      </c>
      <c r="C191" t="s">
        <v>3928</v>
      </c>
      <c r="E191" t="s">
        <v>3929</v>
      </c>
      <c r="F191" t="s">
        <v>976</v>
      </c>
      <c r="G191" t="s">
        <v>3930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3941</v>
      </c>
      <c r="C192" t="s">
        <v>3942</v>
      </c>
      <c r="E192" t="s">
        <v>3943</v>
      </c>
      <c r="F192" t="s">
        <v>963</v>
      </c>
      <c r="G192" t="s">
        <v>3944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3966</v>
      </c>
      <c r="C193" t="s">
        <v>3967</v>
      </c>
      <c r="E193" t="s">
        <v>3968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3998</v>
      </c>
      <c r="C194" t="s">
        <v>3999</v>
      </c>
      <c r="E194" t="s">
        <v>4000</v>
      </c>
      <c r="F194" t="s">
        <v>4001</v>
      </c>
      <c r="G194" t="s">
        <v>4002</v>
      </c>
      <c r="H194" s="194">
        <f>SUMIF(주문_리스트!C:C,거래처!B194,주문_리스트!K:K)+SUMIF(주문_리스트!C:C,거래처!B194,주문_리스트!L:L)</f>
        <v>0</v>
      </c>
      <c r="K194" t="s">
        <v>4022</v>
      </c>
    </row>
    <row r="195" spans="1:11" x14ac:dyDescent="0.3">
      <c r="A195" s="47">
        <v>195</v>
      </c>
      <c r="B195" t="s">
        <v>4057</v>
      </c>
      <c r="C195" t="s">
        <v>4058</v>
      </c>
      <c r="E195" t="s">
        <v>4059</v>
      </c>
      <c r="F195" t="s">
        <v>963</v>
      </c>
      <c r="G195" t="s">
        <v>4060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4061</v>
      </c>
      <c r="C196" t="s">
        <v>4062</v>
      </c>
      <c r="E196" t="s">
        <v>4063</v>
      </c>
      <c r="F196" t="s">
        <v>1180</v>
      </c>
      <c r="G196" t="s">
        <v>4064</v>
      </c>
      <c r="H196" s="194">
        <f>SUMIF(주문_리스트!C:C,거래처!B196,주문_리스트!K:K)+SUMIF(주문_리스트!C:C,거래처!B196,주문_리스트!L:L)</f>
        <v>0</v>
      </c>
      <c r="J196" t="s">
        <v>4154</v>
      </c>
    </row>
    <row r="197" spans="1:11" x14ac:dyDescent="0.3">
      <c r="A197" s="47">
        <v>197</v>
      </c>
      <c r="B197" t="s">
        <v>4086</v>
      </c>
      <c r="C197" t="s">
        <v>4087</v>
      </c>
      <c r="E197" t="s">
        <v>4088</v>
      </c>
      <c r="F197" t="s">
        <v>963</v>
      </c>
      <c r="G197" t="s">
        <v>4089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4105</v>
      </c>
      <c r="C198" t="s">
        <v>4106</v>
      </c>
      <c r="E198" t="s">
        <v>4107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4164</v>
      </c>
      <c r="C199" t="s">
        <v>4165</v>
      </c>
      <c r="E199" t="s">
        <v>4166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4215</v>
      </c>
      <c r="C200" t="s">
        <v>4216</v>
      </c>
      <c r="E200" t="s">
        <v>4217</v>
      </c>
      <c r="F200" t="s">
        <v>963</v>
      </c>
      <c r="G200" t="s">
        <v>4218</v>
      </c>
      <c r="H200" s="194">
        <f>SUMIF(주문_리스트!C:C,거래처!B200,주문_리스트!K:K)+SUMIF(주문_리스트!C:C,거래처!B200,주문_리스트!L:L)</f>
        <v>1500000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4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258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3844</v>
      </c>
      <c r="D9" s="288" t="s">
        <v>1140</v>
      </c>
      <c r="E9" s="288" t="s">
        <v>3844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3991</v>
      </c>
      <c r="D15" s="288" t="s">
        <v>1653</v>
      </c>
      <c r="E15" s="288" t="s">
        <v>3991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-90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-113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-33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-33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-21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-33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-46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4034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4035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-113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-21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4158</v>
      </c>
      <c r="D120" s="288" t="s">
        <v>4159</v>
      </c>
      <c r="E120" s="288" t="s">
        <v>4158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4156</v>
      </c>
      <c r="D121" s="288" t="s">
        <v>4157</v>
      </c>
      <c r="E121" s="288" t="s">
        <v>4156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-33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3845</v>
      </c>
      <c r="D139" s="288" t="s">
        <v>2684</v>
      </c>
      <c r="E139" s="288" t="s">
        <v>3845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3992</v>
      </c>
      <c r="D145" s="288" t="s">
        <v>2210</v>
      </c>
      <c r="E145" s="288" t="s">
        <v>3992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4090</v>
      </c>
      <c r="D162" s="288" t="s">
        <v>2271</v>
      </c>
      <c r="E162" s="288" t="s">
        <v>4090</v>
      </c>
      <c r="F162" s="52">
        <v>80000</v>
      </c>
      <c r="G162" s="52">
        <v>45000</v>
      </c>
      <c r="H162">
        <v>-1</v>
      </c>
      <c r="I162" s="52" t="s">
        <v>4091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4055</v>
      </c>
      <c r="D201" s="288" t="s">
        <v>4056</v>
      </c>
      <c r="E201" s="288" t="s">
        <v>4055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3825</v>
      </c>
      <c r="D236" s="288" t="s">
        <v>3826</v>
      </c>
      <c r="E236" s="288" t="s">
        <v>3825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3837</v>
      </c>
      <c r="D237" s="288" t="s">
        <v>3837</v>
      </c>
      <c r="E237" s="288" t="s">
        <v>3838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3851</v>
      </c>
      <c r="E238" s="288" t="s">
        <v>3852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3876</v>
      </c>
      <c r="D239" s="288" t="s">
        <v>3877</v>
      </c>
      <c r="E239" s="288" t="s">
        <v>3876</v>
      </c>
    </row>
    <row r="240" spans="1:8" x14ac:dyDescent="0.3">
      <c r="A240">
        <v>243</v>
      </c>
      <c r="B240">
        <v>4</v>
      </c>
      <c r="C240" s="288" t="s">
        <v>3920</v>
      </c>
      <c r="D240" s="288" t="s">
        <v>3921</v>
      </c>
      <c r="E240" s="288" t="s">
        <v>3920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3960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3984</v>
      </c>
      <c r="D245" s="288" t="s">
        <v>3985</v>
      </c>
      <c r="E245" s="288" t="s">
        <v>3984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4007</v>
      </c>
      <c r="D246" s="288" t="s">
        <v>2918</v>
      </c>
      <c r="E246" s="288" t="s">
        <v>4007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4010</v>
      </c>
      <c r="D247" s="288" t="s">
        <v>4011</v>
      </c>
      <c r="E247" s="288" t="s">
        <v>4010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4031</v>
      </c>
      <c r="D248" s="288" t="s">
        <v>4032</v>
      </c>
      <c r="E248" s="288" t="s">
        <v>4031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4049</v>
      </c>
      <c r="D249" s="288" t="s">
        <v>4050</v>
      </c>
      <c r="E249" s="288" t="s">
        <v>4049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4054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4110</v>
      </c>
      <c r="D251" s="288" t="s">
        <v>2918</v>
      </c>
      <c r="E251" s="288" t="s">
        <v>4110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4121</v>
      </c>
      <c r="D252" s="288" t="s">
        <v>4122</v>
      </c>
      <c r="E252" s="288" t="s">
        <v>4121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4183</v>
      </c>
      <c r="D253" s="288" t="s">
        <v>2383</v>
      </c>
      <c r="E253" s="288" t="s">
        <v>4183</v>
      </c>
      <c r="I253" s="52" t="s">
        <v>4184</v>
      </c>
    </row>
    <row r="254" spans="1:9" x14ac:dyDescent="0.3">
      <c r="A254">
        <v>257</v>
      </c>
      <c r="B254">
        <v>3</v>
      </c>
      <c r="C254" s="288" t="s">
        <v>4203</v>
      </c>
      <c r="D254" s="288" t="s">
        <v>3123</v>
      </c>
      <c r="E254" s="288" t="s">
        <v>4203</v>
      </c>
      <c r="F254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2025-11-05T12:22:52Z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