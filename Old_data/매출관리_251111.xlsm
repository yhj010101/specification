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90FB969-B3FA-4E9E-ADDD-8D05D57D3B2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<sst xmlns="http://schemas.openxmlformats.org/spreadsheetml/2006/main" count="12371" uniqueCount="4312">
  <si>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</si>
  <si>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</si>
  <si>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</si>
  <si>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</si>
  <si>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</si>
  <si>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</si>
  <si>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</si>
  <si>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</si>
  <si>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</si>
  <si>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</si>
  <si>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</si>
  <si>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</si>
  <si>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</si>
  <si>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</si>
  <si>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</si>
  <si>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</si>
  <si>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</si>
  <si>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</si>
  <si>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</si>
  <si>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</si>
  <si>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</si>
  <si>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</si>
  <si>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</si>
  <si>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</si>
  <si>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</si>
  <si>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</si>
  <si>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</si>
  <si>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</si>
  <si>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</si>
  <si>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</si>
  <si>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</si>
  <si>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</si>
  <si>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</si>
  <si>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</si>
  <si>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</si>
  <si>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</si>
  <si>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</si>
  <si>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</si>
  <si>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</si>
  <si>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</si>
  <si>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</si>
  <si>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</si>
  <si>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</si>
  <si>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</si>
  <si>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</si>
  <si>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</si>
  <si>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</si>
  <si>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</si>
  <si>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</si>
  <si>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</si>
  <si>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</si>
  <si>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</si>
  <si>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</si>
  <si>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</si>
  <si>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</si>
  <si>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</si>
  <si>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</si>
  <si>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</si>
  <si>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</si>
  <si>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</si>
  <si>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</si>
  <si>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</si>
  <si>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</si>
  <si>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</si>
  <si>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</si>
  <si>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</si>
  <si>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</si>
  <si>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</si>
  <si>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</si>
  <si>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</si>
  <si>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</si>
  <si>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</si>
  <si>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</si>
  <si>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</si>
  <si>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</si>
  <si>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</si>
  <si>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</si>
  <si>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</si>
  <si>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</si>
  <si>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</si>
  <si>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</si>
  <si>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</si>
  <si>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</si>
  <si>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</si>
  <si>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</si>
  <si>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</si>
  <si>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</si>
  <si>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</si>
  <si>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</si>
  <si>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</si>
  <si>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</si>
  <si>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</si>
  <si>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</si>
  <si>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</si>
  <si>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</si>
  <si>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</si>
  <si>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</si>
  <si>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</si>
  <si>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</si>
  <si>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</si>
  <si>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</si>
  <si>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</si>
  <si>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</si>
  <si>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</si>
  <si>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</si>
  <si>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</si>
  <si>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</si>
  <si>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</si>
  <si>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</si>
  <si>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</si>
  <si>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</si>
  <si>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</si>
  <si>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</si>
  <si>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</si>
  <si>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</si>
  <si>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</si>
  <si>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</si>
  <si>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</si>
  <si>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</si>
  <si>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</si>
  <si>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</si>
  <si>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</si>
  <si>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</si>
  <si>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</si>
  <si>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</si>
  <si>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</si>
  <si>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</si>
  <si>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</si>
  <si>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</si>
  <si>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</si>
  <si>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</si>
  <si>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</si>
  <si>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</si>
  <si>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</si>
  <si>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</si>
  <si>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</si>
  <si>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</si>
  <si>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</si>
  <si>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</si>
  <si>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</si>
  <si>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</si>
  <si>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</si>
  <si>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</si>
  <si>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</si>
  <si>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</si>
  <si>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</si>
  <si>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</si>
  <si>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</si>
  <si>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</si>
  <si>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</si>
  <si>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</si>
  <si>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</si>
  <si>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</si>
  <si>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</si>
  <si>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</si>
  <si>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</si>
  <si>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</si>
  <si>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</si>
  <si>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</si>
  <si>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</si>
  <si>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</si>
  <si>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</si>
  <si>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</si>
  <si>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</si>
  <si>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</si>
  <si>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</si>
  <si>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</si>
  <si>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</si>
  <si>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</si>
  <si>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</si>
  <si>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</si>
  <si>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</si>
  <si>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</si>
  <si>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</si>
  <si>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</si>
  <si>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</si>
  <si>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</si>
  <si>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</si>
  <si>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</si>
  <si>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</si>
  <si>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</si>
  <si>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</si>
  <si>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</si>
  <si>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</si>
  <si>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</si>
  <si>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</si>
  <si>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</si>
  <si>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</si>
  <si>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</si>
  <si>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</si>
  <si>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</si>
  <si>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</si>
  <si>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</si>
  <si>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</si>
  <si>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</si>
  <si>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</si>
  <si>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</si>
  <si>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</si>
  <si>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</si>
  <si>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</si>
  <si>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</si>
  <si>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</si>
  <si>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</si>
  <si>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</si>
  <si>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</si>
  <si>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</si>
  <si>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</si>
  <si>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</si>
  <si>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</si>
  <si>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</si>
  <si>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</si>
  <si>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</si>
  <si>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</si>
  <si>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</si>
  <si>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</si>
  <si>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</si>
  <si>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</si>
  <si>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</si>
  <si>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</si>
  <si>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</si>
  <si>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</si>
  <si>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</si>
  <si>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</si>
  <si>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</si>
  <si>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</si>
  <si>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</si>
  <si>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</si>
  <si>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</si>
  <si>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</si>
  <si>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</si>
  <si>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</si>
  <si>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</si>
  <si>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</si>
  <si>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</si>
  <si>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</si>
  <si>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</si>
  <si>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</si>
  <si>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</si>
  <si>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</si>
  <si>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</si>
  <si>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</si>
  <si>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</si>
  <si>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</si>
  <si>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</si>
  <si>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</si>
  <si>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</si>
  <si>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</si>
  <si>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</si>
  <si>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</si>
  <si>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</si>
  <si>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</si>
  <si>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</si>
  <si>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</si>
  <si>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</si>
  <si>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</si>
  <si>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</si>
  <si>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</si>
  <si>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</si>
  <si>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</si>
  <si>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</si>
  <si>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</si>
  <si>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</si>
  <si>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</si>
  <si>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</si>
  <si>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</si>
  <si>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</si>
  <si>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</si>
  <si>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</si>
  <si>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</si>
  <si>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</si>
  <si>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</si>
  <si>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</si>
  <si>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</si>
  <si>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</si>
  <si>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</si>
  <si>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</si>
  <si>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</si>
  <si>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</si>
  <si>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</si>
  <si>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</si>
  <si>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</si>
  <si>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</si>
  <si>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</si>
  <si>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</si>
  <si>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</si>
  <si>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</si>
  <si>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</si>
  <si>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</si>
  <si>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</si>
  <si>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</si>
  <si>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</si>
  <si>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</si>
  <si>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</si>
  <si>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</si>
  <si>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</si>
  <si>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</si>
  <si>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</si>
  <si>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</si>
  <si>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</si>
  <si>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</si>
  <si>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</si>
  <si>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</si>
  <si>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</si>
  <si>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</si>
  <si>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</si>
  <si>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</si>
  <si>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</si>
  <si>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</si>
  <si>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</si>
  <si>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</si>
  <si>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</si>
  <si>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</si>
  <si>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</si>
  <si>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</si>
  <si>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</si>
  <si>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</si>
  <si>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</si>
  <si>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</si>
  <si>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</si>
  <si>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</si>
  <si>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</si>
  <si>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</si>
  <si>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</si>
  <si>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</si>
  <si>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</si>
  <si>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</si>
  <si>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</si>
  <si>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</si>
  <si>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</si>
  <si>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</si>
  <si>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</si>
  <si>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</si>
  <si>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</si>
  <si>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</si>
  <si>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</si>
  <si>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</si>
  <si>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</si>
  <si>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</si>
  <si>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</si>
  <si>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</si>
  <si>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</si>
  <si>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</si>
  <si>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</si>
  <si>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</si>
  <si>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</si>
  <si>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</si>
  <si>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</si>
  <si>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</si>
  <si>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</si>
  <si>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</si>
  <si>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</si>
  <si>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</si>
  <si>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</si>
  <si>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</si>
  <si>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</si>
  <si>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</si>
  <si>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</si>
  <si>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</si>
  <si>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</si>
  <si>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</si>
  <si>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</si>
  <si>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</si>
  <si>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</si>
  <si>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</si>
  <si>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</si>
  <si>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</si>
  <si>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</si>
  <si>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</si>
  <si>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</si>
  <si>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</si>
  <si>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</si>
  <si>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</si>
  <si>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</si>
  <si>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</si>
  <si>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</si>
  <si>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</si>
  <si>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</si>
  <si>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</si>
  <si>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</si>
  <si>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</si>
  <si>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</si>
  <si>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</si>
  <si>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</si>
  <si>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</si>
  <si>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</si>
  <si>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</si>
  <si>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</si>
  <si>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</si>
  <si>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</si>
  <si>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</si>
  <si>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</si>
  <si>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</si>
  <si>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</si>
  <si>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</si>
  <si>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</si>
  <si>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</si>
  <si>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</si>
  <si>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</si>
  <si>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</si>
  <si>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</si>
  <si>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</si>
  <si>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</si>
  <si>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</si>
  <si>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</si>
  <si>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</si>
  <si>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</si>
  <si>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</si>
  <si>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</si>
  <si>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</si>
  <si>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</si>
  <si>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</si>
  <si>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</si>
  <si>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</si>
  <si>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</si>
  <si>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</si>
  <si>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</si>
  <si>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</si>
  <si>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</si>
  <si>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</si>
  <si>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</si>
  <si>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</si>
  <si>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</si>
  <si>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</si>
  <si>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</si>
  <si>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</si>
  <si>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</si>
  <si>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</si>
  <si>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</si>
  <si>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</si>
  <si>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</si>
  <si>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</si>
  <si>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</si>
  <si>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</si>
  <si>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</si>
  <si>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</si>
  <si>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</si>
  <si>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</si>
  <si>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</si>
  <si>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</si>
  <si>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</si>
  <si>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</si>
  <si>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</si>
  <si>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</si>
  <si>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</si>
  <si>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</si>
  <si>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</si>
  <si>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</si>
  <si>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</si>
  <si>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</si>
  <si>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</si>
  <si>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</si>
  <si>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</si>
  <si>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</si>
  <si>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</si>
  <si>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</si>
  <si>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</si>
  <si>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</si>
  <si>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</si>
  <si>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</si>
  <si>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</si>
  <si>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</si>
  <si>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</si>
  <si>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</si>
  <si>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</si>
  <si>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</si>
  <si>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</si>
  <si>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</si>
  <si>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</si>
  <si>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</si>
  <si>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</si>
  <si>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</si>
  <si>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</si>
  <si>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</si>
  <si>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</si>
  <si>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</si>
  <si>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</si>
  <si>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</si>
  <si>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</si>
  <si>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</si>
  <si>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</si>
  <si>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</si>
  <si>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</si>
  <si>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</si>
  <si>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</si>
  <si>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</si>
  <si>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</si>
  <si>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</si>
  <si>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</si>
  <si>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</si>
  <si>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</si>
  <si>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</si>
  <si>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</si>
  <si>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</si>
  <si>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</si>
  <si>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</si>
  <si>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</si>
  <si>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</si>
  <si>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</si>
  <si>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</si>
  <si>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</si>
  <si>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</si>
  <si>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</si>
  <si>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</si>
  <si>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</si>
  <si>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</si>
  <si>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</si>
  <si>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</si>
  <si>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</si>
  <si>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</si>
  <si>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</si>
  <si>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</si>
  <si>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</si>
  <si>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</si>
  <si>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</si>
  <si>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</si>
  <si>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</si>
  <si>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</si>
  <si>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</si>
  <si>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</si>
  <si>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</si>
  <si>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</si>
  <si>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</si>
  <si>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</si>
  <si>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</si>
  <si>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</si>
  <si>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</si>
  <si>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</si>
  <si>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</si>
  <si>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</si>
  <si>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</si>
  <si>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</si>
  <si>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</si>
  <si>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</si>
  <si>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</si>
  <si>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</si>
  <si>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</si>
  <si>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</si>
  <si>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</si>
  <si>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</si>
  <si>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</si>
  <si>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</si>
  <si>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</si>
  <si>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</si>
  <si>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</si>
  <si>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</si>
  <si>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</si>
  <si>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</si>
  <si>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</si>
  <si>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</si>
  <si>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</si>
  <si>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</si>
  <si>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</si>
  <si>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</si>
  <si>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</si>
  <si>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</si>
  <si>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</si>
  <si>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</si>
  <si>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</si>
  <si>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</si>
  <si>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</si>
  <si>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</si>
  <si>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</si>
  <si>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</si>
  <si>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</si>
  <si>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</si>
  <si>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</si>
  <si>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</si>
  <si>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</si>
  <si>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</si>
  <si>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</si>
  <si>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</si>
  <si>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</si>
  <si>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</si>
  <si>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</si>
  <si>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</si>
  <si>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</si>
  <si>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</si>
  <si>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</si>
  <si>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</si>
  <si>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</si>
  <si>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</si>
  <si>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</si>
  <si>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</si>
  <si>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</si>
  <si>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</si>
  <si>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</si>
  <si>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</si>
  <si>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</si>
  <si>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</si>
  <si>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</si>
  <si>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</si>
  <si>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</si>
  <si>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</si>
  <si>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</si>
  <si>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</si>
  <si>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</si>
  <si>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</si>
  <si>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</si>
  <si>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</si>
  <si>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</si>
  <si>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</si>
  <si>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</si>
  <si>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</si>
  <si>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</si>
  <si>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</si>
  <si>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</si>
  <si>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</si>
  <si>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</si>
  <si>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</si>
  <si>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</si>
  <si>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</si>
  <si>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</si>
  <si>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</si>
  <si>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</si>
  <si>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</si>
  <si>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</si>
  <si>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</si>
  <si>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</si>
  <si>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</si>
  <si>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</si>
  <si>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</si>
  <si>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</si>
  <si>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</si>
  <si>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</si>
  <si>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</si>
  <si>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</si>
  <si>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</si>
  <si>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</si>
  <si>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</si>
  <si>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</si>
  <si>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</si>
  <si>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</si>
  <si>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</si>
  <si>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</si>
  <si>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</si>
  <si>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</si>
  <si>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</si>
  <si>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</si>
  <si>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</si>
  <si>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</si>
  <si>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</si>
  <si>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</si>
  <si>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</si>
  <si>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</si>
  <si>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</si>
  <si>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</si>
  <si>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</si>
  <si>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</si>
  <si>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</si>
  <si>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</si>
  <si>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</si>
  <si>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</si>
  <si>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</si>
  <si>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</si>
  <si>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</si>
  <si>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</si>
  <si>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</si>
  <si>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</si>
  <si>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</si>
  <si>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</si>
  <si>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</si>
  <si>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</si>
  <si>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</si>
  <si>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</si>
  <si>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</si>
  <si>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</si>
  <si>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</si>
  <si>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</si>
  <si>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</si>
  <si>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</si>
  <si>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</si>
  <si>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</si>
  <si>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</si>
  <si>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</si>
  <si>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</si>
  <si>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</si>
  <si>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</si>
  <si>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</si>
  <si>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</si>
  <si>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</si>
  <si>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</si>
  <si>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</si>
  <si>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</si>
  <si>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</si>
  <si>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</si>
  <si>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</si>
  <si>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</si>
  <si>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</si>
  <si>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</si>
  <si>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</si>
  <si>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</si>
  <si>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</si>
  <si>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</si>
  <si>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</si>
  <si>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</si>
  <si>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</si>
  <si>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</si>
  <si>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</si>
  <si>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</si>
  <si>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</si>
  <si>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</si>
  <si>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</si>
  <si>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</si>
  <si>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</si>
  <si>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</si>
  <si>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</si>
  <si>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</si>
  <si>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</si>
  <si>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</si>
  <si>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</si>
  <si>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</si>
  <si>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</si>
  <si>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</si>
  <si>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</si>
  <si>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</si>
  <si>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</si>
  <si>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</si>
  <si>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</si>
  <si>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</si>
  <si>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</si>
  <si>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</si>
  <si>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</si>
  <si>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</si>
  <si>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</si>
  <si>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</si>
  <si>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</si>
  <si>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</si>
  <si>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</si>
  <si>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</si>
  <si>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</si>
  <si>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</si>
  <si>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</si>
  <si>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</si>
  <si>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</si>
  <si>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</si>
  <si>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</si>
  <si>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</si>
  <si>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</si>
  <si>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</si>
  <si>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</si>
  <si>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</si>
  <si>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</si>
  <si>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</si>
  <si>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</si>
  <si>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</si>
  <si>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</si>
  <si>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</si>
  <si>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</si>
  <si>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</si>
  <si>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</si>
  <si>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</si>
  <si>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</si>
  <si>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</si>
  <si>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</si>
  <si>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</si>
  <si>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</si>
  <si>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</si>
  <si>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</si>
  <si>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</si>
  <si>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</si>
  <si>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</si>
  <si>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</si>
  <si>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</si>
  <si>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</si>
  <si>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</si>
  <si>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</si>
  <si>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</si>
  <si>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</si>
  <si>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</si>
  <si>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</si>
  <si>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</si>
  <si>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</si>
  <si>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</si>
  <si>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</si>
  <si>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</si>
  <si>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</si>
  <si>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</si>
  <si>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</si>
  <si>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</si>
  <si>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</si>
  <si>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</si>
  <si>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</si>
  <si>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</si>
  <si>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</si>
  <si>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</si>
  <si>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</si>
  <si>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</si>
  <si>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</si>
  <si>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</si>
  <si>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</si>
  <si>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</si>
  <si>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</si>
  <si>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</si>
  <si>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</si>
  <si>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</si>
  <si>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</si>
  <si>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</si>
  <si>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</si>
  <si>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</si>
  <si>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</si>
  <si>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</si>
  <si>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</si>
  <si>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</si>
  <si>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</si>
  <si>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</si>
  <si>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</si>
  <si>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</si>
  <si>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</si>
  <si>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</si>
  <si>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</si>
  <si>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</si>
  <si>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</si>
  <si>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</si>
  <si>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</si>
  <si>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</si>
  <si>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</si>
  <si>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</si>
  <si>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</si>
  <si>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</si>
  <si>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</si>
  <si>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</si>
  <si>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</si>
  <si>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</si>
  <si>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</si>
  <si>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</si>
  <si>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</si>
  <si>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</si>
  <si>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</si>
  <si>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</si>
  <si>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</si>
  <si>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</si>
  <si>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</si>
  <si>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</si>
  <si>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</si>
  <si>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</si>
  <si>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</si>
  <si>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</si>
  <si>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</si>
  <si>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</si>
  <si>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</si>
  <si>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</si>
  <si>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</si>
  <si>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</si>
  <si>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</si>
  <si>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</si>
  <si>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</si>
  <si>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</si>
  <si>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</si>
  <si>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</si>
  <si>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</si>
  <si>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</si>
  <si>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</si>
  <si>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</si>
  <si>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</si>
  <si>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</si>
  <si>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</si>
  <si>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</si>
  <si>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</si>
  <si>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</si>
  <si>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</si>
  <si>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</si>
  <si>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</si>
  <si>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</si>
  <si>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</si>
  <si>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</si>
  <si>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</si>
  <si>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</si>
  <si>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</si>
  <si>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</si>
  <si>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</si>
  <si>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</si>
  <si>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</si>
  <si>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</si>
  <si>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</si>
  <si>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</si>
  <si>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</si>
  <si>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</si>
  <si>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</si>
  <si>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</si>
  <si>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</si>
  <si>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</si>
  <si>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</si>
  <si>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</si>
  <si>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</si>
  <si>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</si>
  <si>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</si>
  <si>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</si>
  <si>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</si>
  <si>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</si>
  <si>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</si>
  <si>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</si>
  <si>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</si>
  <si>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</si>
  <si>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</si>
  <si>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</si>
  <si>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</si>
  <si>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</si>
  <si>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</si>
  <si>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</si>
  <si>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</si>
  <si>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</si>
  <si>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</si>
  <si>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</si>
  <si>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</si>
  <si>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</si>
  <si>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</si>
  <si>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</si>
  <si>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</si>
  <si>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</si>
  <si>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</si>
  <si>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</si>
  <si>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</si>
  <si>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</si>
  <si>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</si>
  <si>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</si>
  <si>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</si>
  <si>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</si>
  <si>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</si>
  <si>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</si>
  <si>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</si>
  <si>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</si>
  <si>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</si>
  <si>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</si>
  <si>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</si>
  <si>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</si>
  <si>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</si>
  <si>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</si>
  <si>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</si>
  <si>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</si>
  <si>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</si>
  <si>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</si>
  <si>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</si>
  <si>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</si>
  <si>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</si>
  <si>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</si>
  <si>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</si>
  <si>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</si>
  <si>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</si>
  <si>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</si>
  <si>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</si>
  <si>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</si>
  <si>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</si>
  <si>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</si>
  <si>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</si>
  <si>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</si>
  <si>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</si>
  <si>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</si>
  <si>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</si>
  <si>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</si>
  <si>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</si>
  <si>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</si>
  <si>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</si>
  <si>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</si>
  <si>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</si>
  <si>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</si>
  <si>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</si>
  <si>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</si>
  <si>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</si>
  <si>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</si>
  <si>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</si>
  <si>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</si>
  <si>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</si>
  <si>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</si>
  <si>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</si>
  <si>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</si>
  <si>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</si>
  <si>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</si>
  <si>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</si>
  <si>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</si>
  <si>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</si>
  <si>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</si>
  <si>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</si>
  <si>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</si>
  <si>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</si>
  <si>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</si>
  <si>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</si>
  <si>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</si>
  <si>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</si>
  <si>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</si>
  <si>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</si>
  <si>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</si>
  <si>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</si>
  <si>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</si>
  <si>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</si>
  <si>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</si>
  <si>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</si>
  <si>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</si>
  <si>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</si>
  <si>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</si>
  <si>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</si>
  <si>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</si>
  <si>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</si>
  <si>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</si>
  <si>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</si>
  <si>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</si>
  <si>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</si>
  <si>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</si>
  <si>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</si>
  <si>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</si>
  <si>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</si>
  <si>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</si>
  <si>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</si>
  <si>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</si>
  <si>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</si>
  <si>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</si>
  <si>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</si>
  <si>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</si>
  <si>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</si>
  <si>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</si>
  <si>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</si>
  <si>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</si>
  <si>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</si>
  <si>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</si>
  <si>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</si>
  <si>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</si>
  <si>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</si>
  <si>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</si>
  <si>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</si>
  <si>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</si>
  <si>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</si>
  <si>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</si>
  <si>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</si>
  <si>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</si>
  <si>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</si>
  <si>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</si>
  <si>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</si>
  <si>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</si>
  <si>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</si>
  <si>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</si>
  <si>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</si>
  <si>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</si>
  <si>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</si>
  <si>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</si>
  <si>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</si>
  <si>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</si>
  <si>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</si>
  <si>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</si>
  <si>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</si>
  <si>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</si>
  <si>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</si>
  <si>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</si>
  <si>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</si>
  <si>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</si>
  <si>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</si>
  <si>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</si>
  <si>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</si>
  <si>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</si>
  <si>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</si>
  <si>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</si>
  <si>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</si>
  <si>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</si>
  <si>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</si>
  <si>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</si>
  <si>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</si>
  <si>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</si>
  <si>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</si>
  <si>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</si>
  <si>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</si>
  <si>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</si>
  <si>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</si>
  <si>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</si>
  <si>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</si>
  <si>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</si>
  <si>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</si>
  <si>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</si>
  <si>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</si>
  <si>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</si>
  <si>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</si>
  <si>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</si>
  <si>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</si>
  <si>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</si>
  <si>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</si>
  <si>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</si>
  <si>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</si>
  <si>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</si>
  <si>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</si>
  <si>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</si>
  <si>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</si>
  <si>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</si>
  <si>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</si>
  <si>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</si>
  <si>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</si>
  <si>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</si>
  <si>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</si>
  <si>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</si>
  <si>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</si>
  <si>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</si>
  <si>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</si>
  <si>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</si>
  <si>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</si>
  <si>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</si>
  <si>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</si>
  <si>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</si>
  <si>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</si>
  <si>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</si>
  <si>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</si>
  <si>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</si>
  <si>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</si>
  <si>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</si>
  <si>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</si>
  <si>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</si>
  <si>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</si>
  <si>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</si>
  <si>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</si>
  <si>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</si>
  <si>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</si>
  <si>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</si>
  <si>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</si>
  <si>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</si>
  <si>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</si>
  <si>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</si>
  <si>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</si>
  <si>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</si>
  <si>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</si>
  <si>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</si>
  <si>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</si>
  <si>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</si>
  <si>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</si>
  <si>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</si>
  <si>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</si>
  <si>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</si>
  <si>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</si>
  <si>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</si>
  <si>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</si>
  <si>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</si>
  <si>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</si>
  <si>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</si>
  <si>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</si>
  <si>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</si>
  <si>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</si>
  <si>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</si>
  <si>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</si>
  <si>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</si>
  <si>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</si>
  <si>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</si>
  <si>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</si>
  <si>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</si>
  <si>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</si>
  <si>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</si>
  <si>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</si>
  <si>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</si>
  <si>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</si>
  <si>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</si>
  <si>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</si>
  <si>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</si>
  <si>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</si>
  <si>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</si>
  <si>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</si>
  <si>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</si>
  <si>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</si>
  <si>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</si>
  <si>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</si>
  <si>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</si>
  <si>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</si>
  <si>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</si>
  <si>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</si>
  <si>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</si>
  <si>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</si>
  <si>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</si>
  <si>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</si>
  <si>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</si>
  <si>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</si>
  <si>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</si>
  <si>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</si>
  <si>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</si>
  <si>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</si>
  <si>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</si>
  <si>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</si>
  <si>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</si>
  <si>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</si>
  <si>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</si>
  <si>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</si>
  <si>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</si>
  <si>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</si>
  <si>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</si>
  <si>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</si>
  <si>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</si>
  <si>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</si>
  <si>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</si>
  <si>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</si>
  <si>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</si>
  <si>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</si>
  <si>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</si>
  <si>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</si>
  <si>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</si>
  <si>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</si>
  <si>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</si>
  <si>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</si>
  <si>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</si>
  <si>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</si>
  <si>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</si>
  <si>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</si>
  <si>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</si>
  <si>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</si>
  <si>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</si>
  <si>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</si>
  <si>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</si>
  <si>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</si>
  <si>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</si>
  <si>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</si>
  <si>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</si>
  <si>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</si>
  <si>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</si>
  <si>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</si>
  <si>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</si>
  <si>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</si>
  <si>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</si>
  <si>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</si>
  <si>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</si>
  <si>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</si>
  <si>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</si>
  <si>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</si>
  <si>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</si>
  <si>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</si>
  <si>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</si>
  <si>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</si>
  <si>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</si>
  <si>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</si>
  <si>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</si>
  <si>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</si>
  <si>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</si>
  <si>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</si>
  <si>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</si>
  <si>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</si>
  <si>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</si>
  <si>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</si>
  <si>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</si>
  <si>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</si>
  <si>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</si>
  <si>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</si>
  <si>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</si>
  <si>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</si>
  <si>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</si>
  <si>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</si>
  <si>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</si>
  <si>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</si>
  <si>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</si>
  <si>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</si>
  <si>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</si>
  <si>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</si>
  <si>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</si>
  <si>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</si>
  <si>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</si>
  <si>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</si>
  <si>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</si>
  <si>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</si>
  <si>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</si>
  <si>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</si>
  <si>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</si>
  <si>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</si>
  <si>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</si>
  <si>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</si>
  <si>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</si>
  <si>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</si>
  <si>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</si>
  <si>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</si>
  <si>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</si>
  <si>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</si>
  <si>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</si>
  <si>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</si>
  <si>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</si>
  <si>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</si>
  <si>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</si>
  <si>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</si>
  <si>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</si>
  <si>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</si>
  <si>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</si>
  <si>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</si>
  <si>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</si>
  <si>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</si>
  <si>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</si>
  <si>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</si>
  <si>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</si>
  <si>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</si>
  <si>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</si>
  <si>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</si>
  <si>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</si>
  <si>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</si>
  <si>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</si>
  <si>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</si>
  <si>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</si>
  <si>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</si>
  <si>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</si>
  <si>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</si>
  <si>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</si>
  <si>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</si>
  <si>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</si>
  <si>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</si>
  <si>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</si>
  <si>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</si>
  <si>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</si>
  <si>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</si>
  <si>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</si>
  <si>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</si>
  <si>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</si>
  <si>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</si>
  <si>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</si>
  <si>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</si>
  <si>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</si>
  <si>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</si>
  <si>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</si>
  <si>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</si>
  <si>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</si>
  <si>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</si>
  <si>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</si>
  <si>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</si>
  <si>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</si>
  <si>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</si>
  <si>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</si>
  <si>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</si>
  <si>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</si>
  <si>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</si>
  <si>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</si>
  <si>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</si>
  <si>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</si>
  <si>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</si>
  <si>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</si>
  <si>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</si>
  <si>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</si>
  <si>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</si>
  <si>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</si>
  <si>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</si>
  <si>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</si>
  <si>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</si>
  <si>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</si>
  <si>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</si>
  <si>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</si>
  <si>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</si>
  <si>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</si>
  <si>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</si>
  <si>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</si>
  <si>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</si>
  <si>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</si>
  <si>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</si>
  <si>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</si>
  <si>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</si>
  <si>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</si>
  <si>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</si>
  <si>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</si>
  <si>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</si>
  <si>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</si>
  <si>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</si>
  <si>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</si>
  <si>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</si>
  <si>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</si>
  <si>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</si>
  <si>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</si>
  <si>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</si>
  <si>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</si>
  <si>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</si>
  <si>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</si>
  <si>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</si>
  <si>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</si>
  <si>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</si>
  <si>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</si>
  <si>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</si>
  <si>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</si>
  <si>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</si>
  <si>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</si>
  <si>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</si>
  <si>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</si>
  <si>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</si>
  <si>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</si>
  <si>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</si>
  <si>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</si>
  <si>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</si>
  <si>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</si>
  <si>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</si>
  <si>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</si>
  <si>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</si>
  <si>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</si>
  <si>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</si>
  <si>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</si>
  <si>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</si>
  <si>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</si>
  <si>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</si>
  <si>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</si>
  <si>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</si>
  <si>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</si>
  <si>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</si>
  <si>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</si>
  <si>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</si>
  <si>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</si>
  <si>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</si>
  <si>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</si>
  <si>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</si>
  <si>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</si>
  <si>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</si>
  <si>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</si>
  <si>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</si>
  <si>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</si>
  <si>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</si>
  <si>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</si>
  <si>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</si>
  <si>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</si>
  <si>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</si>
  <si>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</si>
  <si>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</si>
  <si>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</si>
  <si>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</si>
  <si>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</si>
  <si>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</si>
  <si>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</si>
  <si>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</si>
  <si>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</si>
  <si>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</si>
  <si>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</si>
  <si>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</si>
  <si>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</si>
  <si>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</si>
  <si>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</si>
  <si>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</si>
  <si>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</si>
  <si>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</si>
  <si>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</si>
  <si>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</si>
  <si>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</si>
  <si>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</si>
  <si>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</si>
  <si>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</si>
  <si>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</si>
  <si>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</si>
  <si>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</si>
  <si>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</si>
  <si>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</si>
  <si>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</si>
  <si>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</si>
  <si>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</si>
  <si>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</si>
  <si>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</si>
  <si>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</si>
  <si>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</si>
  <si>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</si>
  <si>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</si>
  <si>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</si>
  <si>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</si>
  <si>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</si>
  <si>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</si>
  <si>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</si>
  <si>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</si>
  <si>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</si>
  <si>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</si>
  <si>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</si>
  <si>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</si>
  <si>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</si>
  <si>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</si>
  <si>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</si>
  <si>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</si>
  <si>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</si>
  <si>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</si>
  <si>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</si>
  <si>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</si>
  <si>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</si>
  <si>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</si>
  <si>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</si>
  <si>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</si>
  <si>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</si>
  <si>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</si>
  <si>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</si>
  <si>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</si>
  <si>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</si>
  <si>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</si>
  <si>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</si>
  <si>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</si>
  <si>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</si>
  <si>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</si>
  <si>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</si>
  <si>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</si>
  <si>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</si>
  <si>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</si>
  <si>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</si>
  <si>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</si>
  <si>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</si>
  <si>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</si>
  <si>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</si>
  <si>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</si>
  <si>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</si>
  <si>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</si>
  <si>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</si>
  <si>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</si>
  <si>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</si>
  <si>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</si>
  <si>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</si>
  <si>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</si>
  <si>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</si>
  <si>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</si>
  <si>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</si>
  <si>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</si>
  <si>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</si>
  <si>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</si>
  <si>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</si>
  <si>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</si>
  <si>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</si>
  <si>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</si>
  <si>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</si>
  <si>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</si>
  <si>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</si>
  <si>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</si>
  <si>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</si>
  <si>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</si>
  <si>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</si>
  <si>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</si>
  <si>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</si>
  <si>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</si>
  <si>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</si>
  <si>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</si>
  <si>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</si>
  <si>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</si>
  <si>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</si>
  <si>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</si>
  <si>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</si>
  <si>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</si>
  <si>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</si>
  <si>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</si>
  <si>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</si>
  <si>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</si>
  <si>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</si>
  <si>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</si>
  <si>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</si>
  <si>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</si>
  <si>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</si>
  <si>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</si>
  <si>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</si>
  <si>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</si>
  <si>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</si>
  <si>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</si>
  <si>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</si>
  <si>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</si>
  <si>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</si>
  <si>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</si>
  <si>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</si>
  <si>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</si>
  <si>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</si>
  <si>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</si>
  <si>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</si>
  <si>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</si>
  <si>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</si>
  <si>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</si>
  <si>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</si>
  <si>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</si>
  <si>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</si>
  <si>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</si>
  <si>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</si>
  <si>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</si>
  <si>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</si>
  <si>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</si>
  <si>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</si>
  <si>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</si>
  <si>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</si>
  <si>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</si>
  <si>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</si>
  <si>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</si>
  <si>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</si>
  <si>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</si>
  <si>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</si>
  <si>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</si>
  <si>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</si>
  <si>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</si>
  <si>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</si>
  <si>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</si>
  <si>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</si>
  <si>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</si>
  <si>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</si>
  <si>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</si>
  <si>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</si>
  <si>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</si>
  <si>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</si>
  <si>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</si>
  <si>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</si>
  <si>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</si>
  <si>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</si>
  <si>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</si>
  <si>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</si>
  <si>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</si>
  <si>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</si>
  <si>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</si>
  <si>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</si>
  <si>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</si>
  <si>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</si>
  <si>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</si>
  <si>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</si>
  <si>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</si>
  <si>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</si>
  <si>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</si>
  <si>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</si>
  <si>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</si>
  <si>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</si>
  <si>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</si>
  <si>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</si>
  <si>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</si>
  <si>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</si>
  <si>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</si>
  <si>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</si>
  <si>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</si>
  <si>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</si>
  <si>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</si>
  <si>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</si>
  <si>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</si>
  <si>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</si>
  <si>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</si>
  <si>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</si>
  <si>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</si>
  <si>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</si>
  <si>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</si>
  <si>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</si>
  <si>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</si>
  <si>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</si>
  <si>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</si>
  <si>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</si>
  <si>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</si>
  <si>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</si>
  <si>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</si>
  <si>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</si>
  <si>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</si>
  <si>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</si>
  <si>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</si>
  <si>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</si>
  <si>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</si>
  <si>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</si>
  <si>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</si>
  <si>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</si>
  <si>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</si>
  <si>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</si>
  <si>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</si>
  <si>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</si>
  <si>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</si>
  <si>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</si>
  <si>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</si>
  <si>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</si>
  <si>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</si>
  <si>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</si>
  <si>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</si>
  <si>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</si>
  <si>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</si>
  <si>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</si>
  <si>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</si>
  <si>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</si>
  <si>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</si>
  <si>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</si>
  <si>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</si>
  <si>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</si>
  <si>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</si>
  <si>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</si>
  <si>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</si>
  <si>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</si>
  <si>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</si>
  <si>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</si>
  <si>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</si>
  <si>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</si>
  <si>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</si>
  <si>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</si>
  <si>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</si>
  <si>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</si>
  <si>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</si>
  <si>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</si>
  <si>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</si>
  <si>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</si>
  <si>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</si>
  <si>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</si>
  <si>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</si>
  <si>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</si>
  <si>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</si>
  <si>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</si>
  <si>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</si>
  <si>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</si>
  <si>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</si>
  <si>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</si>
  <si>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</si>
  <si>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</si>
  <si>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</si>
  <si>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</si>
  <si>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</si>
  <si>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</si>
  <si>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</si>
  <si>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</si>
  <si>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</si>
  <si>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</si>
  <si>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</si>
  <si>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</si>
  <si>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</si>
  <si>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</si>
  <si>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</si>
  <si>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</si>
  <si>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</si>
  <si>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</si>
  <si>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</si>
  <si>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</si>
  <si>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</si>
  <si>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</si>
  <si>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</si>
  <si>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</si>
  <si>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</si>
  <si>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</si>
  <si>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</si>
  <si>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</si>
  <si>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</si>
  <si>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</si>
  <si>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</si>
  <si>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</si>
  <si>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</si>
  <si>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</si>
  <si>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</si>
  <si>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</si>
  <si>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</si>
  <si>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</si>
  <si>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</si>
  <si>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</si>
  <si>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</si>
  <si>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</si>
  <si>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</si>
  <si>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</si>
  <si>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</si>
  <si>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</si>
  <si>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</si>
  <si>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</si>
  <si>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</si>
  <si>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</si>
  <si>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</si>
  <si>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</si>
  <si>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</si>
  <si>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</si>
  <si>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</si>
  <si>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</si>
  <si>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</si>
  <si>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</si>
  <si>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</si>
  <si>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</si>
  <si>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</si>
  <si>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</si>
  <si>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</si>
  <si>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</si>
  <si>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</si>
  <si>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</si>
  <si>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</si>
  <si>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</si>
  <si>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</si>
  <si>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</si>
  <si>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</si>
  <si>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</si>
  <si>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</si>
  <si>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</si>
  <si>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</si>
  <si>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</si>
  <si>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</si>
  <si>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</si>
  <si>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</si>
  <si>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</si>
  <si>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</si>
  <si>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</si>
  <si>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</si>
  <si>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</si>
  <si>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</si>
  <si>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</si>
  <si>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</si>
  <si>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</si>
  <si>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</si>
  <si>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</si>
  <si>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</si>
  <si>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</si>
  <si>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</si>
  <si>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</si>
  <si>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</si>
  <si>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</si>
  <si>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</si>
  <si>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</si>
  <si>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</si>
  <si>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</si>
  <si>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</si>
  <si>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</si>
  <si>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</si>
  <si>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</si>
  <si>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</si>
  <si>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</si>
  <si>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</si>
  <si>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</si>
  <si>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</si>
  <si>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</si>
  <si>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</si>
  <si>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</si>
  <si>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</si>
  <si>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</si>
  <si>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</si>
  <si>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</si>
  <si>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</si>
  <si>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</si>
  <si>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</si>
  <si>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</si>
  <si>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</si>
  <si>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</si>
  <si>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</si>
  <si>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</si>
  <si>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</si>
  <si>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</si>
  <si>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</si>
  <si>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</si>
  <si>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</si>
  <si>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</si>
  <si>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</si>
  <si>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</si>
  <si>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</si>
  <si>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</si>
  <si>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</si>
  <si>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</si>
  <si>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</si>
  <si>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</si>
  <si>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</si>
  <si>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</si>
  <si>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</si>
  <si>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</si>
  <si>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</si>
  <si>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</si>
  <si>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</si>
  <si>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</si>
  <si>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</si>
  <si>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</si>
  <si>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</si>
  <si>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</si>
  <si>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</si>
  <si>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</si>
  <si>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</si>
  <si>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</si>
  <si>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</si>
  <si>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</si>
  <si>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</si>
  <si>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</si>
  <si>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</si>
  <si>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</si>
  <si>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</si>
  <si>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</si>
  <si>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</si>
  <si>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</si>
  <si>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</si>
  <si>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</si>
  <si>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</si>
  <si>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</si>
  <si>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</si>
  <si>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</si>
  <si>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</si>
  <si>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</si>
  <si>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</si>
  <si>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</si>
  <si>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</si>
  <si>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</si>
  <si>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</si>
  <si>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</si>
  <si>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</si>
  <si>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</si>
  <si>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</si>
  <si>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</si>
  <si>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</si>
  <si>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</si>
  <si>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</si>
  <si>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</si>
  <si>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</si>
  <si>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</si>
  <si>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</si>
  <si>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</si>
  <si>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</si>
  <si>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</si>
  <si>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</si>
  <si>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</si>
  <si>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</si>
  <si>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</si>
  <si>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</si>
  <si>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</si>
  <si>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</si>
  <si>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</si>
  <si>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</si>
  <si>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</si>
  <si>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</si>
  <si>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</si>
  <si>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</si>
  <si>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</si>
  <si>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</si>
  <si>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</si>
  <si>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</si>
  <si>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</si>
  <si>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</si>
  <si>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</si>
  <si>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</si>
  <si>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</si>
  <si>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</si>
  <si>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</si>
  <si>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</si>
  <si>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</si>
  <si>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</si>
  <si>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</si>
  <si>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</si>
  <si>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</si>
  <si>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</si>
  <si>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</si>
  <si>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</si>
  <si>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</si>
  <si>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</si>
  <si>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</si>
  <si>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</si>
  <si>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</si>
  <si>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</si>
  <si>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</si>
  <si>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</si>
  <si>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</si>
  <si>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</si>
  <si>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</si>
  <si>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</si>
  <si>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</si>
  <si>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</si>
  <si>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</si>
  <si>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</si>
  <si>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</si>
  <si>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</si>
  <si>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</si>
  <si>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</si>
  <si>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</si>
  <si>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</si>
  <si>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</si>
  <si>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</si>
  <si>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</si>
  <si>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</si>
  <si>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</si>
  <si>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</si>
  <si>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</si>
  <si>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</si>
  <si>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</si>
  <si>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</si>
  <si>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</si>
  <si>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</si>
  <si>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</si>
  <si>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</si>
  <si>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</si>
  <si>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</si>
  <si>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</si>
  <si>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</si>
  <si>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</si>
  <si>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</si>
  <si>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</si>
  <si>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</si>
  <si>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</si>
  <si>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</si>
  <si>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</si>
  <si>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</si>
  <si>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</si>
  <si>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</si>
  <si>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</si>
  <si>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</si>
  <si>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</si>
  <si>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</si>
  <si>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</si>
  <si>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</si>
  <si>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</si>
  <si>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</si>
  <si>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</si>
  <si>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</si>
  <si>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</si>
  <si>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</si>
  <si>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</si>
  <si>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</si>
  <si>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</si>
  <si>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</si>
  <si>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</si>
  <si>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</si>
  <si>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</si>
  <si>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</si>
  <si>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</si>
  <si>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</si>
  <si>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</si>
  <si>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</si>
  <si>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</si>
  <si>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</si>
  <si>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</si>
  <si>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</si>
  <si>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</si>
  <si>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</si>
  <si>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</si>
  <si>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</si>
  <si>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</si>
  <si>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</si>
  <si>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</si>
  <si>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</si>
  <si>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</si>
  <si>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</si>
  <si>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</si>
  <si>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</si>
  <si>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</si>
  <si>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</si>
  <si>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</si>
  <si>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</si>
  <si>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</si>
  <si>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</si>
  <si>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</si>
  <si>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</si>
  <si>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</si>
  <si>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</si>
  <si>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</si>
  <si>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</si>
  <si>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</si>
  <si>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</si>
  <si>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</si>
  <si>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</si>
  <si>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</si>
  <si>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</si>
  <si>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</si>
  <si>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</si>
  <si>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</si>
  <si>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</si>
  <si>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</si>
  <si>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</si>
  <si>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</si>
  <si>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</si>
  <si>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</si>
  <si>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</si>
  <si>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</si>
  <si>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</si>
  <si>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</si>
  <si>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</si>
  <si>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</si>
  <si>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</si>
  <si>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</si>
  <si>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</si>
  <si>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</si>
  <si>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</si>
  <si>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</si>
  <si>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</si>
  <si>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</si>
  <si>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</si>
  <si>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</si>
  <si>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</si>
  <si>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</si>
  <si>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</si>
  <si>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</si>
  <si>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</si>
  <si>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</si>
  <si>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</si>
  <si>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</si>
  <si>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</si>
  <si>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</si>
  <si>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</si>
  <si>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</si>
  <si>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</si>
  <si>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</si>
  <si>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</si>
  <si>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</si>
  <si>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</si>
  <si>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</si>
  <si>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</si>
  <si>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</si>
  <si>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</si>
  <si>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</si>
  <si>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</si>
  <si>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</si>
  <si>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</si>
  <si>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</si>
  <si>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</si>
  <si>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</si>
  <si>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</si>
  <si>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</si>
  <si>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</si>
  <si>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</si>
  <si>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</si>
  <si>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</si>
  <si>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</si>
  <si>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</si>
  <si>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</si>
  <si>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</si>
  <si>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</si>
  <si>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</si>
  <si>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</si>
  <si>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</si>
  <si>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</si>
  <si>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</si>
  <si>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</si>
  <si>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</si>
  <si>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</si>
  <si>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</si>
  <si>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</si>
  <si>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</si>
  <si>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</si>
  <si>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</si>
  <si>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</si>
  <si>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</si>
  <si>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</si>
  <si>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</si>
  <si>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</si>
  <si>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</si>
  <si>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</si>
  <si>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</si>
  <si>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</si>
  <si>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</si>
  <si>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</si>
  <si>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</si>
  <si>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</si>
  <si>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</si>
  <si>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</si>
  <si>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</si>
  <si>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</si>
  <si>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</si>
  <si>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</si>
  <si>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</si>
  <si>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</si>
  <si>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</si>
  <si>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</si>
  <si>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</si>
  <si>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</si>
  <si>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</si>
  <si>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</si>
  <si>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</si>
  <si>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</si>
  <si>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</si>
  <si>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</si>
  <si>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</si>
  <si>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</si>
  <si>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</si>
  <si>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</si>
  <si>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</si>
  <si>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</si>
  <si>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</si>
  <si>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</si>
  <si>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</si>
  <si>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</si>
  <si>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</si>
  <si>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</si>
  <si>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</si>
  <si>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</si>
  <si>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</si>
  <si>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</si>
  <si>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</si>
  <si>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</si>
  <si>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</si>
  <si>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</si>
  <si>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</si>
  <si>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</si>
  <si>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</si>
  <si>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</si>
  <si>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</si>
  <si>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</si>
  <si>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</si>
  <si>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</si>
  <si>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</si>
  <si>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</si>
  <si>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</si>
  <si>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</si>
  <si>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</si>
  <si>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</si>
  <si>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</si>
  <si>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</si>
  <si>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</si>
  <si>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</si>
  <si>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</si>
  <si>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</si>
  <si>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</si>
  <si>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</si>
  <si>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</si>
  <si>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</si>
  <si>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</si>
  <si>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</si>
  <si>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</si>
  <si>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</si>
  <si>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</si>
  <si>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</si>
  <si>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</si>
  <si>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</si>
  <si>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</si>
  <si>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</si>
  <si>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</si>
  <si>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</si>
  <si>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</si>
  <si>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</si>
  <si>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</si>
  <si>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</si>
  <si>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</si>
  <si>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</si>
  <si>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</si>
  <si>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</si>
  <si>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</si>
  <si>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</si>
  <si>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</si>
  <si>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</si>
  <si>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</si>
  <si>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</si>
  <si>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</si>
  <si>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</si>
  <si>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</si>
  <si>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</si>
  <si>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</si>
  <si>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</si>
  <si>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</si>
  <si>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</si>
  <si>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</si>
  <si>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</si>
  <si>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</si>
  <si>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</si>
  <si>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</si>
  <si>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</si>
  <si>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</si>
  <si>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</si>
  <si>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</si>
  <si>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</si>
  <si>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</si>
  <si>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</si>
  <si>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</si>
  <si>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</si>
  <si>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</si>
  <si>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</si>
  <si>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</si>
  <si>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</si>
  <si>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</si>
  <si>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</si>
  <si>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</si>
  <si>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</si>
  <si>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</si>
  <si>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</si>
  <si>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</si>
  <si>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</si>
  <si>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</si>
  <si>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</si>
  <si>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</si>
  <si>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</si>
  <si>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</si>
  <si>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</si>
  <si>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</si>
  <si>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</si>
  <si>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</si>
  <si>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</si>
  <si>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</si>
  <si>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</si>
  <si>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</si>
  <si>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</si>
  <si>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</si>
  <si>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</si>
  <si>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</si>
  <si>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</si>
  <si>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</si>
  <si>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</si>
  <si>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</si>
  <si>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</si>
  <si>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</si>
  <si>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</si>
  <si>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</si>
  <si>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</si>
  <si>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</si>
  <si>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</si>
  <si>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</si>
  <si>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</si>
  <si>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</si>
  <si>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</si>
  <si>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</si>
  <si>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</si>
  <si>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</si>
  <si>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</si>
  <si>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</si>
  <si>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</si>
  <si>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</si>
  <si>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</si>
  <si>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</si>
  <si>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</si>
  <si>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</si>
  <si>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</si>
  <si>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</si>
  <si>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</si>
  <si>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</si>
  <si>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</si>
  <si>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</si>
  <si>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</si>
  <si>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</si>
  <si>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</si>
  <si>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</si>
  <si>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</si>
  <si>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</si>
  <si>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</si>
  <si>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</si>
  <si>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</si>
  <si>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</si>
  <si>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</si>
  <si>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</si>
  <si>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</si>
  <si>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</si>
  <si>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</si>
  <si>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</si>
  <si>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</si>
  <si>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</si>
  <si>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</si>
  <si>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</si>
  <si>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</si>
  <si>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</si>
  <si>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</si>
  <si>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</si>
  <si>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</si>
  <si>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</si>
  <si>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</si>
  <si>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</si>
  <si>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</si>
  <si>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</si>
  <si>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</si>
  <si>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</si>
  <si>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</si>
  <si>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</si>
  <si>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</si>
  <si>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</si>
  <si>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</si>
  <si>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</si>
  <si>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</si>
  <si>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</si>
  <si>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</si>
  <si>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</si>
  <si>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</si>
  <si>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</si>
  <si>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</si>
  <si>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</si>
  <si>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</si>
  <si>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</si>
  <si>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</si>
  <si>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</si>
  <si>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</si>
  <si>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</si>
  <si>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</si>
  <si>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</si>
  <si>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</si>
  <si>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</si>
  <si>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</si>
  <si>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</si>
  <si>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</si>
  <si>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</si>
  <si>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</si>
  <si>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</si>
  <si>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</si>
  <si>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</si>
  <si>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</si>
  <si>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</si>
  <si>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</si>
  <si>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</si>
  <si>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</si>
  <si>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</si>
  <si>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</si>
  <si>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</si>
  <si>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</si>
  <si>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</si>
  <si>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</si>
  <si>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</si>
  <si>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</si>
  <si>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</si>
  <si>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</si>
  <si>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</si>
  <si>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</si>
  <si>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</si>
  <si>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</si>
  <si>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</si>
  <si>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</si>
  <si>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</si>
  <si>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</si>
  <si>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</si>
  <si>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</si>
  <si>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</si>
  <si>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</si>
  <si>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</si>
  <si>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</si>
  <si>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</si>
  <si>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</si>
  <si>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</si>
  <si>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</si>
  <si>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</si>
  <si>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</si>
  <si>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</si>
  <si>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</si>
  <si>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</si>
  <si>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</si>
  <si>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</si>
  <si>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</si>
  <si>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</si>
  <si>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</si>
  <si>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</si>
  <si>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</si>
  <si>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</si>
  <si>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</si>
  <si>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</si>
  <si>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</si>
  <si>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</si>
  <si>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</si>
  <si>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</si>
  <si>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</si>
  <si>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</si>
  <si>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</si>
  <si>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</si>
  <si>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</si>
  <si>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</si>
  <si>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</si>
  <si>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</si>
  <si>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</si>
  <si>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</si>
  <si>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</si>
  <si>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</si>
  <si>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</si>
  <si>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</si>
  <si>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</si>
  <si>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</si>
  <si>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</si>
  <si>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</si>
  <si>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</si>
  <si>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</si>
  <si>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</si>
  <si>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</si>
  <si>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</si>
  <si>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</si>
  <si>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</si>
  <si>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</si>
  <si>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</si>
  <si>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</si>
  <si>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</si>
  <si>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</si>
  <si>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</si>
  <si>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</si>
  <si>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</si>
  <si>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</si>
  <si>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</si>
  <si>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</si>
  <si>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</si>
  <si>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</si>
  <si>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</si>
  <si>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</si>
  <si>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</si>
  <si>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</si>
  <si>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</si>
  <si>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</si>
  <si>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</si>
  <si>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</si>
  <si>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</si>
  <si>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</si>
  <si>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</si>
  <si>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</si>
  <si>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</si>
  <si>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</si>
  <si>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</si>
  <si>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</si>
  <si>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</si>
  <si>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</si>
  <si>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</si>
  <si>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</si>
  <si>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</si>
  <si>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</si>
  <si>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</si>
  <si>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</si>
  <si>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</si>
  <si>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</si>
  <si>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</si>
  <si>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</si>
  <si>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</si>
  <si>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</si>
  <si>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</si>
  <si>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</si>
  <si>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</si>
  <si>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</si>
  <si>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</si>
  <si>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</si>
  <si>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</si>
  <si>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</si>
  <si>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</si>
  <si>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</si>
  <si>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</si>
  <si>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</si>
  <si>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</si>
  <si>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</si>
  <si>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</si>
  <si>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</si>
  <si>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</si>
  <si>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</si>
  <si>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</si>
  <si>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</si>
  <si>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</si>
  <si>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</si>
  <si>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</si>
  <si>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</si>
  <si>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</si>
  <si>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</si>
  <si>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</si>
  <si>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</si>
  <si>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</si>
  <si>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</si>
  <si>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</si>
  <si>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</si>
  <si>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</si>
  <si>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</si>
  <si>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</si>
  <si>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</si>
  <si>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</si>
  <si>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</si>
  <si>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</si>
  <si>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</si>
  <si>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</si>
  <si>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</si>
  <si>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</si>
  <si>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</si>
  <si>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</si>
  <si>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</si>
  <si>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</si>
  <si>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</si>
  <si>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</si>
  <si>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</si>
  <si>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</si>
  <si>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</si>
  <si>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</si>
  <si>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</si>
  <si>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</si>
  <si>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</si>
  <si>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</si>
  <si>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</si>
  <si>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</si>
  <si>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</si>
  <si>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</si>
  <si>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</si>
  <si>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</si>
  <si>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</si>
  <si>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</si>
  <si>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</si>
  <si>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</si>
  <si>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</si>
  <si>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</si>
  <si>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</si>
  <si>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</si>
  <si>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</si>
  <si>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</si>
  <si>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</si>
  <si>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</si>
  <si>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</si>
  <si>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</si>
  <si>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</si>
  <si>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</si>
  <si>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</si>
  <si>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</si>
  <si>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</si>
  <si>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</si>
  <si>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</si>
  <si>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</si>
  <si>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</si>
  <si>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</si>
  <si>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</si>
  <si>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</si>
  <si>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</si>
  <si>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</si>
  <si>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</si>
  <si>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</si>
  <si>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</si>
  <si>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</si>
  <si>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</si>
  <si>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</si>
  <si>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</si>
  <si>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</si>
  <si>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</si>
  <si>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</si>
  <si>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</si>
  <si>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</si>
  <si>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</si>
  <si>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</si>
  <si>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</si>
  <si>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</si>
  <si>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</si>
  <si>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</si>
  <si>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</si>
  <si>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</si>
  <si>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</si>
  <si>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</si>
  <si>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</si>
  <si>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</si>
  <si>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</si>
  <si>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</si>
  <si>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</si>
  <si>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</si>
  <si>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</si>
  <si>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</si>
  <si>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</si>
  <si>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</si>
  <si>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</si>
  <si>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</si>
  <si>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</si>
  <si>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</si>
  <si>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</si>
  <si>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</si>
  <si>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</si>
  <si>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</si>
  <si>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</si>
  <si>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</si>
  <si>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</si>
  <si>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</si>
  <si>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</si>
  <si>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</si>
  <si>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</si>
  <si>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</si>
  <si>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</si>
  <si>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</si>
  <si>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</si>
  <si>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</si>
  <si>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</si>
  <si>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</si>
  <si>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</si>
  <si>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</si>
  <si>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</si>
  <si>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</si>
  <si>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</si>
  <si>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</si>
  <si>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</si>
  <si>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</si>
  <si>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</si>
  <si>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</si>
  <si>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</si>
  <si>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</si>
  <si>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</si>
  <si>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</si>
  <si>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</si>
  <si>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</si>
  <si>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</si>
  <si>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</si>
  <si>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</si>
  <si>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</si>
  <si>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</si>
  <si>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</si>
  <si>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</si>
  <si>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</si>
  <si>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</si>
  <si>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</si>
  <si>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</si>
  <si>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</si>
  <si>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</si>
  <si>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</si>
  <si>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</si>
  <si>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</si>
  <si>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</si>
  <si>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</si>
  <si>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</si>
  <si>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</si>
  <si>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</si>
  <si>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</si>
  <si>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</si>
  <si>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</si>
  <si>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</si>
  <si>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</si>
  <si>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</si>
  <si>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</si>
  <si>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</si>
  <si>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</si>
  <si>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</si>
  <si>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</si>
  <si>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</si>
  <si>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</si>
  <si>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</si>
  <si>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</si>
  <si>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</si>
  <si>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</si>
  <si>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</si>
  <si>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</si>
  <si>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</si>
  <si>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</si>
  <si>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</si>
  <si>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</si>
  <si>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</si>
  <si>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</si>
  <si>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</si>
  <si>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</si>
  <si>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</si>
  <si>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</si>
  <si>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</si>
  <si>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</si>
  <si>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</si>
  <si>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</si>
  <si>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</si>
  <si>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</si>
  <si>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</si>
  <si>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</si>
  <si>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</si>
  <si>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</si>
  <si>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</si>
  <si>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</si>
  <si>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</si>
  <si>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</si>
  <si>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</si>
  <si>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</si>
  <si>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</si>
  <si>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</si>
  <si>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</si>
  <si>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</si>
  <si>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</si>
  <si>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</si>
  <si>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</si>
  <si>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</si>
  <si>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</si>
  <si>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</si>
  <si>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</si>
  <si>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</si>
  <si>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</si>
  <si>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</si>
  <si>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</si>
  <si>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</si>
  <si>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</si>
  <si>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</si>
  <si>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</si>
  <si>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</si>
  <si>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</si>
  <si>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</si>
  <si>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</si>
  <si>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</si>
  <si>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</si>
  <si>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</si>
  <si>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</si>
  <si>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</si>
  <si>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</si>
  <si>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</si>
  <si>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</si>
  <si>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</si>
  <si>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</si>
  <si>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</si>
  <si>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</si>
  <si>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</si>
  <si>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</si>
  <si>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</si>
  <si>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</si>
  <si>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</si>
  <si>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</si>
  <si>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</si>
  <si>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</si>
  <si>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</si>
  <si>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</si>
  <si>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</si>
  <si>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</si>
  <si>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</si>
  <si>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</si>
  <si>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</si>
  <si>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</si>
  <si>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</si>
  <si>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</si>
  <si>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</si>
  <si>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</si>
  <si>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</si>
  <si>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</si>
  <si>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</si>
  <si>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</si>
  <si>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</si>
  <si>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</si>
  <si>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</si>
  <si>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</si>
  <si>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</si>
  <si>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</si>
  <si>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</si>
  <si>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</si>
  <si>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</si>
  <si>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</si>
  <si>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</si>
  <si>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</si>
  <si>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</si>
  <si>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</si>
  <si>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</si>
  <si>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</si>
  <si>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</si>
  <si>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</si>
  <si>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</si>
  <si>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</si>
  <si>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</si>
  <si>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</si>
  <si>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</si>
  <si>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</si>
  <si>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</si>
  <si>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</si>
  <si>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</si>
  <si>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</si>
  <si>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</si>
  <si>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</si>
  <si>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</si>
  <si>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</si>
  <si>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</si>
  <si>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</si>
  <si>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</si>
  <si>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</si>
  <si>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</si>
  <si>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</si>
  <si>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</si>
  <si>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</si>
  <si>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</si>
  <si>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</si>
  <si>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</si>
  <si>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</si>
  <si>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</si>
  <si>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</si>
  <si>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</si>
  <si>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</si>
  <si>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</si>
  <si>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</si>
  <si>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</si>
  <si>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</si>
  <si>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</si>
  <si>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</si>
  <si>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</si>
  <si>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</si>
  <si>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</si>
  <si>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</si>
  <si>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</si>
  <si>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</si>
  <si>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</si>
  <si>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</si>
  <si>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</si>
  <si>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</si>
  <si>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</si>
  <si>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</si>
  <si>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</si>
  <si>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</si>
  <si>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</si>
  <si>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</si>
  <si>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</si>
  <si>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</si>
  <si>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</si>
  <si>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</si>
  <si>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</si>
  <si>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</si>
  <si>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</si>
  <si>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</si>
  <si>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</si>
  <si>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</si>
  <si>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</si>
  <si>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</si>
  <si>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</si>
  <si>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</si>
  <si>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</si>
  <si>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</si>
  <si>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</si>
  <si>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</si>
  <si>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</si>
  <si>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</si>
  <si>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</si>
  <si>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</si>
  <si>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</si>
  <si>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</si>
  <si>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</si>
  <si>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</si>
  <si>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</si>
  <si>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</si>
  <si>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</si>
  <si>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</si>
  <si>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</si>
  <si>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</si>
  <si>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</si>
  <si>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</si>
  <si>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</si>
  <si>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</si>
  <si>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</si>
  <si>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</si>
  <si>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</si>
  <si>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</si>
  <si>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</si>
  <si>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</si>
  <si>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</si>
  <si>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</si>
  <si>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</si>
  <si>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</si>
  <si>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</si>
  <si>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</si>
  <si>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</si>
  <si>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</si>
  <si>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</si>
  <si>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</si>
  <si>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</si>
  <si>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</si>
  <si>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</si>
  <si>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</si>
  <si>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</si>
  <si>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</si>
  <si>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</si>
  <si>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</si>
  <si>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</si>
  <si>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</si>
  <si>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</si>
  <si>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</si>
  <si>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</si>
  <si>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</si>
  <si>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</si>
  <si>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</si>
  <si>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</si>
  <si>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</si>
  <si>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</si>
  <si>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</si>
  <si>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</si>
  <si>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</si>
  <si>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</si>
  <si>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</si>
  <si>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</si>
  <si>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</si>
  <si>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</si>
  <si>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</si>
  <si>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</si>
  <si>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</si>
  <si>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</si>
  <si>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</si>
  <si>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</si>
  <si>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</si>
  <si>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</si>
  <si>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</si>
  <si>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</si>
  <si>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</si>
  <si>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</si>
  <si>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</si>
  <si>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</si>
  <si>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</si>
  <si>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</si>
  <si>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</si>
  <si>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</si>
  <si>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</si>
  <si>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</si>
  <si>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</si>
  <si>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</si>
  <si>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</si>
  <si>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</si>
  <si>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</si>
  <si>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</si>
  <si>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</si>
  <si>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</si>
  <si>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</si>
  <si>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</si>
  <si>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</si>
  <si>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</si>
  <si>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</si>
  <si>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</si>
  <si>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</si>
  <si>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</si>
  <si>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</si>
  <si>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</si>
  <si>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</si>
  <si>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</si>
  <si>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</si>
  <si>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</si>
  <si>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</si>
  <si>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</si>
  <si>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</si>
  <si>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</si>
  <si>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</si>
  <si>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</si>
  <si>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</si>
  <si>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</si>
  <si>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</si>
  <si>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</si>
  <si>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</si>
  <si>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</si>
  <si>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</si>
  <si>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</si>
  <si>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</si>
  <si>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</si>
  <si>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</si>
  <si>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</si>
  <si>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</si>
  <si>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</si>
  <si>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</si>
  <si>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</si>
  <si>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</si>
  <si>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</si>
  <si>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</si>
  <si>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</si>
  <si>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</si>
  <si>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</si>
  <si>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</si>
  <si>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</si>
  <si>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</si>
  <si>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</si>
  <si>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</si>
  <si>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</si>
  <si>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</si>
  <si>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</si>
  <si>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</si>
  <si>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</si>
  <si>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</si>
  <si>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</si>
  <si>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</si>
  <si>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</si>
  <si>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</si>
  <si>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</si>
  <si>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</si>
  <si>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</si>
  <si>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</si>
  <si>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</si>
  <si>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</si>
  <si>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</si>
  <si>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</si>
  <si>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</si>
  <si>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</si>
  <si>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</si>
  <si>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</si>
  <si>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</si>
  <si>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</si>
  <si>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</si>
  <si>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</si>
  <si>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</si>
  <si>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</si>
  <si>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</si>
  <si>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</si>
  <si>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</si>
  <si>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</si>
  <si>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</si>
  <si>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</si>
  <si>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</si>
  <si>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</si>
  <si>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</si>
  <si>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</si>
  <si>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</si>
  <si>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</si>
  <si>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</si>
  <si>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</si>
  <si>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</si>
  <si>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</si>
  <si>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</si>
  <si>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</si>
  <si>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</si>
  <si>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</si>
  <si>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</si>
  <si>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</si>
  <si>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</si>
  <si>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</si>
  <si>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</si>
  <si>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</si>
  <si>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</si>
  <si>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</si>
  <si>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</si>
  <si>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</si>
  <si>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</si>
  <si>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</si>
  <si>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</si>
  <si>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</si>
  <si>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</si>
  <si>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</si>
  <si>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</si>
  <si>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</si>
  <si>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</si>
  <si>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</si>
  <si>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</si>
  <si>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</si>
  <si>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</si>
  <si>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</si>
  <si>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</si>
  <si>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</si>
  <si>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</si>
  <si>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</si>
  <si>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</si>
  <si>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</si>
  <si>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</si>
  <si>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</si>
  <si>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</si>
  <si>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</si>
  <si>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</si>
  <si>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</si>
  <si>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</si>
  <si>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</si>
  <si>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</si>
  <si>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</si>
  <si>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</si>
  <si>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</si>
  <si>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</si>
  <si>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</si>
  <si>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</si>
  <si>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</si>
  <si>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</si>
  <si>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</si>
  <si>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</si>
  <si>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</si>
  <si>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</si>
  <si>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</si>
  <si>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</si>
  <si>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</si>
  <si>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</si>
  <si>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</si>
  <si>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</si>
  <si>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</si>
  <si>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</si>
  <si>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</si>
  <si>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</si>
  <si>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</si>
  <si>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</si>
  <si>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</si>
  <si>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</si>
  <si>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</si>
  <si>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</si>
  <si>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</si>
  <si>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</si>
  <si>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</si>
  <si>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</si>
  <si>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</si>
  <si>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</si>
  <si>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</si>
  <si>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</si>
  <si>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</si>
  <si>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</si>
  <si>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</si>
  <si>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</si>
  <si>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</si>
  <si>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</si>
  <si>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</si>
  <si>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</si>
  <si>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</si>
  <si>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</si>
  <si>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</si>
  <si>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</si>
  <si>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</si>
  <si>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</si>
  <si>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</si>
  <si>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</si>
  <si>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</si>
  <si>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</si>
  <si>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</si>
  <si>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</si>
  <si>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</si>
  <si>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</si>
  <si>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</si>
  <si>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</si>
  <si>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</si>
  <si>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</si>
  <si>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</si>
  <si>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</si>
  <si>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</si>
  <si>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</si>
  <si>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</si>
  <si>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</si>
  <si>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</si>
  <si>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</si>
  <si>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</si>
  <si>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</si>
  <si>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</si>
  <si>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</si>
  <si>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</si>
  <si>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</si>
  <si>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</si>
  <si>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</si>
  <si>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</si>
  <si>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</si>
  <si>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</si>
  <si>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</si>
  <si>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</si>
  <si>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</si>
  <si>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</si>
  <si>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</si>
  <si>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</si>
  <si>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</si>
  <si>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</si>
  <si>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</si>
  <si>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</si>
  <si>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</si>
  <si>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</si>
  <si>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</si>
  <si>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</si>
  <si>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</si>
  <si>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</si>
  <si>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</si>
  <si>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</si>
  <si>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</si>
  <si>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</si>
  <si>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</si>
  <si>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</si>
  <si>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</si>
  <si>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</si>
  <si>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</si>
  <si>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</si>
  <si>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</si>
  <si>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</si>
  <si>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</si>
  <si>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</si>
  <si>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</si>
  <si>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</si>
  <si>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</si>
  <si>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</si>
  <si>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</si>
  <si>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</si>
  <si>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</si>
  <si>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</si>
  <si>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</si>
  <si>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</si>
  <si>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</si>
  <si>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</si>
  <si>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</si>
  <si>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</si>
  <si>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</si>
  <si>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</si>
  <si>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</si>
  <si>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</si>
  <si>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</si>
  <si>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</si>
  <si>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</si>
  <si>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</si>
  <si>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</si>
  <si>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</si>
  <si>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</si>
  <si>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</si>
  <si>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</si>
  <si>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</si>
  <si>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</si>
  <si>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</si>
  <si>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</si>
  <si>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</si>
  <si>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</si>
  <si>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</si>
  <si>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</si>
  <si>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</si>
  <si>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</si>
  <si>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</si>
  <si>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</si>
  <si>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</si>
  <si>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</si>
  <si>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</si>
  <si>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</si>
  <si>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</si>
  <si>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</si>
  <si>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</si>
  <si>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</si>
  <si>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</si>
  <si>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</si>
  <si>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</si>
  <si>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</si>
  <si>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</si>
  <si>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</si>
  <si>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</si>
  <si>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</si>
  <si>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</si>
  <si>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</si>
  <si>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</si>
  <si>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</si>
  <si>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</si>
  <si>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</si>
  <si>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</si>
  <si>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</si>
  <si>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</si>
  <si>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</si>
  <si>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</si>
  <si>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</si>
  <si>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</si>
  <si>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</si>
  <si>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</si>
  <si>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</si>
  <si>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</si>
  <si>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</si>
  <si>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</si>
  <si>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</si>
  <si>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</si>
  <si>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</si>
  <si>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</si>
  <si>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</si>
  <si>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</si>
  <si>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</si>
  <si>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</si>
  <si>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</si>
  <si>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</si>
  <si>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</si>
  <si>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</si>
  <si>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</si>
  <si>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</si>
  <si>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</si>
  <si>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</si>
  <si>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</si>
  <si>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</si>
  <si>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</si>
  <si>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</si>
  <si>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</si>
  <si>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</si>
  <si>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</si>
  <si>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</si>
  <si>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</si>
  <si>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</si>
  <si>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</si>
  <si>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</si>
  <si>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</si>
  <si>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</si>
  <si>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</si>
  <si>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</si>
  <si>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</si>
  <si>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</si>
  <si>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</si>
  <si>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</si>
  <si>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</si>
  <si>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</si>
  <si>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</si>
  <si>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</si>
  <si>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</si>
  <si>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</si>
  <si>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</si>
  <si>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</si>
  <si>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</si>
  <si>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</si>
  <si>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</si>
  <si>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</si>
  <si>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</si>
  <si>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</si>
  <si>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</si>
  <si>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</si>
  <si>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</si>
  <si>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</si>
  <si>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</si>
  <si>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</si>
  <si>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</si>
  <si>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</si>
  <si>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</si>
  <si>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</si>
  <si>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</si>
  <si>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</si>
  <si>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</si>
  <si>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</si>
  <si>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</si>
  <si>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</si>
  <si>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</si>
  <si>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</si>
  <si>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</si>
  <si>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</si>
  <si>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</si>
  <si>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</si>
  <si>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</si>
  <si>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</si>
  <si>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</si>
  <si>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</si>
  <si>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</si>
  <si>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</si>
  <si>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</si>
  <si>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</si>
  <si>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</si>
  <si>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</si>
  <si>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</si>
  <si>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</si>
  <si>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</si>
  <si>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</si>
  <si>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</si>
  <si>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</si>
  <si>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</si>
  <si>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</si>
  <si>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</si>
  <si>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</si>
  <si>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</si>
  <si>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</si>
  <si>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</si>
  <si>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</si>
  <si>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</si>
  <si>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</si>
  <si>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</si>
  <si>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</si>
  <si>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</si>
  <si>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</si>
  <si>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</si>
  <si>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</si>
  <si>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</si>
  <si>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</si>
  <si>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</si>
  <si>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</si>
  <si>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</si>
  <si>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</si>
  <si>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</si>
  <si>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</si>
  <si>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</si>
  <si>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</si>
  <si>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</si>
  <si>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</si>
  <si>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</si>
  <si>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</si>
  <si>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</si>
  <si>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</si>
  <si>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</si>
  <si>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</si>
  <si>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</si>
  <si>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</si>
  <si>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</si>
  <si>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</si>
  <si>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</si>
  <si>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</si>
  <si>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</si>
  <si>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</si>
  <si>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</si>
  <si>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</si>
  <si>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</si>
  <si>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</si>
  <si>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</si>
  <si>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</si>
  <si>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</si>
  <si>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</si>
  <si>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</si>
  <si>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</si>
  <si>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</si>
  <si>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</si>
  <si>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</si>
  <si>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</si>
  <si>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</si>
  <si>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</si>
  <si>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</si>
  <si>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</si>
  <si>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</si>
  <si>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</si>
  <si>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</si>
  <si>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</si>
  <si>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</si>
  <si>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</si>
  <si>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</si>
  <si>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</si>
  <si>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</si>
  <si>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</si>
  <si>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</si>
  <si>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</si>
  <si>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</si>
  <si>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</si>
  <si>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</si>
  <si>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</si>
  <si>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</si>
  <si>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</si>
  <si>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</si>
  <si>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</si>
  <si>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</si>
  <si>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</si>
  <si>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</si>
  <si>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</si>
  <si>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</si>
  <si>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</si>
  <si>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</si>
  <si>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</si>
  <si>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</si>
  <si>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</si>
  <si>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</si>
  <si>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</si>
  <si>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</si>
  <si>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</si>
  <si>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</si>
  <si>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</si>
  <si>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</si>
  <si>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</si>
  <si>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</si>
  <si>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</si>
  <si>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</si>
  <si>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</si>
  <si>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</si>
  <si>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</si>
  <si>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</si>
  <si>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</si>
  <si>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</si>
  <si>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</si>
  <si>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</si>
  <si>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</si>
  <si>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</si>
  <si>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</si>
  <si>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</si>
  <si>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</si>
  <si>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</si>
  <si>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</si>
  <si>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</si>
  <si>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</si>
  <si>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</si>
  <si>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</si>
  <si>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</si>
  <si>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</si>
  <si>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</si>
  <si>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</si>
  <si>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</si>
  <si>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</si>
  <si>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</si>
  <si>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</si>
  <si>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</si>
  <si>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</si>
  <si>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</si>
  <si>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</si>
  <si>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</si>
  <si>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</si>
  <si>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</si>
  <si>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</si>
  <si>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</si>
  <si>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</si>
  <si>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</si>
  <si>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</si>
  <si>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</si>
  <si>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</si>
  <si>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</si>
  <si>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</si>
  <si>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</si>
  <si>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</si>
  <si>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</si>
  <si>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</si>
  <si>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</si>
  <si>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</si>
  <si>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</si>
  <si>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</si>
  <si>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</si>
  <si>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</si>
  <si>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</si>
  <si>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</si>
  <si>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</si>
  <si>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</si>
  <si>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</si>
  <si>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</si>
  <si>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</si>
  <si>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</si>
  <si>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</si>
  <si>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</si>
  <si>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</si>
  <si>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</si>
  <si>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</si>
  <si>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</si>
  <si>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</si>
  <si>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</si>
  <si>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</si>
  <si>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</si>
  <si>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</si>
  <si>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</si>
  <si>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</si>
  <si>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</si>
  <si>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</si>
  <si>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</si>
  <si>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</si>
  <si>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</si>
  <si>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</si>
  <si>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</si>
  <si>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</si>
  <si>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</si>
  <si>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</si>
  <si>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</si>
  <si>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</si>
  <si>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</si>
  <si>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</si>
  <si>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</si>
  <si>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</si>
  <si>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</si>
  <si>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</si>
  <si>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</si>
  <si>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</si>
  <si>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</si>
  <si>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</si>
  <si>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</si>
  <si>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</si>
  <si>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</si>
  <si>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</si>
  <si>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</si>
  <si>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</si>
  <si>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</si>
  <si>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</si>
  <si>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</si>
  <si>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</si>
  <si>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</si>
  <si>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</si>
  <si>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</si>
  <si>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</si>
  <si>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</si>
  <si>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</si>
  <si>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</si>
  <si>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</si>
  <si>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</si>
  <si>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</si>
  <si>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</si>
  <si>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</si>
  <si>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</si>
  <si>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</si>
  <si>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</si>
  <si>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</si>
  <si>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</si>
  <si>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</si>
  <si>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</si>
  <si>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</si>
  <si>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</si>
  <si>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</si>
  <si>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</si>
  <si>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</si>
  <si>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</si>
  <si>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</si>
  <si>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</si>
  <si>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</si>
  <si>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</si>
  <si>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</si>
  <si>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</si>
  <si>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</si>
  <si>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</si>
  <si>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</si>
  <si>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</si>
  <si>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</si>
  <si>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</si>
  <si>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</si>
  <si>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</si>
  <si>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</si>
  <si>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</si>
  <si>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</si>
  <si>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</si>
  <si>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</si>
  <si>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</si>
  <si>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</si>
  <si>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</si>
  <si>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</si>
  <si>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</si>
  <si>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</si>
  <si>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</si>
  <si>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</si>
  <si>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</si>
  <si>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</si>
  <si>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</si>
  <si>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</si>
  <si>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</si>
  <si>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</si>
  <si>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</si>
  <si>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</si>
  <si>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</si>
  <si>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</si>
  <si>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</si>
  <si>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</si>
  <si>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</si>
  <si>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</si>
  <si>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</si>
  <si>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</si>
  <si>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</si>
  <si>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</si>
  <si>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</si>
  <si>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</si>
  <si>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</si>
  <si>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</si>
  <si>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</si>
  <si>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</si>
  <si>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</si>
  <si>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</si>
  <si>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</si>
  <si>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</si>
  <si>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</si>
  <si>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</si>
  <si>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</si>
  <si>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</si>
  <si>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</si>
  <si>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</si>
  <si>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</si>
  <si>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</si>
  <si>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</si>
  <si>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</si>
  <si>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</si>
  <si>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</si>
  <si>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</si>
  <si>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</si>
  <si>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</si>
  <si>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</si>
  <si>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</si>
  <si>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</si>
  <si>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</si>
  <si>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</si>
  <si>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</si>
  <si>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</si>
  <si>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</si>
  <si>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</si>
  <si>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</si>
  <si>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</si>
  <si>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</si>
  <si>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</si>
  <si>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</si>
  <si>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</si>
  <si>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</si>
  <si>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</si>
  <si>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</si>
  <si>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</si>
  <si>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</si>
  <si>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</si>
  <si>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</si>
  <si>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</si>
  <si>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</si>
  <si>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</si>
  <si>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</si>
  <si>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</si>
  <si>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</si>
  <si>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</si>
  <si>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</si>
  <si>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</si>
  <si>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</si>
  <si>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</si>
  <si>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</si>
  <si>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</si>
  <si>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</si>
  <si>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</si>
  <si>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</si>
  <si>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</si>
  <si>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</si>
  <si>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</si>
  <si>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</si>
  <si>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</si>
  <si>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</si>
  <si>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</si>
  <si>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</si>
  <si>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</si>
  <si>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</si>
  <si>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</si>
  <si>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</si>
  <si>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</si>
  <si>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</si>
  <si>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</si>
  <si>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</si>
  <si>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</si>
  <si>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</si>
  <si>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</si>
  <si>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</si>
  <si>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</si>
  <si>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</si>
  <si>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</si>
  <si>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</si>
  <si>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</si>
  <si>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</si>
  <si>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</si>
  <si>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</si>
  <si>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</si>
  <si>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</si>
  <si>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</si>
  <si>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</si>
  <si>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</si>
  <si>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</si>
  <si>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</si>
  <si>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</si>
  <si>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</si>
  <si>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</si>
  <si>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</si>
  <si>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</si>
  <si>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</si>
  <si>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</si>
  <si>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</si>
  <si>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</si>
  <si>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</si>
  <si>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</si>
  <si>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</si>
  <si>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</si>
  <si>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</si>
  <si>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</si>
  <si>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</si>
  <si>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</si>
  <si>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</si>
  <si>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</si>
  <si>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</si>
  <si>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</si>
  <si>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</si>
  <si>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</si>
  <si>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</si>
  <si>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</si>
  <si>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</si>
  <si>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</si>
  <si>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</si>
  <si>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</si>
  <si>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</si>
  <si>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</si>
  <si>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</si>
  <si>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</si>
  <si>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</si>
  <si>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</si>
  <si>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</si>
  <si>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</si>
  <si>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</si>
  <si>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</si>
  <si>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</si>
  <si>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</si>
  <si>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</si>
  <si>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</si>
  <si>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</si>
  <si>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</si>
  <si>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</si>
  <si>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</si>
  <si>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</si>
  <si>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</si>
  <si>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</si>
  <si>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</si>
  <si>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</si>
  <si>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</si>
  <si>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</si>
  <si>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</si>
  <si>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</si>
  <si>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</si>
  <si>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</si>
  <si>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</si>
  <si>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</si>
  <si>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</si>
  <si>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</si>
  <si>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</si>
  <si>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</si>
  <si>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</si>
  <si>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</si>
  <si>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</si>
  <si>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</si>
  <si>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</si>
  <si>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</si>
  <si>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</si>
  <si>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</si>
  <si>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</si>
  <si>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</si>
  <si>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</si>
  <si>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</si>
  <si>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</si>
  <si>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</si>
  <si>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</si>
  <si>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</si>
  <si>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</si>
  <si>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</si>
  <si>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</si>
  <si>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</si>
  <si>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</si>
  <si>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</si>
  <si>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</si>
  <si>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</si>
  <si>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</si>
  <si>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</si>
  <si>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</si>
  <si>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</si>
  <si>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</si>
  <si>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</si>
  <si>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</si>
  <si>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</si>
  <si>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</si>
  <si>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</si>
  <si>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</si>
  <si>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</si>
  <si>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</si>
  <si>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</si>
  <si>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</si>
  <si>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</si>
  <si>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</si>
  <si>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</si>
  <si>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</si>
  <si>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</si>
  <si>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</si>
  <si>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</si>
  <si>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</si>
  <si>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</si>
  <si>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</si>
  <si>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</si>
  <si>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</si>
  <si>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</si>
  <si>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</si>
  <si>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</si>
  <si>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</si>
  <si>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</si>
  <si>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</si>
  <si>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</si>
  <si>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</si>
  <si>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</si>
  <si>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</si>
  <si>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</si>
  <si>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</si>
  <si>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</si>
  <si>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</si>
  <si>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</si>
  <si>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</si>
  <si>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</si>
  <si>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</si>
  <si>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</si>
  <si>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</si>
  <si>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</si>
  <si>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</si>
  <si>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</si>
  <si>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</si>
  <si>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</si>
  <si>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</si>
  <si>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</si>
  <si>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</si>
  <si>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</si>
  <si>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</si>
  <si>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</si>
  <si>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</si>
  <si>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</si>
  <si>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</si>
  <si>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</si>
  <si>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</si>
  <si>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</si>
  <si>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</si>
  <si>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</si>
  <si>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</si>
  <si>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</si>
  <si>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</si>
  <si>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</si>
  <si>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</si>
  <si>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</si>
  <si>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</si>
  <si>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</si>
  <si>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</si>
  <si>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</si>
  <si>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</si>
  <si>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</si>
  <si>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</si>
  <si>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</si>
  <si>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</si>
  <si>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</si>
  <si>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</si>
  <si>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</si>
  <si>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</si>
  <si>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</si>
  <si>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</si>
  <si>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</si>
  <si>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</si>
  <si>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</si>
  <si>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</si>
  <si>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</si>
  <si>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</si>
  <si>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</si>
  <si>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</si>
  <si>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</si>
  <si>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</si>
  <si>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</si>
  <si>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</si>
  <si>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</si>
  <si>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</si>
  <si>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</si>
  <si>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</si>
  <si>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</si>
  <si>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</si>
  <si>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</si>
  <si>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</si>
  <si>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</si>
  <si>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</si>
  <si>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</si>
  <si>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</si>
  <si>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</si>
  <si>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</si>
  <si>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</si>
  <si>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</si>
  <si>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</si>
  <si>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</si>
  <si>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</si>
  <si>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</si>
  <si>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</si>
  <si>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</si>
  <si>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</si>
  <si>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</si>
  <si>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</si>
  <si>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</si>
  <si>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</si>
  <si>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</si>
  <si>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</si>
  <si>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</si>
  <si>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</si>
  <si>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</si>
  <si>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</si>
  <si>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</si>
  <si>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</si>
  <si>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</si>
  <si>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</si>
  <si>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</si>
  <si>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</si>
  <si>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</si>
  <si>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</si>
  <si>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</si>
  <si>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</si>
  <si>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</si>
  <si>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</si>
  <si>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</si>
  <si>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</si>
  <si>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</si>
  <si>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</si>
  <si>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</si>
  <si>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</si>
  <si>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</si>
  <si>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</si>
  <si>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</si>
  <si>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</si>
  <si>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</si>
  <si>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</si>
  <si>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</si>
  <si>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</si>
  <si>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</si>
  <si>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</si>
  <si>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</si>
  <si>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</si>
  <si>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</si>
  <si>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</si>
  <si>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</si>
  <si>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</si>
  <si>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</si>
  <si>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</si>
  <si>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</si>
  <si>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</si>
  <si>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</si>
  <si>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</si>
  <si>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</si>
  <si>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</si>
  <si>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</si>
  <si>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</si>
  <si>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</si>
  <si>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</si>
  <si>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</si>
  <si>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</si>
  <si>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</si>
  <si>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</si>
  <si>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</si>
  <si>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</si>
  <si>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</si>
  <si>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</si>
  <si>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</si>
  <si>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</si>
  <si>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</si>
  <si>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</si>
  <si>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</si>
  <si>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</si>
  <si>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</si>
  <si>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</si>
  <si>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</si>
  <si>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</si>
  <si>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</si>
  <si>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</si>
  <si>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</si>
  <si>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</si>
  <si>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</si>
  <si>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</si>
  <si>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</si>
  <si>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</si>
  <si>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</si>
  <si>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</si>
  <si>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</si>
  <si>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</si>
  <si>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</si>
  <si>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</si>
  <si>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</si>
  <si>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</si>
  <si>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</si>
  <si>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</si>
  <si>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</si>
  <si>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</si>
  <si>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</si>
  <si>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</si>
  <si>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</si>
  <si>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</si>
  <si>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</si>
  <si>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</si>
  <si>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</si>
  <si>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</si>
  <si>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</si>
  <si>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</si>
  <si>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</si>
  <si>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</si>
  <si>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</si>
  <si>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</si>
  <si>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</si>
  <si>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</si>
  <si>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</si>
  <si>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</si>
  <si>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</si>
  <si>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</si>
  <si>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</si>
  <si>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</si>
  <si>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</si>
  <si>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</si>
  <si>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</si>
  <si>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</si>
  <si>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</si>
  <si>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</si>
  <si>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</si>
  <si>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</si>
  <si>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</si>
  <si>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</si>
  <si>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</si>
  <si>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</si>
  <si>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</si>
  <si>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</si>
  <si>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</si>
  <si>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</si>
  <si>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</si>
  <si>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</si>
  <si>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</si>
  <si>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</si>
  <si>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</si>
  <si>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</si>
  <si>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</si>
  <si>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</si>
  <si>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</si>
  <si>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</si>
  <si>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</si>
  <si>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</si>
  <si>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</si>
  <si>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</si>
  <si>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</si>
  <si>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</si>
  <si>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</si>
  <si>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</si>
  <si>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</si>
  <si>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</si>
  <si>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</si>
  <si>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</si>
  <si>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</si>
  <si>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</si>
  <si>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</si>
  <si>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</si>
  <si>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</si>
  <si>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</si>
  <si>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</si>
  <si>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</si>
  <si>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</si>
  <si>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</si>
  <si>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</si>
  <si>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</si>
  <si>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</si>
  <si>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</si>
  <si>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</si>
  <si>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</si>
  <si>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</si>
  <si>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</si>
  <si>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</si>
  <si>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</si>
  <si>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</si>
  <si>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</si>
  <si>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</si>
  <si>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</si>
  <si>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</si>
  <si>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</si>
  <si>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</si>
  <si>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</si>
  <si>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</si>
  <si>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</si>
  <si>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</si>
  <si>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</si>
  <si>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</si>
  <si>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</si>
  <si>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</si>
  <si>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</si>
  <si>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</si>
  <si>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</si>
  <si>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</si>
  <si>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</si>
  <si>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</si>
  <si>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</si>
  <si>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</si>
  <si>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</si>
  <si>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</si>
  <si>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</si>
  <si>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</si>
  <si>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</si>
  <si>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</si>
  <si>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</si>
  <si>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</si>
  <si>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</si>
  <si>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</si>
  <si>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</si>
  <si>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</si>
  <si>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</si>
  <si>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</si>
  <si>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</si>
  <si>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</si>
  <si>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</si>
  <si>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</si>
  <si>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</si>
  <si>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</si>
  <si>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</si>
  <si>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</si>
  <si>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</si>
  <si>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</si>
  <si>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</si>
  <si>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</si>
  <si>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</si>
  <si>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</si>
  <si>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</si>
  <si>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</si>
  <si>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</si>
  <si>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</si>
  <si>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</si>
  <si>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</si>
  <si>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</si>
  <si>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</si>
  <si>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</si>
  <si>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</si>
  <si>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</si>
  <si>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</si>
  <si>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</si>
  <si>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</si>
  <si>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</si>
  <si>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</si>
  <si>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</si>
  <si>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</si>
  <si>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</si>
  <si>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</si>
  <si>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</si>
  <si>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</si>
  <si>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</si>
  <si>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</si>
  <si>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</si>
  <si>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</si>
  <si>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</si>
  <si>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</si>
  <si>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</si>
  <si>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</si>
  <si>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</si>
  <si>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</si>
  <si>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</si>
  <si>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</si>
  <si>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</si>
  <si>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</si>
  <si>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</si>
  <si>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</si>
  <si>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</si>
  <si>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</si>
  <si>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</si>
  <si>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</si>
  <si>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</si>
  <si>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</si>
  <si>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</si>
  <si>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</si>
  <si>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</si>
  <si>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</si>
  <si>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</si>
  <si>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</si>
  <si>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</si>
  <si>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</si>
  <si>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</si>
  <si>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</si>
  <si>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</si>
  <si>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</si>
  <si>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</si>
  <si>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</si>
  <si>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</si>
  <si>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</si>
  <si>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</si>
  <si>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</si>
  <si>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</si>
  <si>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</si>
  <si>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</si>
  <si>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</si>
  <si>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</si>
  <si>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</si>
  <si>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</si>
  <si>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</si>
  <si>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</si>
  <si>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</si>
  <si>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</si>
  <si>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</si>
  <si>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</si>
  <si>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</si>
  <si>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</si>
  <si>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</si>
  <si>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</si>
  <si>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</si>
  <si>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</si>
  <si>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</si>
  <si>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</si>
  <si>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</si>
  <si>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</si>
  <si>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</si>
  <si>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</si>
  <si>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</si>
  <si>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</si>
  <si>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</si>
  <si>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</si>
  <si>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</si>
  <si>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</si>
  <si>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</si>
  <si>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</si>
  <si>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</si>
  <si>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</si>
  <si>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</si>
  <si>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</si>
  <si>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</si>
  <si>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</si>
  <si>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</si>
  <si>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</si>
  <si>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</si>
  <si>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</si>
  <si>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</si>
  <si>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</si>
  <si>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</si>
  <si>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</si>
  <si>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</si>
  <si>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</si>
  <si>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</si>
  <si>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</si>
  <si>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</si>
  <si>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</si>
  <si>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</si>
  <si>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</si>
  <si>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</si>
  <si>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</si>
  <si>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</si>
  <si>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</si>
  <si>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</si>
  <si>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</si>
  <si>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</si>
  <si>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</si>
  <si>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</si>
  <si>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</si>
  <si>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</si>
  <si>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</si>
  <si>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</si>
  <si>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</si>
  <si>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</si>
  <si>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</si>
  <si>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</si>
  <si>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</si>
  <si>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</si>
  <si>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</si>
  <si>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</si>
  <si>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</si>
  <si>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</si>
  <si>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</si>
  <si>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</si>
  <si>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</si>
  <si>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</si>
  <si>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</si>
  <si>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</si>
  <si>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</si>
  <si>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</si>
  <si>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</si>
  <si>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</si>
  <si>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</si>
  <si>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농협 3520106511413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</si>
  <si>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</si>
  <si>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</si>
  <si>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</si>
  <si>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</si>
  <si>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</si>
  <si>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</si>
  <si>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</si>
  <si>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</si>
  <si>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</si>
  <si>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</si>
  <si>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</si>
  <si>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</si>
  <si>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</si>
  <si>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</si>
  <si>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</si>
  <si>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</si>
  <si>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</si>
  <si>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2025-11-12</t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</si>
  <si>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</si>
  <si>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</si>
  <si>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</si>
  <si>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</si>
  <si>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</si>
  <si>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</si>
  <si>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</si>
  <si>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</si>
  <si>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</si>
  <si>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2820403</t>
  </si>
  <si>
    <t>삼호미션(전주)_251112_174917.xlsx</t>
  </si>
  <si>
    <t>삼호미션(전주)_251112_174917.xlsx</t>
    <phoneticPr fontId="2" type="noConversion"/>
  </si>
  <si>
    <t>박경원</t>
  </si>
  <si>
    <t>김종해</t>
  </si>
  <si>
    <t>유재천</t>
  </si>
  <si>
    <t>신인식</t>
  </si>
  <si>
    <t>개인현금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</si>
</sst>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400000</c:v>
                </c:pt>
                <c:pt idx="3">
                  <c:v>4000000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23</c:v>
                      </c:pt>
                      <c:pt idx="1">
                        <c:v>10</c:v>
                      </c:pt>
                      <c:pt idx="2">
                        <c:v>31</c:v>
                      </c:pt>
                      <c:pt idx="3">
                        <c:v>3</c:v>
                      </c:pt>
                      <c:pt idx="4">
                        <c:v>28</c:v>
                      </c:pt>
                      <c:pt idx="5">
                        <c:v>36</c:v>
                      </c:pt>
                      <c:pt idx="6">
                        <c:v>36</c:v>
                      </c:pt>
                      <c:pt idx="7">
                        <c:v>15</c:v>
                      </c:pt>
                      <c:pt idx="8">
                        <c:v>36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4276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45973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1299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1389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1388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2682</v>
      </c>
      <c r="B8" s="353"/>
      <c r="C8" s="353"/>
      <c r="D8" s="353"/>
      <c r="E8" s="354"/>
      <c r="F8" s="355" t="s">
        <v>4304</v>
      </c>
      <c r="G8" s="356"/>
      <c r="H8" s="356"/>
      <c r="I8" s="357"/>
      <c r="J8" s="363">
        <v>1600000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1600000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2313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1600000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1600000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1600000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삼호미션(전주)</v>
      </c>
      <c r="R21" s="396"/>
      <c r="S21" s="396"/>
      <c r="T21" s="396"/>
      <c r="U21" s="397"/>
    </row>
    <row r="22" spans="1:21" ht="20.100000000000001" customHeight="1" x14ac:dyDescent="0.3">
      <c r="A22" s="437" t="s">
        <v>4306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45973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삼호미션(전주)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전주시 덕진구 신복로 18-11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010-7472-7003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0AM_Mechatronics</v>
      </c>
      <c r="B31" s="414"/>
      <c r="C31" s="414"/>
      <c r="D31" s="414"/>
      <c r="E31" s="414"/>
      <c r="F31" s="414" t="str">
        <f>F8</f>
        <v>2820403</v>
      </c>
      <c r="G31" s="414"/>
      <c r="H31" s="414"/>
      <c r="I31" s="414"/>
      <c r="J31" s="418">
        <f>J8</f>
        <v>1600000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1600000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2313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1600000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1600000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1600000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삼호미션(전주)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0</v>
      </c>
      <c r="J1" s="107">
        <f>SUM(J2:J2)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4294</v>
      </c>
      <c r="C2" s="47" t="s">
        <v>1387</v>
      </c>
      <c r="D2" s="290" t="s">
        <v>4304</v>
      </c>
      <c r="E2" t="s">
        <v>2192</v>
      </c>
      <c r="F2" s="290" t="s">
        <v>4304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37"/>
  <sheetViews>
    <sheetView workbookViewId="0">
      <pane xSplit="1" ySplit="1" topLeftCell="B115" activePane="bottomRight" state="frozen"/>
      <selection activeCell="N26" sqref="N26"/>
      <selection pane="topRight" activeCell="N26" sqref="N26"/>
      <selection pane="bottomLeft" activeCell="N26" sqref="N26"/>
      <selection pane="bottomRight" activeCell="K128" sqref="K1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2238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4238</v>
      </c>
      <c r="D1791" s="295" t="s">
        <v>4096</v>
      </c>
      <c r="E1791" s="292" t="s">
        <v>4239</v>
      </c>
      <c r="F1791" s="269" t="s">
        <v>4240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4238</v>
      </c>
      <c r="D1792" s="295" t="s">
        <v>4096</v>
      </c>
      <c r="E1792" s="292" t="s">
        <v>4241</v>
      </c>
      <c r="F1792" s="269" t="s">
        <v>4242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4238</v>
      </c>
      <c r="D1793" s="295" t="s">
        <v>4096</v>
      </c>
      <c r="E1793" s="292" t="s">
        <v>4243</v>
      </c>
      <c r="F1793" s="269" t="s">
        <v>4244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4228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4227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4227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4227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4227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4227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4227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4227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4227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4227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4227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4202</v>
      </c>
      <c r="D2121" s="295" t="s">
        <v>4096</v>
      </c>
      <c r="E2121" s="292" t="s">
        <v>4203</v>
      </c>
      <c r="F2121" s="269" t="s">
        <v>4204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4206</v>
      </c>
      <c r="D2128" s="295" t="s">
        <v>4096</v>
      </c>
      <c r="E2128" s="292" t="s">
        <v>4207</v>
      </c>
      <c r="F2128" s="269" t="s">
        <v>4208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4170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4191</v>
      </c>
      <c r="E2153" s="292" t="s">
        <v>4189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4192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4271</v>
      </c>
      <c r="E2161" s="292" t="s">
        <v>4272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4209</v>
      </c>
      <c r="E2165" s="292" t="s">
        <v>2176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4251</v>
      </c>
      <c r="D2167" s="295" t="s">
        <v>4252</v>
      </c>
      <c r="E2167" s="292" t="s">
        <v>4253</v>
      </c>
      <c r="F2167" s="269" t="s">
        <v>4254</v>
      </c>
      <c r="G2167" s="265">
        <v>50000</v>
      </c>
      <c r="H2167" s="269">
        <v>1</v>
      </c>
      <c r="M2167" s="292" t="s">
        <v>4215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4216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4216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4223</v>
      </c>
      <c r="E2170" s="292" t="s">
        <v>4224</v>
      </c>
      <c r="F2170" s="269" t="s">
        <v>4225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4255</v>
      </c>
      <c r="E2199" s="292" t="s">
        <v>4256</v>
      </c>
      <c r="F2199" s="269" t="s">
        <v>4257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4260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4284</v>
      </c>
      <c r="E2218" s="292" t="s">
        <v>4285</v>
      </c>
      <c r="F2218" s="269" t="s">
        <v>4286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4283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4287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4288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4297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4299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4310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4311</v>
      </c>
      <c r="L2237" s="265">
        <v>-1200000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AE18" sqref="A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45973</v>
      </c>
      <c r="B3" s="235" t="s">
        <v>1126</v>
      </c>
      <c r="C3" s="286">
        <f>SUMIF($B:$B,A3,I:I)</f>
        <v>8495000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1040000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60670000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4174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4186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4187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4188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4189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4199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4201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4205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4209</v>
      </c>
      <c r="D38" s="113" t="s">
        <v>2176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4216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4216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4188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4222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4226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4231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4235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4245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4169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4246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4258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4263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4267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4268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4273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4201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4283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4287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4288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4307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4308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4309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4310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4188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4311</v>
      </c>
      <c r="F110" s="80"/>
      <c r="G110" s="120"/>
      <c r="J110" s="80">
        <v>-1200000</v>
      </c>
    </row>
    <row r="111" spans="1:10" ht="18" customHeight="1" x14ac:dyDescent="0.3">
      <c r="F111" s="80"/>
      <c r="G111" s="120"/>
    </row>
    <row r="112" spans="1:10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1200000</v>
      </c>
      <c r="D2" s="58">
        <f t="shared" ref="D2:D65" si="0">RANK(C2,C:C,0)</f>
        <v>23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10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31</v>
      </c>
    </row>
    <row r="5" spans="1:6" x14ac:dyDescent="0.3">
      <c r="B5" s="58" t="s">
        <v>1332</v>
      </c>
      <c r="C5" s="301">
        <f>SUMIF(BTS_매출관리!C:C,B5,BTS_매출관리!I:I)</f>
        <v>4000000</v>
      </c>
      <c r="D5" s="58">
        <f t="shared" si="0"/>
        <v>3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28</v>
      </c>
    </row>
    <row r="7" spans="1:6" x14ac:dyDescent="0.3">
      <c r="B7" s="58" t="s">
        <v>1286</v>
      </c>
      <c r="C7" s="301">
        <f>SUMIF(BTS_매출관리!C:C,B7,BTS_매출관리!I:I)</f>
        <v>0</v>
      </c>
      <c r="D7" s="58">
        <f t="shared" si="0"/>
        <v>36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36</v>
      </c>
    </row>
    <row r="9" spans="1:6" x14ac:dyDescent="0.3">
      <c r="B9" s="58" t="s">
        <v>2211</v>
      </c>
      <c r="C9" s="301">
        <f>SUMIF(BTS_매출관리!C:C,B9,BTS_매출관리!I:I)</f>
        <v>1650000</v>
      </c>
      <c r="D9" s="58">
        <f t="shared" si="0"/>
        <v>15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36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11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36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36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22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36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36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36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19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36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36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36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715000</v>
      </c>
      <c r="D22" s="58">
        <f t="shared" si="0"/>
        <v>26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36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36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36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36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36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1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36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36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0</v>
      </c>
      <c r="D31" s="58">
        <f t="shared" si="0"/>
        <v>36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36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36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36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2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385000</v>
      </c>
      <c r="D36" s="58">
        <f t="shared" si="0"/>
        <v>32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36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36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36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36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36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36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1700000</v>
      </c>
      <c r="D43" s="269">
        <f t="shared" si="0"/>
        <v>14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3025000</v>
      </c>
      <c r="D44" s="58">
        <f t="shared" si="0"/>
        <v>4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8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36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36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36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36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330000</v>
      </c>
      <c r="D50" s="269">
        <f t="shared" si="0"/>
        <v>33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29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36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36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36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36</v>
      </c>
    </row>
    <row r="56" spans="2:7" x14ac:dyDescent="0.3">
      <c r="B56" s="47" t="s">
        <v>1018</v>
      </c>
      <c r="C56" s="302">
        <f>SUMIF(BTS_매출관리!C:C,B56,BTS_매출관리!I:I)</f>
        <v>2554000</v>
      </c>
      <c r="D56" s="47">
        <f t="shared" si="0"/>
        <v>7</v>
      </c>
    </row>
    <row r="57" spans="2:7" x14ac:dyDescent="0.3">
      <c r="B57" s="47" t="s">
        <v>1780</v>
      </c>
      <c r="C57" s="302">
        <f>SUMIF(BTS_매출관리!C:C,B57,BTS_매출관리!I:I)</f>
        <v>0</v>
      </c>
      <c r="D57" s="47">
        <f t="shared" si="0"/>
        <v>36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36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36</v>
      </c>
    </row>
    <row r="60" spans="2:7" x14ac:dyDescent="0.3">
      <c r="B60" s="47" t="s">
        <v>1303</v>
      </c>
      <c r="C60" s="302">
        <f>SUMIF(BTS_매출관리!C:C,B60,BTS_매출관리!I:I)</f>
        <v>850000</v>
      </c>
      <c r="D60" s="47">
        <f t="shared" si="0"/>
        <v>25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36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36</v>
      </c>
    </row>
    <row r="63" spans="2:7" x14ac:dyDescent="0.3">
      <c r="B63" s="47" t="s">
        <v>2912</v>
      </c>
      <c r="C63" s="302">
        <f>SUMIF(BTS_매출관리!C:C,B63,BTS_매출관리!I:I)</f>
        <v>0</v>
      </c>
      <c r="D63" s="47">
        <f t="shared" si="0"/>
        <v>36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36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36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36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18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36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17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36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36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36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36</v>
      </c>
    </row>
    <row r="74" spans="2:4" x14ac:dyDescent="0.3">
      <c r="B74" s="47" t="s">
        <v>1355</v>
      </c>
      <c r="C74" s="302">
        <f>SUMIF(BTS_매출관리!C:C,B74,BTS_매출관리!I:I)</f>
        <v>0</v>
      </c>
      <c r="D74" s="47">
        <f t="shared" si="1"/>
        <v>36</v>
      </c>
    </row>
    <row r="75" spans="2:4" x14ac:dyDescent="0.3">
      <c r="B75" s="47" t="s">
        <v>3285</v>
      </c>
      <c r="C75" s="302">
        <f>SUMIF(BTS_매출관리!C:C,B75,BTS_매출관리!I:I)</f>
        <v>3000000</v>
      </c>
      <c r="D75" s="47">
        <f t="shared" si="1"/>
        <v>5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36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36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36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36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36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36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36</v>
      </c>
    </row>
    <row r="83" spans="2:4" x14ac:dyDescent="0.3">
      <c r="B83" t="s">
        <v>2753</v>
      </c>
      <c r="C83" s="52">
        <f>SUMIF(BTS_매출관리!C:C,B83,BTS_매출관리!I:I)</f>
        <v>0</v>
      </c>
      <c r="D83">
        <f t="shared" si="1"/>
        <v>36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36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36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36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6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36</v>
      </c>
    </row>
    <row r="89" spans="2:4" x14ac:dyDescent="0.3">
      <c r="B89" t="s">
        <v>1279</v>
      </c>
      <c r="C89" s="300">
        <f>SUMIF(BTS_매출관리!C:C,B89,BTS_매출관리!I:I)</f>
        <v>0</v>
      </c>
      <c r="D89">
        <f t="shared" si="1"/>
        <v>36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20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23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36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36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36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15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36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36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30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36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36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36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36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36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36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36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36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26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36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36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36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36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36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36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20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9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36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36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36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36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36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34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36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36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36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36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36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36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36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36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36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36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36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36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36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36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36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36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36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35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12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36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36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36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36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13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36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36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36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36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36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36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36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36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36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36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36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36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36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36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36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36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36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36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36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36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36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36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36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36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36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36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36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36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36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36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36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36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36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36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36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36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36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36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36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36</v>
      </c>
    </row>
    <row r="188" spans="2:4" x14ac:dyDescent="0.3">
      <c r="C188" s="52">
        <f>SUMIF(BTS_매출관리!C:C,B188,BTS_매출관리!I:I)</f>
        <v>0</v>
      </c>
      <c r="D188">
        <f t="shared" si="2"/>
        <v>36</v>
      </c>
    </row>
    <row r="189" spans="2:4" x14ac:dyDescent="0.3">
      <c r="C189" s="52">
        <f>SUMIF(BTS_매출관리!C:C,B189,BTS_매출관리!I:I)</f>
        <v>0</v>
      </c>
      <c r="D189">
        <f t="shared" si="2"/>
        <v>36</v>
      </c>
    </row>
    <row r="190" spans="2:4" x14ac:dyDescent="0.3">
      <c r="C190" s="52">
        <f>SUMIF(BTS_매출관리!C:C,B190,BTS_매출관리!I:I)</f>
        <v>0</v>
      </c>
      <c r="D190">
        <f t="shared" si="2"/>
        <v>36</v>
      </c>
    </row>
    <row r="191" spans="2:4" x14ac:dyDescent="0.3">
      <c r="C191" s="52">
        <f>SUMIF(BTS_매출관리!C:C,B191,BTS_매출관리!I:I)</f>
        <v>0</v>
      </c>
      <c r="D191">
        <f t="shared" si="2"/>
        <v>36</v>
      </c>
    </row>
    <row r="192" spans="2:4" x14ac:dyDescent="0.3">
      <c r="C192" s="52">
        <f>SUMIF(BTS_매출관리!C:C,B192,BTS_매출관리!I:I)</f>
        <v>0</v>
      </c>
      <c r="D192">
        <f t="shared" si="2"/>
        <v>36</v>
      </c>
    </row>
    <row r="193" spans="3:4" x14ac:dyDescent="0.3">
      <c r="C193" s="52">
        <f>SUMIF(BTS_매출관리!C:C,B193,BTS_매출관리!I:I)</f>
        <v>0</v>
      </c>
      <c r="D193">
        <f t="shared" si="2"/>
        <v>36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36</v>
      </c>
    </row>
    <row r="195" spans="3:4" x14ac:dyDescent="0.3">
      <c r="C195" s="52">
        <f>SUMIF(BTS_매출관리!C:C,B195,BTS_매출관리!I:I)</f>
        <v>0</v>
      </c>
      <c r="D195">
        <f t="shared" si="3"/>
        <v>36</v>
      </c>
    </row>
    <row r="196" spans="3:4" x14ac:dyDescent="0.3">
      <c r="C196" s="52">
        <f>SUMIF(BTS_매출관리!C:C,B196,BTS_매출관리!I:I)</f>
        <v>0</v>
      </c>
      <c r="D196">
        <f t="shared" si="3"/>
        <v>36</v>
      </c>
    </row>
    <row r="197" spans="3:4" x14ac:dyDescent="0.3">
      <c r="C197" s="52">
        <f>SUMIF(BTS_매출관리!C:C,B197,BTS_매출관리!I:I)</f>
        <v>0</v>
      </c>
      <c r="D197">
        <f t="shared" si="3"/>
        <v>36</v>
      </c>
    </row>
    <row r="198" spans="3:4" x14ac:dyDescent="0.3">
      <c r="C198" s="52">
        <f>SUMIF(BTS_매출관리!C:C,B198,BTS_매출관리!I:I)</f>
        <v>0</v>
      </c>
      <c r="D198">
        <f t="shared" si="3"/>
        <v>36</v>
      </c>
    </row>
    <row r="199" spans="3:4" x14ac:dyDescent="0.3">
      <c r="C199" s="52">
        <f>SUMIF(BTS_매출관리!C:C,B199,BTS_매출관리!I:I)</f>
        <v>0</v>
      </c>
      <c r="D199">
        <f t="shared" si="3"/>
        <v>36</v>
      </c>
    </row>
    <row r="200" spans="3:4" x14ac:dyDescent="0.3">
      <c r="C200" s="52">
        <f>SUMIF(BTS_매출관리!C:C,B200,BTS_매출관리!I:I)</f>
        <v>0</v>
      </c>
      <c r="D200">
        <f t="shared" si="3"/>
        <v>36</v>
      </c>
    </row>
    <row r="201" spans="3:4" x14ac:dyDescent="0.3">
      <c r="C201" s="52">
        <f>SUMIF(BTS_매출관리!C:C,B201,BTS_매출관리!I:I)</f>
        <v>0</v>
      </c>
      <c r="D201">
        <f t="shared" si="3"/>
        <v>36</v>
      </c>
    </row>
    <row r="202" spans="3:4" x14ac:dyDescent="0.3">
      <c r="C202" s="52">
        <f>SUMIF(BTS_매출관리!C:C,B202,BTS_매출관리!I:I)</f>
        <v>0</v>
      </c>
      <c r="D202">
        <f t="shared" si="3"/>
        <v>36</v>
      </c>
    </row>
    <row r="203" spans="3:4" x14ac:dyDescent="0.3">
      <c r="C203" s="52">
        <f>SUMIF(BTS_매출관리!C:C,B203,BTS_매출관리!I:I)</f>
        <v>0</v>
      </c>
      <c r="D203">
        <f t="shared" si="3"/>
        <v>36</v>
      </c>
    </row>
    <row r="204" spans="3:4" x14ac:dyDescent="0.3">
      <c r="C204" s="52">
        <f>SUMIF(BTS_매출관리!C:C,B204,BTS_매출관리!I:I)</f>
        <v>0</v>
      </c>
      <c r="D204">
        <f t="shared" si="3"/>
        <v>36</v>
      </c>
    </row>
    <row r="205" spans="3:4" x14ac:dyDescent="0.3">
      <c r="C205" s="52">
        <f>SUMIF(BTS_매출관리!C:C,B205,BTS_매출관리!I:I)</f>
        <v>0</v>
      </c>
      <c r="D205">
        <f t="shared" si="3"/>
        <v>36</v>
      </c>
    </row>
    <row r="206" spans="3:4" x14ac:dyDescent="0.3">
      <c r="C206" s="52">
        <f>SUMIF(BTS_매출관리!C:C,B206,BTS_매출관리!I:I)</f>
        <v>0</v>
      </c>
      <c r="D206">
        <f t="shared" si="3"/>
        <v>36</v>
      </c>
    </row>
    <row r="207" spans="3:4" x14ac:dyDescent="0.3">
      <c r="C207" s="52">
        <f>SUMIF(BTS_매출관리!C:C,B207,BTS_매출관리!I:I)</f>
        <v>0</v>
      </c>
      <c r="D207">
        <f t="shared" si="3"/>
        <v>36</v>
      </c>
    </row>
    <row r="208" spans="3:4" x14ac:dyDescent="0.3">
      <c r="C208" s="52">
        <f>SUMIF(BTS_매출관리!C:C,B208,BTS_매출관리!I:I)</f>
        <v>0</v>
      </c>
      <c r="D208">
        <f t="shared" si="3"/>
        <v>36</v>
      </c>
    </row>
    <row r="209" spans="3:4" x14ac:dyDescent="0.3">
      <c r="C209" s="52">
        <f>SUMIF(BTS_매출관리!C:C,B209,BTS_매출관리!I:I)</f>
        <v>0</v>
      </c>
      <c r="D209">
        <f t="shared" si="3"/>
        <v>36</v>
      </c>
    </row>
    <row r="210" spans="3:4" x14ac:dyDescent="0.3">
      <c r="C210" s="52">
        <f>SUMIF(BTS_매출관리!C:C,B210,BTS_매출관리!I:I)</f>
        <v>0</v>
      </c>
      <c r="D210">
        <f t="shared" si="3"/>
        <v>36</v>
      </c>
    </row>
    <row r="211" spans="3:4" x14ac:dyDescent="0.3">
      <c r="C211" s="52">
        <f>SUMIF(BTS_매출관리!C:C,B211,BTS_매출관리!I:I)</f>
        <v>0</v>
      </c>
      <c r="D211">
        <f t="shared" si="3"/>
        <v>36</v>
      </c>
    </row>
    <row r="212" spans="3:4" x14ac:dyDescent="0.3">
      <c r="C212" s="52">
        <f>SUMIF(BTS_매출관리!C:C,B212,BTS_매출관리!I:I)</f>
        <v>0</v>
      </c>
      <c r="D212">
        <f t="shared" si="3"/>
        <v>36</v>
      </c>
    </row>
    <row r="213" spans="3:4" x14ac:dyDescent="0.3">
      <c r="C213" s="52">
        <f>SUMIF(BTS_매출관리!C:C,B213,BTS_매출관리!I:I)</f>
        <v>0</v>
      </c>
      <c r="D213">
        <f t="shared" si="3"/>
        <v>36</v>
      </c>
    </row>
    <row r="214" spans="3:4" x14ac:dyDescent="0.3">
      <c r="C214" s="52">
        <f>SUMIF(BTS_매출관리!C:C,B214,BTS_매출관리!I:I)</f>
        <v>0</v>
      </c>
      <c r="D214">
        <f t="shared" si="3"/>
        <v>36</v>
      </c>
    </row>
    <row r="215" spans="3:4" x14ac:dyDescent="0.3">
      <c r="C215" s="52">
        <f>SUMIF(BTS_매출관리!C:C,B215,BTS_매출관리!I:I)</f>
        <v>0</v>
      </c>
      <c r="D215">
        <f t="shared" si="3"/>
        <v>36</v>
      </c>
    </row>
    <row r="216" spans="3:4" x14ac:dyDescent="0.3">
      <c r="C216" s="52">
        <f>SUMIF(BTS_매출관리!C:C,B216,BTS_매출관리!I:I)</f>
        <v>0</v>
      </c>
      <c r="D216">
        <f t="shared" si="3"/>
        <v>36</v>
      </c>
    </row>
    <row r="217" spans="3:4" x14ac:dyDescent="0.3">
      <c r="C217" s="52">
        <f>SUMIF(BTS_매출관리!C:C,B217,BTS_매출관리!I:I)</f>
        <v>0</v>
      </c>
      <c r="D217">
        <f t="shared" si="3"/>
        <v>36</v>
      </c>
    </row>
    <row r="218" spans="3:4" x14ac:dyDescent="0.3">
      <c r="C218" s="52">
        <f>SUMIF(BTS_매출관리!C:C,B218,BTS_매출관리!I:I)</f>
        <v>0</v>
      </c>
      <c r="D218">
        <f t="shared" si="3"/>
        <v>36</v>
      </c>
    </row>
    <row r="219" spans="3:4" x14ac:dyDescent="0.3">
      <c r="C219" s="52">
        <f>SUMIF(BTS_매출관리!C:C,B219,BTS_매출관리!I:I)</f>
        <v>0</v>
      </c>
      <c r="D219">
        <f t="shared" si="3"/>
        <v>36</v>
      </c>
    </row>
    <row r="220" spans="3:4" x14ac:dyDescent="0.3">
      <c r="C220" s="52">
        <f>SUMIF(BTS_매출관리!C:C,B220,BTS_매출관리!I:I)</f>
        <v>0</v>
      </c>
      <c r="D220">
        <f t="shared" si="3"/>
        <v>36</v>
      </c>
    </row>
    <row r="221" spans="3:4" x14ac:dyDescent="0.3">
      <c r="C221" s="52">
        <f>SUMIF(BTS_매출관리!C:C,B221,BTS_매출관리!I:I)</f>
        <v>0</v>
      </c>
      <c r="D221">
        <f t="shared" si="3"/>
        <v>36</v>
      </c>
    </row>
    <row r="222" spans="3:4" x14ac:dyDescent="0.3">
      <c r="C222" s="52">
        <f>SUMIF(BTS_매출관리!C:C,B222,BTS_매출관리!I:I)</f>
        <v>0</v>
      </c>
      <c r="D222">
        <f t="shared" si="3"/>
        <v>36</v>
      </c>
    </row>
    <row r="223" spans="3:4" x14ac:dyDescent="0.3">
      <c r="C223" s="52">
        <f>SUMIF(BTS_매출관리!C:C,B223,BTS_매출관리!I:I)</f>
        <v>0</v>
      </c>
      <c r="D223">
        <f t="shared" si="3"/>
        <v>36</v>
      </c>
    </row>
    <row r="224" spans="3:4" x14ac:dyDescent="0.3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2219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1537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6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1191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4175</v>
      </c>
      <c r="C1116" t="s">
        <v>1718</v>
      </c>
      <c r="D1116" t="s">
        <v>4176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4181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4182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4183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4184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4190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4193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4194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4195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4196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4198</v>
      </c>
    </row>
    <row r="1129" spans="1:4" x14ac:dyDescent="0.3">
      <c r="A1129">
        <v>1153</v>
      </c>
      <c r="B1129" s="13">
        <v>45966</v>
      </c>
      <c r="C1129" t="s">
        <v>4209</v>
      </c>
      <c r="D1129" t="s">
        <v>4213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4214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4217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4218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4221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4229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4230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4232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4233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4234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4236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4237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4247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4248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4249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4250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4259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4264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4265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4266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4269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4274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4277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4279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4280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4281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4282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4295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4296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4298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4300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4301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4302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4303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300000</v>
      </c>
    </row>
    <row r="4" spans="1:1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</row>
    <row r="11" spans="1:1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</row>
    <row r="18" spans="1:13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1700000</v>
      </c>
    </row>
    <row r="22" spans="1:13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</row>
    <row r="26" spans="1:13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1600000</v>
      </c>
    </row>
    <row r="40" spans="1:10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0</v>
      </c>
      <c r="I54" s="52" t="s">
        <v>4168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4270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2800000</v>
      </c>
    </row>
    <row r="80" spans="1:10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385000.09999999963</v>
      </c>
    </row>
    <row r="93" spans="1:1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1760000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4270</v>
      </c>
    </row>
    <row r="100" spans="1:1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2554000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3613</v>
      </c>
    </row>
    <row r="115" spans="1:10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4200</v>
      </c>
    </row>
    <row r="117" spans="1:10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x14ac:dyDescent="0.3">
      <c r="A119" s="47">
        <v>118</v>
      </c>
      <c r="B119" t="s">
        <v>4289</v>
      </c>
      <c r="C119" t="s">
        <v>4290</v>
      </c>
      <c r="E119" t="s">
        <v>4291</v>
      </c>
      <c r="F119" t="s">
        <v>4292</v>
      </c>
      <c r="G119" t="s">
        <v>4293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0</v>
      </c>
      <c r="K177" t="s">
        <v>3396</v>
      </c>
    </row>
    <row r="178" spans="1:1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4209</v>
      </c>
      <c r="C200" t="s">
        <v>4210</v>
      </c>
      <c r="E200" t="s">
        <v>4211</v>
      </c>
      <c r="F200" t="s">
        <v>963</v>
      </c>
      <c r="G200" t="s">
        <v>4212</v>
      </c>
      <c r="H200" s="194">
        <f>SUMIF(주문_리스트!C:C,거래처!B200,주문_리스트!K:K)+SUMIF(주문_리스트!C:C,거래처!B200,주문_리스트!L:L)</f>
        <v>1500000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6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260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-55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-93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-117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-35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-35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-54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-35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-52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-52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-117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-35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4177</v>
      </c>
      <c r="D253" s="288" t="s">
        <v>2380</v>
      </c>
      <c r="E253" s="288" t="s">
        <v>4177</v>
      </c>
      <c r="I253" s="52" t="s">
        <v>4178</v>
      </c>
    </row>
    <row r="254" spans="1:9" x14ac:dyDescent="0.3">
      <c r="A254">
        <v>257</v>
      </c>
      <c r="B254">
        <v>3</v>
      </c>
      <c r="C254" s="288" t="s">
        <v>4197</v>
      </c>
      <c r="D254" s="288" t="s">
        <v>3120</v>
      </c>
      <c r="E254" s="288" t="s">
        <v>4197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4262</v>
      </c>
      <c r="D255" s="288" t="s">
        <v>4263</v>
      </c>
      <c r="E255" s="288" t="s">
        <v>4262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4278</v>
      </c>
      <c r="D256" s="288" t="s">
        <v>1204</v>
      </c>
      <c r="E256" s="288" t="s">
        <v>4278</v>
      </c>
      <c r="F256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2025-11-12T08:59:51Z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