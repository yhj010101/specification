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2C35804-4E1E-413B-A71F-9AF613D1C33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4" l="1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<sst xmlns="http://schemas.openxmlformats.org/spreadsheetml/2006/main" count="12602" uniqueCount="4356">
  <si>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</si>
  <si>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</si>
  <si>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</si>
  <si>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</si>
  <si>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</si>
  <si>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</si>
  <si>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</si>
  <si>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</si>
  <si>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</si>
  <si>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</si>
  <si>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</si>
  <si>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</si>
  <si>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</si>
  <si>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</si>
  <si>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</si>
  <si>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</si>
  <si>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</si>
  <si>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</si>
  <si>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</si>
  <si>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</si>
  <si>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</si>
  <si>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</si>
  <si>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</si>
  <si>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</si>
  <si>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</si>
  <si>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</si>
  <si>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</si>
  <si>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</si>
  <si>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</si>
  <si>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</si>
  <si>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</si>
  <si>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</si>
  <si>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</si>
  <si>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</si>
  <si>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</si>
  <si>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</si>
  <si>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</si>
  <si>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</si>
  <si>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</si>
  <si>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</si>
  <si>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</si>
  <si>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</si>
  <si>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</si>
  <si>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</si>
  <si>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</si>
  <si>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</si>
  <si>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</si>
  <si>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</si>
  <si>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</si>
  <si>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</si>
  <si>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</si>
  <si>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</si>
  <si>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</si>
  <si>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</si>
  <si>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</si>
  <si>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</si>
  <si>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</si>
  <si>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</si>
  <si>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</si>
  <si>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</si>
  <si>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</si>
  <si>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</si>
  <si>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</si>
  <si>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</si>
  <si>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</si>
  <si>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</si>
  <si>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</si>
  <si>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</si>
  <si>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</si>
  <si>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</si>
  <si>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</si>
  <si>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</si>
  <si>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</si>
  <si>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</si>
  <si>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</si>
  <si>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</si>
  <si>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</si>
  <si>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</si>
  <si>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</si>
  <si>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</si>
  <si>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</si>
  <si>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</si>
  <si>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</si>
  <si>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</si>
  <si>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</si>
  <si>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</si>
  <si>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</si>
  <si>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</si>
  <si>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</si>
  <si>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</si>
  <si>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</si>
  <si>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</si>
  <si>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</si>
  <si>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</si>
  <si>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</si>
  <si>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</si>
  <si>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</si>
  <si>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</si>
  <si>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</si>
  <si>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</si>
  <si>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</si>
  <si>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</si>
  <si>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</si>
  <si>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</si>
  <si>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</si>
  <si>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</si>
  <si>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</si>
  <si>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</si>
  <si>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</si>
  <si>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</si>
  <si>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</si>
  <si>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</si>
  <si>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</si>
  <si>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</si>
  <si>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</si>
  <si>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</si>
  <si>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</si>
  <si>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</si>
  <si>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</si>
  <si>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</si>
  <si>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</si>
  <si>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</si>
  <si>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</si>
  <si>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</si>
  <si>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</si>
  <si>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</si>
  <si>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</si>
  <si>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</si>
  <si>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</si>
  <si>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</si>
  <si>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</si>
  <si>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</si>
  <si>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</si>
  <si>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</si>
  <si>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</si>
  <si>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</si>
  <si>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</si>
  <si>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</si>
  <si>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</si>
  <si>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</si>
  <si>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</si>
  <si>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</si>
  <si>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</si>
  <si>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</si>
  <si>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</si>
  <si>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</si>
  <si>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</si>
  <si>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</si>
  <si>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</si>
  <si>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</si>
  <si>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</si>
  <si>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</si>
  <si>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</si>
  <si>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</si>
  <si>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</si>
  <si>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</si>
  <si>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</si>
  <si>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</si>
  <si>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</si>
  <si>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</si>
  <si>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</si>
  <si>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</si>
  <si>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</si>
  <si>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</si>
  <si>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</si>
  <si>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</si>
  <si>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</si>
  <si>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</si>
  <si>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</si>
  <si>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</si>
  <si>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</si>
  <si>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</si>
  <si>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</si>
  <si>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</si>
  <si>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</si>
  <si>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</si>
  <si>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</si>
  <si>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</si>
  <si>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</si>
  <si>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</si>
  <si>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</si>
  <si>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</si>
  <si>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</si>
  <si>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</si>
  <si>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</si>
  <si>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</si>
  <si>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</si>
  <si>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</si>
  <si>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</si>
  <si>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</si>
  <si>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</si>
  <si>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</si>
  <si>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</si>
  <si>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</si>
  <si>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</si>
  <si>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</si>
  <si>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</si>
  <si>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</si>
  <si>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</si>
  <si>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</si>
  <si>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</si>
  <si>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</si>
  <si>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</si>
  <si>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</si>
  <si>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</si>
  <si>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</si>
  <si>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</si>
  <si>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</si>
  <si>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</si>
  <si>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</si>
  <si>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</si>
  <si>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</si>
  <si>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</si>
  <si>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</si>
  <si>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</si>
  <si>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</si>
  <si>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</si>
  <si>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</si>
  <si>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</si>
  <si>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</si>
  <si>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</si>
  <si>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</si>
  <si>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</si>
  <si>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</si>
  <si>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</si>
  <si>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</si>
  <si>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</si>
  <si>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</si>
  <si>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</si>
  <si>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</si>
  <si>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</si>
  <si>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</si>
  <si>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</si>
  <si>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</si>
  <si>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</si>
  <si>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</si>
  <si>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</si>
  <si>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</si>
  <si>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</si>
  <si>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</si>
  <si>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</si>
  <si>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</si>
  <si>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</si>
  <si>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</si>
  <si>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</si>
  <si>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</si>
  <si>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</si>
  <si>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</si>
  <si>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</si>
  <si>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</si>
  <si>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</si>
  <si>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</si>
  <si>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</si>
  <si>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</si>
  <si>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</si>
  <si>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</si>
  <si>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</si>
  <si>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</si>
  <si>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</si>
  <si>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</si>
  <si>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</si>
  <si>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</si>
  <si>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</si>
  <si>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</si>
  <si>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</si>
  <si>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</si>
  <si>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</si>
  <si>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</si>
  <si>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</si>
  <si>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</si>
  <si>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</si>
  <si>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</si>
  <si>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</si>
  <si>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</si>
  <si>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</si>
  <si>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</si>
  <si>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</si>
  <si>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</si>
  <si>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</si>
  <si>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</si>
  <si>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</si>
  <si>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</si>
  <si>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</si>
  <si>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</si>
  <si>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</si>
  <si>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</si>
  <si>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</si>
  <si>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</si>
  <si>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</si>
  <si>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</si>
  <si>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</si>
  <si>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</si>
  <si>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</si>
  <si>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</si>
  <si>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</si>
  <si>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</si>
  <si>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</si>
  <si>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</si>
  <si>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</si>
  <si>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</si>
  <si>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</si>
  <si>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</si>
  <si>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</si>
  <si>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</si>
  <si>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</si>
  <si>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</si>
  <si>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</si>
  <si>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</si>
  <si>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</si>
  <si>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</si>
  <si>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</si>
  <si>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</si>
  <si>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</si>
  <si>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</si>
  <si>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</si>
  <si>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</si>
  <si>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</si>
  <si>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</si>
  <si>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</si>
  <si>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</si>
  <si>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</si>
  <si>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</si>
  <si>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</si>
  <si>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</si>
  <si>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</si>
  <si>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</si>
  <si>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</si>
  <si>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</si>
  <si>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</si>
  <si>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</si>
  <si>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</si>
  <si>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</si>
  <si>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</si>
  <si>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</si>
  <si>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</si>
  <si>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</si>
  <si>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</si>
  <si>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</si>
  <si>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</si>
  <si>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</si>
  <si>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</si>
  <si>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</si>
  <si>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</si>
  <si>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</si>
  <si>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</si>
  <si>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</si>
  <si>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</si>
  <si>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</si>
  <si>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</si>
  <si>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</si>
  <si>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</si>
  <si>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</si>
  <si>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</si>
  <si>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</si>
  <si>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</si>
  <si>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</si>
  <si>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</si>
  <si>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</si>
  <si>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</si>
  <si>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</si>
  <si>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</si>
  <si>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</si>
  <si>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</si>
  <si>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</si>
  <si>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</si>
  <si>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</si>
  <si>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</si>
  <si>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</si>
  <si>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</si>
  <si>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</si>
  <si>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</si>
  <si>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</si>
  <si>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</si>
  <si>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</si>
  <si>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</si>
  <si>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</si>
  <si>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</si>
  <si>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</si>
  <si>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</si>
  <si>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</si>
  <si>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</si>
  <si>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</si>
  <si>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</si>
  <si>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</si>
  <si>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</si>
  <si>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</si>
  <si>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</si>
  <si>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</si>
  <si>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</si>
  <si>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</si>
  <si>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</si>
  <si>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</si>
  <si>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</si>
  <si>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</si>
  <si>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</si>
  <si>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</si>
  <si>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</si>
  <si>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</si>
  <si>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</si>
  <si>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</si>
  <si>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</si>
  <si>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</si>
  <si>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</si>
  <si>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</si>
  <si>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</si>
  <si>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</si>
  <si>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</si>
  <si>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</si>
  <si>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</si>
  <si>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</si>
  <si>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</si>
  <si>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</si>
  <si>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</si>
  <si>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</si>
  <si>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</si>
  <si>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</si>
  <si>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</si>
  <si>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</si>
  <si>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</si>
  <si>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</si>
  <si>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</si>
  <si>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</si>
  <si>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</si>
  <si>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</si>
  <si>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</si>
  <si>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</si>
  <si>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</si>
  <si>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</si>
  <si>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</si>
  <si>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</si>
  <si>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</si>
  <si>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</si>
  <si>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</si>
  <si>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</si>
  <si>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</si>
  <si>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</si>
  <si>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</si>
  <si>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</si>
  <si>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</si>
  <si>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</si>
  <si>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</si>
  <si>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</si>
  <si>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</si>
  <si>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</si>
  <si>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</si>
  <si>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</si>
  <si>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</si>
  <si>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</si>
  <si>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</si>
  <si>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</si>
  <si>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</si>
  <si>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</si>
  <si>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</si>
  <si>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</si>
  <si>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</si>
  <si>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</si>
  <si>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</si>
  <si>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</si>
  <si>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</si>
  <si>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</si>
  <si>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</si>
  <si>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</si>
  <si>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</si>
  <si>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</si>
  <si>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</si>
  <si>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</si>
  <si>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</si>
  <si>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</si>
  <si>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</si>
  <si>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</si>
  <si>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</si>
  <si>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</si>
  <si>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</si>
  <si>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</si>
  <si>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</si>
  <si>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</si>
  <si>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</si>
  <si>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</si>
  <si>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</si>
  <si>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</si>
  <si>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</si>
  <si>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</si>
  <si>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</si>
  <si>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</si>
  <si>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</si>
  <si>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</si>
  <si>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</si>
  <si>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</si>
  <si>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</si>
  <si>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</si>
  <si>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</si>
  <si>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</si>
  <si>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</si>
  <si>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</si>
  <si>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</si>
  <si>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</si>
  <si>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</si>
  <si>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</si>
  <si>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</si>
  <si>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</si>
  <si>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</si>
  <si>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</si>
  <si>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</si>
  <si>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</si>
  <si>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</si>
  <si>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</si>
  <si>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</si>
  <si>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</si>
  <si>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</si>
  <si>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</si>
  <si>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</si>
  <si>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</si>
  <si>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</si>
  <si>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</si>
  <si>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</si>
  <si>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</si>
  <si>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</si>
  <si>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</si>
  <si>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</si>
  <si>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</si>
  <si>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</si>
  <si>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</si>
  <si>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</si>
  <si>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</si>
  <si>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</si>
  <si>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</si>
  <si>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</si>
  <si>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</si>
  <si>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</si>
  <si>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</si>
  <si>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</si>
  <si>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</si>
  <si>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</si>
  <si>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</si>
  <si>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</si>
  <si>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</si>
  <si>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</si>
  <si>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</si>
  <si>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</si>
  <si>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</si>
  <si>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</si>
  <si>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</si>
  <si>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</si>
  <si>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</si>
  <si>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</si>
  <si>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</si>
  <si>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</si>
  <si>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</si>
  <si>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</si>
  <si>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</si>
  <si>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</si>
  <si>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</si>
  <si>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</si>
  <si>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</si>
  <si>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</si>
  <si>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</si>
  <si>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</si>
  <si>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</si>
  <si>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</si>
  <si>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</si>
  <si>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</si>
  <si>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</si>
  <si>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</si>
  <si>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</si>
  <si>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</si>
  <si>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</si>
  <si>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</si>
  <si>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</si>
  <si>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</si>
  <si>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</si>
  <si>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</si>
  <si>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</si>
  <si>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</si>
  <si>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</si>
  <si>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</si>
  <si>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</si>
  <si>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</si>
  <si>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</si>
  <si>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</si>
  <si>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</si>
  <si>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</si>
  <si>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</si>
  <si>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</si>
  <si>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</si>
  <si>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</si>
  <si>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</si>
  <si>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</si>
  <si>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</si>
  <si>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</si>
  <si>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</si>
  <si>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</si>
  <si>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</si>
  <si>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</si>
  <si>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</si>
  <si>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</si>
  <si>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</si>
  <si>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</si>
  <si>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</si>
  <si>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</si>
  <si>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</si>
  <si>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</si>
  <si>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</si>
  <si>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</si>
  <si>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</si>
  <si>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</si>
  <si>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</si>
  <si>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</si>
  <si>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</si>
  <si>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</si>
  <si>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</si>
  <si>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</si>
  <si>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</si>
  <si>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</si>
  <si>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</si>
  <si>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</si>
  <si>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</si>
  <si>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</si>
  <si>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</si>
  <si>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</si>
  <si>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</si>
  <si>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</si>
  <si>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</si>
  <si>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</si>
  <si>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</si>
  <si>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</si>
  <si>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</si>
  <si>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</si>
  <si>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</si>
  <si>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</si>
  <si>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</si>
  <si>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</si>
  <si>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</si>
  <si>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</si>
  <si>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</si>
  <si>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</si>
  <si>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</si>
  <si>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</si>
  <si>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</si>
  <si>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</si>
  <si>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</si>
  <si>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</si>
  <si>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</si>
  <si>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</si>
  <si>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</si>
  <si>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</si>
  <si>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</si>
  <si>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</si>
  <si>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</si>
  <si>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</si>
  <si>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</si>
  <si>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</si>
  <si>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</si>
  <si>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</si>
  <si>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</si>
  <si>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</si>
  <si>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</si>
  <si>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</si>
  <si>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</si>
  <si>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</si>
  <si>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</si>
  <si>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</si>
  <si>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</si>
  <si>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</si>
  <si>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</si>
  <si>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</si>
  <si>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</si>
  <si>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</si>
  <si>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</si>
  <si>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</si>
  <si>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</si>
  <si>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</si>
  <si>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</si>
  <si>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</si>
  <si>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</si>
  <si>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</si>
  <si>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</si>
  <si>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</si>
  <si>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</si>
  <si>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</si>
  <si>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</si>
  <si>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</si>
  <si>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</si>
  <si>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</si>
  <si>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</si>
  <si>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</si>
  <si>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</si>
  <si>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</si>
  <si>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</si>
  <si>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</si>
  <si>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</si>
  <si>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</si>
  <si>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</si>
  <si>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</si>
  <si>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</si>
  <si>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</si>
  <si>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</si>
  <si>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</si>
  <si>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</si>
  <si>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</si>
  <si>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</si>
  <si>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</si>
  <si>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</si>
  <si>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</si>
  <si>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</si>
  <si>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</si>
  <si>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</si>
  <si>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</si>
  <si>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</si>
  <si>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</si>
  <si>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</si>
  <si>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</si>
  <si>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</si>
  <si>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</si>
  <si>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</si>
  <si>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</si>
  <si>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</si>
  <si>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</si>
  <si>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</si>
  <si>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</si>
  <si>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</si>
  <si>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</si>
  <si>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</si>
  <si>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</si>
  <si>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</si>
  <si>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</si>
  <si>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</si>
  <si>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</si>
  <si>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</si>
  <si>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</si>
  <si>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</si>
  <si>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</si>
  <si>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</si>
  <si>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</si>
  <si>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</si>
  <si>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</si>
  <si>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</si>
  <si>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</si>
  <si>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</si>
  <si>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</si>
  <si>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</si>
  <si>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</si>
  <si>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</si>
  <si>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</si>
  <si>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</si>
  <si>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</si>
  <si>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</si>
  <si>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</si>
  <si>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</si>
  <si>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</si>
  <si>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</si>
  <si>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</si>
  <si>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</si>
  <si>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</si>
  <si>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</si>
  <si>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</si>
  <si>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</si>
  <si>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</si>
  <si>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</si>
  <si>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</si>
  <si>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</si>
  <si>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</si>
  <si>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</si>
  <si>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</si>
  <si>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</si>
  <si>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</si>
  <si>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</si>
  <si>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</si>
  <si>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</si>
  <si>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</si>
  <si>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</si>
  <si>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</si>
  <si>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</si>
  <si>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</si>
  <si>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</si>
  <si>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</si>
  <si>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</si>
  <si>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</si>
  <si>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</si>
  <si>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</si>
  <si>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</si>
  <si>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</si>
  <si>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</si>
  <si>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</si>
  <si>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</si>
  <si>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</si>
  <si>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</si>
  <si>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</si>
  <si>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</si>
  <si>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</si>
  <si>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</si>
  <si>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</si>
  <si>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</si>
  <si>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</si>
  <si>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</si>
  <si>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</si>
  <si>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</si>
  <si>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</si>
  <si>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</si>
  <si>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</si>
  <si>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</si>
  <si>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</si>
  <si>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</si>
  <si>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</si>
  <si>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</si>
  <si>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</si>
  <si>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</si>
  <si>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</si>
  <si>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</si>
  <si>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</si>
  <si>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</si>
  <si>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</si>
  <si>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</si>
  <si>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</si>
  <si>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</si>
  <si>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</si>
  <si>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</si>
  <si>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</si>
  <si>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</si>
  <si>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</si>
  <si>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</si>
  <si>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</si>
  <si>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</si>
  <si>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</si>
  <si>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</si>
  <si>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</si>
  <si>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</si>
  <si>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</si>
  <si>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</si>
  <si>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</si>
  <si>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</si>
  <si>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</si>
  <si>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</si>
  <si>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</si>
  <si>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</si>
  <si>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</si>
  <si>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</si>
  <si>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</si>
  <si>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</si>
  <si>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</si>
  <si>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</si>
  <si>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</si>
  <si>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</si>
  <si>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</si>
  <si>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</si>
  <si>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</si>
  <si>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</si>
  <si>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</si>
  <si>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</si>
  <si>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</si>
  <si>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</si>
  <si>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</si>
  <si>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</si>
  <si>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</si>
  <si>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</si>
  <si>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</si>
  <si>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</si>
  <si>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</si>
  <si>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</si>
  <si>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</si>
  <si>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</si>
  <si>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</si>
  <si>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</si>
  <si>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</si>
  <si>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</si>
  <si>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</si>
  <si>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</si>
  <si>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</si>
  <si>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</si>
  <si>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</si>
  <si>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</si>
  <si>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</si>
  <si>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</si>
  <si>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</si>
  <si>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</si>
  <si>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</si>
  <si>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</si>
  <si>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</si>
  <si>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</si>
  <si>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</si>
  <si>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</si>
  <si>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</si>
  <si>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</si>
  <si>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</si>
  <si>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</si>
  <si>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</si>
  <si>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</si>
  <si>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</si>
  <si>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</si>
  <si>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</si>
  <si>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</si>
  <si>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</si>
  <si>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</si>
  <si>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</si>
  <si>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</si>
  <si>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</si>
  <si>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</si>
  <si>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</si>
  <si>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</si>
  <si>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</si>
  <si>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</si>
  <si>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</si>
  <si>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</si>
  <si>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</si>
  <si>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</si>
  <si>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</si>
  <si>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</si>
  <si>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</si>
  <si>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</si>
  <si>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</si>
  <si>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</si>
  <si>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</si>
  <si>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</si>
  <si>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</si>
  <si>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</si>
  <si>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</si>
  <si>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</si>
  <si>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</si>
  <si>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</si>
  <si>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</si>
  <si>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</si>
  <si>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</si>
  <si>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</si>
  <si>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</si>
  <si>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</si>
  <si>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</si>
  <si>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</si>
  <si>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</si>
  <si>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</si>
  <si>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</si>
  <si>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</si>
  <si>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</si>
  <si>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</si>
  <si>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</si>
  <si>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</si>
  <si>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</si>
  <si>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</si>
  <si>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</si>
  <si>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</si>
  <si>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</si>
  <si>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</si>
  <si>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</si>
  <si>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</si>
  <si>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</si>
  <si>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</si>
  <si>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</si>
  <si>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</si>
  <si>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</si>
  <si>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</si>
  <si>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</si>
  <si>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</si>
  <si>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</si>
  <si>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</si>
  <si>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</si>
  <si>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</si>
  <si>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</si>
  <si>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</si>
  <si>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</si>
  <si>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</si>
  <si>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</si>
  <si>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</si>
  <si>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</si>
  <si>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</si>
  <si>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</si>
  <si>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</si>
  <si>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</si>
  <si>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</si>
  <si>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</si>
  <si>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</si>
  <si>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</si>
  <si>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</si>
  <si>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</si>
  <si>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</si>
  <si>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</si>
  <si>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</si>
  <si>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</si>
  <si>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</si>
  <si>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</si>
  <si>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</si>
  <si>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</si>
  <si>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</si>
  <si>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</si>
  <si>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</si>
  <si>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</si>
  <si>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</si>
  <si>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</si>
  <si>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</si>
  <si>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</si>
  <si>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</si>
  <si>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</si>
  <si>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</si>
  <si>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</si>
  <si>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</si>
  <si>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</si>
  <si>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</si>
  <si>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</si>
  <si>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</si>
  <si>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</si>
  <si>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</si>
  <si>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</si>
  <si>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</si>
  <si>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</si>
  <si>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</si>
  <si>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</si>
  <si>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</si>
  <si>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</si>
  <si>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</si>
  <si>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</si>
  <si>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</si>
  <si>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</si>
  <si>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</si>
  <si>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</si>
  <si>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</si>
  <si>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</si>
  <si>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</si>
  <si>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</si>
  <si>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</si>
  <si>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</si>
  <si>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</si>
  <si>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</si>
  <si>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</si>
  <si>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</si>
  <si>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</si>
  <si>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</si>
  <si>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</si>
  <si>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</si>
  <si>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</si>
  <si>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</si>
  <si>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</si>
  <si>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</si>
  <si>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</si>
  <si>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</si>
  <si>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</si>
  <si>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</si>
  <si>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</si>
  <si>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</si>
  <si>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</si>
  <si>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</si>
  <si>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</si>
  <si>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</si>
  <si>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</si>
  <si>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</si>
  <si>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</si>
  <si>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</si>
  <si>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</si>
  <si>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</si>
  <si>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</si>
  <si>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</si>
  <si>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</si>
  <si>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</si>
  <si>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</si>
  <si>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</si>
  <si>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</si>
  <si>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</si>
  <si>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</si>
  <si>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</si>
  <si>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</si>
  <si>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</si>
  <si>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</si>
  <si>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</si>
  <si>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</si>
  <si>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</si>
  <si>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</si>
  <si>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</si>
  <si>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</si>
  <si>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</si>
  <si>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</si>
  <si>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</si>
  <si>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</si>
  <si>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</si>
  <si>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</si>
  <si>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</si>
  <si>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</si>
  <si>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</si>
  <si>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</si>
  <si>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</si>
  <si>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</si>
  <si>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</si>
  <si>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</si>
  <si>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</si>
  <si>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</si>
  <si>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</si>
  <si>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</si>
  <si>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</si>
  <si>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</si>
  <si>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</si>
  <si>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</si>
  <si>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</si>
  <si>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</si>
  <si>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</si>
  <si>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</si>
  <si>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</si>
  <si>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</si>
  <si>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</si>
  <si>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</si>
  <si>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</si>
  <si>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</si>
  <si>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</si>
  <si>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</si>
  <si>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</si>
  <si>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</si>
  <si>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</si>
  <si>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</si>
  <si>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</si>
  <si>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</si>
  <si>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</si>
  <si>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</si>
  <si>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</si>
  <si>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</si>
  <si>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</si>
  <si>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</si>
  <si>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</si>
  <si>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</si>
  <si>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</si>
  <si>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</si>
  <si>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</si>
  <si>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</si>
  <si>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</si>
  <si>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</si>
  <si>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</si>
  <si>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</si>
  <si>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</si>
  <si>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</si>
  <si>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</si>
  <si>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</si>
  <si>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</si>
  <si>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</si>
  <si>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</si>
  <si>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</si>
  <si>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</si>
  <si>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</si>
  <si>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</si>
  <si>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</si>
  <si>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</si>
  <si>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</si>
  <si>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</si>
  <si>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</si>
  <si>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</si>
  <si>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</si>
  <si>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</si>
  <si>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</si>
  <si>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</si>
  <si>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</si>
  <si>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</si>
  <si>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</si>
  <si>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</si>
  <si>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</si>
  <si>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</si>
  <si>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</si>
  <si>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</si>
  <si>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</si>
  <si>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</si>
  <si>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</si>
  <si>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</si>
  <si>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</si>
  <si>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</si>
  <si>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</si>
  <si>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</si>
  <si>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</si>
  <si>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</si>
  <si>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</si>
  <si>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</si>
  <si>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</si>
  <si>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</si>
  <si>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</si>
  <si>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</si>
  <si>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</si>
  <si>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</si>
  <si>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</si>
  <si>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</si>
  <si>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</si>
  <si>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</si>
  <si>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</si>
  <si>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</si>
  <si>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</si>
  <si>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</si>
  <si>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</si>
  <si>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</si>
  <si>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</si>
  <si>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</si>
  <si>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</si>
  <si>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</si>
  <si>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</si>
  <si>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</si>
  <si>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</si>
  <si>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</si>
  <si>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</si>
  <si>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</si>
  <si>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</si>
  <si>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</si>
  <si>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</si>
  <si>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</si>
  <si>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</si>
  <si>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</si>
  <si>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</si>
  <si>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</si>
  <si>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</si>
  <si>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</si>
  <si>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</si>
  <si>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</si>
  <si>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</si>
  <si>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</si>
  <si>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</si>
  <si>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</si>
  <si>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</si>
  <si>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</si>
  <si>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</si>
  <si>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</si>
  <si>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</si>
  <si>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</si>
  <si>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</si>
  <si>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</si>
  <si>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</si>
  <si>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</si>
  <si>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</si>
  <si>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</si>
  <si>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</si>
  <si>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</si>
  <si>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</si>
  <si>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</si>
  <si>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</si>
  <si>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</si>
  <si>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</si>
  <si>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</si>
  <si>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</si>
  <si>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</si>
  <si>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</si>
  <si>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</si>
  <si>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</si>
  <si>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</si>
  <si>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</si>
  <si>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</si>
  <si>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</si>
  <si>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</si>
  <si>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</si>
  <si>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</si>
  <si>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</si>
  <si>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</si>
  <si>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</si>
  <si>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</si>
  <si>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</si>
  <si>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</si>
  <si>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</si>
  <si>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</si>
  <si>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</si>
  <si>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</si>
  <si>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</si>
  <si>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</si>
  <si>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</si>
  <si>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</si>
  <si>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</si>
  <si>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</si>
  <si>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</si>
  <si>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</si>
  <si>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</si>
  <si>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</si>
  <si>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</si>
  <si>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</si>
  <si>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</si>
  <si>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</si>
  <si>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</si>
  <si>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</si>
  <si>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</si>
  <si>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</si>
  <si>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</si>
  <si>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</si>
  <si>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</si>
  <si>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</si>
  <si>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</si>
  <si>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</si>
  <si>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</si>
  <si>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</si>
  <si>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</si>
  <si>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</si>
  <si>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</si>
  <si>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</si>
  <si>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</si>
  <si>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</si>
  <si>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</si>
  <si>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</si>
  <si>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</si>
  <si>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</si>
  <si>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</si>
  <si>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</si>
  <si>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</si>
  <si>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</si>
  <si>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</si>
  <si>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</si>
  <si>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</si>
  <si>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</si>
  <si>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</si>
  <si>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</si>
  <si>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</si>
  <si>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</si>
  <si>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</si>
  <si>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</si>
  <si>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</si>
  <si>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</si>
  <si>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</si>
  <si>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</si>
  <si>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</si>
  <si>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</si>
  <si>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</si>
  <si>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</si>
  <si>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</si>
  <si>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</si>
  <si>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</si>
  <si>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</si>
  <si>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</si>
  <si>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</si>
  <si>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</si>
  <si>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</si>
  <si>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</si>
  <si>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</si>
  <si>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</si>
  <si>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</si>
  <si>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</si>
  <si>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</si>
  <si>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</si>
  <si>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</si>
  <si>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</si>
  <si>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</si>
  <si>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</si>
  <si>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</si>
  <si>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</si>
  <si>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</si>
  <si>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</si>
  <si>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</si>
  <si>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</si>
  <si>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</si>
  <si>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</si>
  <si>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</si>
  <si>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</si>
  <si>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</si>
  <si>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</si>
  <si>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</si>
  <si>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</si>
  <si>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</si>
  <si>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</si>
  <si>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</si>
  <si>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</si>
  <si>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</si>
  <si>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</si>
  <si>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</si>
  <si>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</si>
  <si>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</si>
  <si>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</si>
  <si>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</si>
  <si>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</si>
  <si>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</si>
  <si>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</si>
  <si>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</si>
  <si>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</si>
  <si>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</si>
  <si>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</si>
  <si>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</si>
  <si>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</si>
  <si>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</si>
  <si>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</si>
  <si>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</si>
  <si>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</si>
  <si>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</si>
  <si>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</si>
  <si>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</si>
  <si>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</si>
  <si>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</si>
  <si>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</si>
  <si>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</si>
  <si>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</si>
  <si>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</si>
  <si>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</si>
  <si>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</si>
  <si>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</si>
  <si>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</si>
  <si>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</si>
  <si>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</si>
  <si>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</si>
  <si>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</si>
  <si>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</si>
  <si>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</si>
  <si>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</si>
  <si>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</si>
  <si>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</si>
  <si>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</si>
  <si>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</si>
  <si>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</si>
  <si>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</si>
  <si>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</si>
  <si>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</si>
  <si>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</si>
  <si>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</si>
  <si>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</si>
  <si>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</si>
  <si>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</si>
  <si>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</si>
  <si>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</si>
  <si>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</si>
  <si>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</si>
  <si>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</si>
  <si>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</si>
  <si>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</si>
  <si>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</si>
  <si>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</si>
  <si>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</si>
  <si>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</si>
  <si>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</si>
  <si>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</si>
  <si>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</si>
  <si>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</si>
  <si>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</si>
  <si>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</si>
  <si>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</si>
  <si>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</si>
  <si>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</si>
  <si>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</si>
  <si>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</si>
  <si>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</si>
  <si>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</si>
  <si>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</si>
  <si>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</si>
  <si>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</si>
  <si>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</si>
  <si>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</si>
  <si>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</si>
  <si>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</si>
  <si>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</si>
  <si>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</si>
  <si>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</si>
  <si>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</si>
  <si>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</si>
  <si>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</si>
  <si>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</si>
  <si>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</si>
  <si>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</si>
  <si>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</si>
  <si>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</si>
  <si>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</si>
  <si>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</si>
  <si>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</si>
  <si>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</si>
  <si>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</si>
  <si>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</si>
  <si>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</si>
  <si>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</si>
  <si>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</si>
  <si>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</si>
  <si>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</si>
  <si>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</si>
  <si>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</si>
  <si>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</si>
  <si>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</si>
  <si>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</si>
  <si>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</si>
  <si>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</si>
  <si>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</si>
  <si>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</si>
  <si>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</si>
  <si>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</si>
  <si>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</si>
  <si>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</si>
  <si>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</si>
  <si>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</si>
  <si>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</si>
  <si>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</si>
  <si>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</si>
  <si>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</si>
  <si>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</si>
  <si>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</si>
  <si>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</si>
  <si>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</si>
  <si>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</si>
  <si>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</si>
  <si>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</si>
  <si>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</si>
  <si>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</si>
  <si>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</si>
  <si>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</si>
  <si>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</si>
  <si>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</si>
  <si>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</si>
  <si>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</si>
  <si>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</si>
  <si>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</si>
  <si>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</si>
  <si>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</si>
  <si>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</si>
  <si>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</si>
  <si>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</si>
  <si>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</si>
  <si>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</si>
  <si>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</si>
  <si>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</si>
  <si>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</si>
  <si>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</si>
  <si>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</si>
  <si>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</si>
  <si>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</si>
  <si>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</si>
  <si>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</si>
  <si>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</si>
  <si>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</si>
  <si>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</si>
  <si>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</si>
  <si>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</si>
  <si>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</si>
  <si>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</si>
  <si>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</si>
  <si>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</si>
  <si>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</si>
  <si>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</si>
  <si>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</si>
  <si>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</si>
  <si>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</si>
  <si>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</si>
  <si>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</si>
  <si>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</si>
  <si>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</si>
  <si>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</si>
  <si>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</si>
  <si>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</si>
  <si>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</si>
  <si>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</si>
  <si>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</si>
  <si>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</si>
  <si>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</si>
  <si>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</si>
  <si>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</si>
  <si>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</si>
  <si>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</si>
  <si>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</si>
  <si>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</si>
  <si>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</si>
  <si>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</si>
  <si>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</si>
  <si>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</si>
  <si>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</si>
  <si>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</si>
  <si>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</si>
  <si>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</si>
  <si>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</si>
  <si>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</si>
  <si>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</si>
  <si>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</si>
  <si>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</si>
  <si>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</si>
  <si>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</si>
  <si>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</si>
  <si>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</si>
  <si>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</si>
  <si>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</si>
  <si>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</si>
  <si>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</si>
  <si>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</si>
  <si>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</si>
  <si>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</si>
  <si>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</si>
  <si>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</si>
  <si>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</si>
  <si>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</si>
  <si>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</si>
  <si>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</si>
  <si>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</si>
  <si>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</si>
  <si>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</si>
  <si>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</si>
  <si>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</si>
  <si>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</si>
  <si>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</si>
  <si>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</si>
  <si>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</si>
  <si>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</si>
  <si>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</si>
  <si>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</si>
  <si>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</si>
  <si>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</si>
  <si>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</si>
  <si>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</si>
  <si>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</si>
  <si>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</si>
  <si>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</si>
  <si>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</si>
  <si>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</si>
  <si>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</si>
  <si>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</si>
  <si>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</si>
  <si>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</si>
  <si>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</si>
  <si>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</si>
  <si>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</si>
  <si>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</si>
  <si>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</si>
  <si>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</si>
  <si>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</si>
  <si>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</si>
  <si>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</si>
  <si>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</si>
  <si>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</si>
  <si>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</si>
  <si>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</si>
  <si>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</si>
  <si>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</si>
  <si>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</si>
  <si>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</si>
  <si>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</si>
  <si>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</si>
  <si>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</si>
  <si>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</si>
  <si>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</si>
  <si>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</si>
  <si>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</si>
  <si>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</si>
  <si>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</si>
  <si>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</si>
  <si>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</si>
  <si>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</si>
  <si>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</si>
  <si>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</si>
  <si>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</si>
  <si>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</si>
  <si>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</si>
  <si>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</si>
  <si>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</si>
  <si>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</si>
  <si>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</si>
  <si>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</si>
  <si>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</si>
  <si>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</si>
  <si>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</si>
  <si>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</si>
  <si>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</si>
  <si>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</si>
  <si>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</si>
  <si>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</si>
  <si>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</si>
  <si>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</si>
  <si>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</si>
  <si>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</si>
  <si>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</si>
  <si>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</si>
  <si>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</si>
  <si>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</si>
  <si>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</si>
  <si>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</si>
  <si>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</si>
  <si>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</si>
  <si>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</si>
  <si>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</si>
  <si>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</si>
  <si>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</si>
  <si>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</si>
  <si>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</si>
  <si>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</si>
  <si>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</si>
  <si>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</si>
  <si>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</si>
  <si>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</si>
  <si>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</si>
  <si>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</si>
  <si>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</si>
  <si>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</si>
  <si>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</si>
  <si>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</si>
  <si>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</si>
  <si>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</si>
  <si>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</si>
  <si>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</si>
  <si>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</si>
  <si>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</si>
  <si>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</si>
  <si>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</si>
  <si>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</si>
  <si>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</si>
  <si>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</si>
  <si>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</si>
  <si>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</si>
  <si>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</si>
  <si>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</si>
  <si>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</si>
  <si>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</si>
  <si>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</si>
  <si>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</si>
  <si>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</si>
  <si>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</si>
  <si>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</si>
  <si>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</si>
  <si>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</si>
  <si>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</si>
  <si>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</si>
  <si>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</si>
  <si>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</si>
  <si>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</si>
  <si>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</si>
  <si>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</si>
  <si>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</si>
  <si>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</si>
  <si>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</si>
  <si>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</si>
  <si>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</si>
  <si>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</si>
  <si>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</si>
  <si>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</si>
  <si>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</si>
  <si>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</si>
  <si>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</si>
  <si>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</si>
  <si>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</si>
  <si>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</si>
  <si>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</si>
  <si>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</si>
  <si>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</si>
  <si>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</si>
  <si>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</si>
  <si>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</si>
  <si>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</si>
  <si>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</si>
  <si>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</si>
  <si>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</si>
  <si>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</si>
  <si>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</si>
  <si>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</si>
  <si>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</si>
  <si>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</si>
  <si>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</si>
  <si>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</si>
  <si>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</si>
  <si>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</si>
  <si>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</si>
  <si>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</si>
  <si>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</si>
  <si>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</si>
  <si>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</si>
  <si>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</si>
  <si>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</si>
  <si>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</si>
  <si>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</si>
  <si>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</si>
  <si>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</si>
  <si>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</si>
  <si>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</si>
  <si>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</si>
  <si>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</si>
  <si>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</si>
  <si>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</si>
  <si>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</si>
  <si>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</si>
  <si>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</si>
  <si>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</si>
  <si>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</si>
  <si>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</si>
  <si>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</si>
  <si>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</si>
  <si>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</si>
  <si>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</si>
  <si>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</si>
  <si>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</si>
  <si>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</si>
  <si>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</si>
  <si>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</si>
  <si>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</si>
  <si>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</si>
  <si>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</si>
  <si>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</si>
  <si>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</si>
  <si>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</si>
  <si>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</si>
  <si>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</si>
  <si>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</si>
  <si>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</si>
  <si>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</si>
  <si>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</si>
  <si>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</si>
  <si>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</si>
  <si>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</si>
  <si>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</si>
  <si>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</si>
  <si>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</si>
  <si>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</si>
  <si>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</si>
  <si>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</si>
  <si>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</si>
  <si>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</si>
  <si>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</si>
  <si>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</si>
  <si>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</si>
  <si>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</si>
  <si>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</si>
  <si>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</si>
  <si>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</si>
  <si>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</si>
  <si>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</si>
  <si>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</si>
  <si>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</si>
  <si>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</si>
  <si>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</si>
  <si>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</si>
  <si>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</si>
  <si>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</si>
  <si>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</si>
  <si>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</si>
  <si>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</si>
  <si>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</si>
  <si>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</si>
  <si>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</si>
  <si>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</si>
  <si>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</si>
  <si>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</si>
  <si>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</si>
  <si>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</si>
  <si>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</si>
  <si>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</si>
  <si>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</si>
  <si>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</si>
  <si>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</si>
  <si>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</si>
  <si>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</si>
  <si>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</si>
  <si>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</si>
  <si>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</si>
  <si>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</si>
  <si>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</si>
  <si>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</si>
  <si>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</si>
  <si>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</si>
  <si>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</si>
  <si>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</si>
  <si>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</si>
  <si>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</si>
  <si>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</si>
  <si>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</si>
  <si>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</si>
  <si>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</si>
  <si>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</si>
  <si>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</si>
  <si>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</si>
  <si>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</si>
  <si>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</si>
  <si>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</si>
  <si>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</si>
  <si>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</si>
  <si>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</si>
  <si>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</si>
  <si>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</si>
  <si>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</si>
  <si>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</si>
  <si>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</si>
  <si>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</si>
  <si>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</si>
  <si>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</si>
  <si>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</si>
  <si>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</si>
  <si>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</si>
  <si>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</si>
  <si>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</si>
  <si>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</si>
  <si>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</si>
  <si>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</si>
  <si>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</si>
  <si>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</si>
  <si>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</si>
  <si>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</si>
  <si>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</si>
  <si>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</si>
  <si>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</si>
  <si>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</si>
  <si>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</si>
  <si>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</si>
  <si>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</si>
  <si>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</si>
  <si>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</si>
  <si>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</si>
  <si>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</si>
  <si>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</si>
  <si>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</si>
  <si>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</si>
  <si>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</si>
  <si>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</si>
  <si>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</si>
  <si>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</si>
  <si>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</si>
  <si>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</si>
  <si>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</si>
  <si>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</si>
  <si>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</si>
  <si>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</si>
  <si>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</si>
  <si>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</si>
  <si>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</si>
  <si>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</si>
  <si>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</si>
  <si>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</si>
  <si>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</si>
  <si>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</si>
  <si>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</si>
  <si>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</si>
  <si>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</si>
  <si>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</si>
  <si>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</si>
  <si>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</si>
  <si>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</si>
  <si>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</si>
  <si>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</si>
  <si>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</si>
  <si>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</si>
  <si>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</si>
  <si>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</si>
  <si>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</si>
  <si>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</si>
  <si>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</si>
  <si>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</si>
  <si>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</si>
  <si>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</si>
  <si>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</si>
  <si>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</si>
  <si>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</si>
  <si>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</si>
  <si>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</si>
  <si>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</si>
  <si>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</si>
  <si>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</si>
  <si>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</si>
  <si>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</si>
  <si>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</si>
  <si>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</si>
  <si>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</si>
  <si>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</si>
  <si>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</si>
  <si>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</si>
  <si>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</si>
  <si>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</si>
  <si>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</si>
  <si>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</si>
  <si>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</si>
  <si>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</si>
  <si>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</si>
  <si>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</si>
  <si>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</si>
  <si>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</si>
  <si>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</si>
  <si>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</si>
  <si>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</si>
  <si>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</si>
  <si>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</si>
  <si>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</si>
  <si>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</si>
  <si>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</si>
  <si>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</si>
  <si>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</si>
  <si>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</si>
  <si>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</si>
  <si>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</si>
  <si>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</si>
  <si>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</si>
  <si>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</si>
  <si>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</si>
  <si>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</si>
  <si>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</si>
  <si>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</si>
  <si>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</si>
  <si>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</si>
  <si>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</si>
  <si>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</si>
  <si>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</si>
  <si>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</si>
  <si>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</si>
  <si>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</si>
  <si>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</si>
  <si>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</si>
  <si>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</si>
  <si>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</si>
  <si>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</si>
  <si>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</si>
  <si>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</si>
  <si>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</si>
  <si>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</si>
  <si>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</si>
  <si>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</si>
  <si>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</si>
  <si>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</si>
  <si>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</si>
  <si>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</si>
  <si>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</si>
  <si>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</si>
  <si>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</si>
  <si>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</si>
  <si>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</si>
  <si>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</si>
  <si>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</si>
  <si>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</si>
  <si>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</si>
  <si>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</si>
  <si>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</si>
  <si>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</si>
  <si>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</si>
  <si>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</si>
  <si>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</si>
  <si>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</si>
  <si>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</si>
  <si>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</si>
  <si>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</si>
  <si>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</si>
  <si>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</si>
  <si>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</si>
  <si>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</si>
  <si>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</si>
  <si>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</si>
  <si>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</si>
  <si>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</si>
  <si>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</si>
  <si>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</si>
  <si>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</si>
  <si>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</si>
  <si>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</si>
  <si>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</si>
  <si>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</si>
  <si>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</si>
  <si>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</si>
  <si>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</si>
  <si>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</si>
  <si>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</si>
  <si>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</si>
  <si>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</si>
  <si>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</si>
  <si>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</si>
  <si>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</si>
  <si>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</si>
  <si>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</si>
  <si>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</si>
  <si>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</si>
  <si>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</si>
  <si>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</si>
  <si>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</si>
  <si>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</si>
  <si>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</si>
  <si>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</si>
  <si>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</si>
  <si>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</si>
  <si>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</si>
  <si>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</si>
  <si>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</si>
  <si>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</si>
  <si>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</si>
  <si>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</si>
  <si>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</si>
  <si>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</si>
  <si>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</si>
  <si>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</si>
  <si>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</si>
  <si>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</si>
  <si>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</si>
  <si>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</si>
  <si>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</si>
  <si>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</si>
  <si>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</si>
  <si>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</si>
  <si>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</si>
  <si>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</si>
  <si>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</si>
  <si>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</si>
  <si>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</si>
  <si>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</si>
  <si>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</si>
  <si>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</si>
  <si>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</si>
  <si>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</si>
  <si>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</si>
  <si>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</si>
  <si>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</si>
  <si>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</si>
  <si>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</si>
  <si>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</si>
  <si>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</si>
  <si>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</si>
  <si>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</si>
  <si>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</si>
  <si>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</si>
  <si>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</si>
  <si>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</si>
  <si>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</si>
  <si>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</si>
  <si>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</si>
  <si>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</si>
  <si>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</si>
  <si>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</si>
  <si>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</si>
  <si>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</si>
  <si>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</si>
  <si>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</si>
  <si>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</si>
  <si>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</si>
  <si>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</si>
  <si>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</si>
  <si>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</si>
  <si>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</si>
  <si>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</si>
  <si>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</si>
  <si>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</si>
  <si>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</si>
  <si>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</si>
  <si>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</si>
  <si>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</si>
  <si>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</si>
  <si>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</si>
  <si>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</si>
  <si>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</si>
  <si>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</si>
  <si>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</si>
  <si>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</si>
  <si>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</si>
  <si>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</si>
  <si>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</si>
  <si>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</si>
  <si>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</si>
  <si>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</si>
  <si>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</si>
  <si>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</si>
  <si>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</si>
  <si>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</si>
  <si>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</si>
  <si>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</si>
  <si>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</si>
  <si>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</si>
  <si>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</si>
  <si>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</si>
  <si>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</si>
  <si>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</si>
  <si>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</si>
  <si>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</si>
  <si>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</si>
  <si>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</si>
  <si>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</si>
  <si>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</si>
  <si>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</si>
  <si>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</si>
  <si>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</si>
  <si>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</si>
  <si>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</si>
  <si>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</si>
  <si>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</si>
  <si>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</si>
  <si>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</si>
  <si>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</si>
  <si>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</si>
  <si>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</si>
  <si>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</si>
  <si>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</si>
  <si>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</si>
  <si>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</si>
  <si>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</si>
  <si>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</si>
  <si>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</si>
  <si>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</si>
  <si>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</si>
  <si>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</si>
  <si>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</si>
  <si>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</si>
  <si>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</si>
  <si>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</si>
  <si>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</si>
  <si>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</si>
  <si>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</si>
  <si>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</si>
  <si>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</si>
  <si>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</si>
  <si>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</si>
  <si>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</si>
  <si>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</si>
  <si>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</si>
  <si>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</si>
  <si>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</si>
  <si>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</si>
  <si>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</si>
  <si>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</si>
  <si>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</si>
  <si>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</si>
  <si>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</si>
  <si>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</si>
  <si>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</si>
  <si>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</si>
  <si>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</si>
  <si>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</si>
  <si>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</si>
  <si>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</si>
  <si>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</si>
  <si>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</si>
  <si>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</si>
  <si>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</si>
  <si>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</si>
  <si>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</si>
  <si>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</si>
  <si>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</si>
  <si>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</si>
  <si>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</si>
  <si>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</si>
  <si>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</si>
  <si>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</si>
  <si>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</si>
  <si>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</si>
  <si>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</si>
  <si>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</si>
  <si>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</si>
  <si>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</si>
  <si>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</si>
  <si>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</si>
  <si>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</si>
  <si>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</si>
  <si>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</si>
  <si>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</si>
  <si>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</si>
  <si>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</si>
  <si>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</si>
  <si>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</si>
  <si>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</si>
  <si>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</si>
  <si>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</si>
  <si>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</si>
  <si>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</si>
  <si>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</si>
  <si>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</si>
  <si>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</si>
  <si>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</si>
  <si>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</si>
  <si>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</si>
  <si>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</si>
  <si>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</si>
  <si>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</si>
  <si>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</si>
  <si>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</si>
  <si>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</si>
  <si>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</si>
  <si>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</si>
  <si>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</si>
  <si>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</si>
  <si>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</si>
  <si>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</si>
  <si>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</si>
  <si>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</si>
  <si>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</si>
  <si>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</si>
  <si>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</si>
  <si>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</si>
  <si>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</si>
  <si>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</si>
  <si>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</si>
  <si>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</si>
  <si>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</si>
  <si>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</si>
  <si>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</si>
  <si>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</si>
  <si>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</si>
  <si>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</si>
  <si>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</si>
  <si>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</si>
  <si>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</si>
  <si>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</si>
  <si>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</si>
  <si>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</si>
  <si>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</si>
  <si>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</si>
  <si>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</si>
  <si>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</si>
  <si>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</si>
  <si>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</si>
  <si>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</si>
  <si>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</si>
  <si>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</si>
  <si>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</si>
  <si>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</si>
  <si>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</si>
  <si>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</si>
  <si>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</si>
  <si>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</si>
  <si>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</si>
  <si>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</si>
  <si>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</si>
  <si>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</si>
  <si>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</si>
  <si>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</si>
  <si>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</si>
  <si>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</si>
  <si>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</si>
  <si>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</si>
  <si>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</si>
  <si>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</si>
  <si>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</si>
  <si>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</si>
  <si>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</si>
  <si>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</si>
  <si>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</si>
  <si>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</si>
  <si>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</si>
  <si>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</si>
  <si>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</si>
  <si>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</si>
  <si>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</si>
  <si>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</si>
  <si>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</si>
  <si>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</si>
  <si>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</si>
  <si>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</si>
  <si>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</si>
  <si>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</si>
  <si>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</si>
  <si>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</si>
  <si>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</si>
  <si>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</si>
  <si>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</si>
  <si>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</si>
  <si>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</si>
  <si>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</si>
  <si>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</si>
  <si>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</si>
  <si>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</si>
  <si>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</si>
  <si>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</si>
  <si>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</si>
  <si>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</si>
  <si>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</si>
  <si>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</si>
  <si>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</si>
  <si>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</si>
  <si>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</si>
  <si>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</si>
  <si>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</si>
  <si>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</si>
  <si>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</si>
  <si>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</si>
  <si>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</si>
  <si>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</si>
  <si>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</si>
  <si>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</si>
  <si>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</si>
  <si>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</si>
  <si>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</si>
  <si>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</si>
  <si>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</si>
  <si>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</si>
  <si>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</si>
  <si>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</si>
  <si>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</si>
  <si>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</si>
  <si>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</si>
  <si>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</si>
  <si>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</si>
  <si>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</si>
  <si>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</si>
  <si>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</si>
  <si>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</si>
  <si>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</si>
  <si>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</si>
  <si>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</si>
  <si>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</si>
  <si>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</si>
  <si>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</si>
  <si>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</si>
  <si>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</si>
  <si>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</si>
  <si>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</si>
  <si>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</si>
  <si>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</si>
  <si>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</si>
  <si>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</si>
  <si>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</si>
  <si>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</si>
  <si>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</si>
  <si>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</si>
  <si>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</si>
  <si>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</si>
  <si>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</si>
  <si>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</si>
  <si>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</si>
  <si>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</si>
  <si>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</si>
  <si>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</si>
  <si>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</si>
  <si>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</si>
  <si>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</si>
  <si>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</si>
  <si>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</si>
  <si>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</si>
  <si>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</si>
  <si>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</si>
  <si>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</si>
  <si>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</si>
  <si>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</si>
  <si>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</si>
  <si>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</si>
  <si>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</si>
  <si>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</si>
  <si>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</si>
  <si>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</si>
  <si>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</si>
  <si>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</si>
  <si>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</si>
  <si>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</si>
  <si>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</si>
  <si>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</si>
  <si>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</si>
  <si>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</si>
  <si>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</si>
  <si>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</si>
  <si>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</si>
  <si>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</si>
  <si>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</si>
  <si>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</si>
  <si>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</si>
  <si>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</si>
  <si>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</si>
  <si>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</si>
  <si>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</si>
  <si>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</si>
  <si>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</si>
  <si>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</si>
  <si>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</si>
  <si>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</si>
  <si>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</si>
  <si>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</si>
  <si>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</si>
  <si>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</si>
  <si>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</si>
  <si>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</si>
  <si>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</si>
  <si>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</si>
  <si>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</si>
  <si>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</si>
  <si>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</si>
  <si>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</si>
  <si>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</si>
  <si>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</si>
  <si>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</si>
  <si>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</si>
  <si>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</si>
  <si>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</si>
  <si>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</si>
  <si>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</si>
  <si>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</si>
  <si>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</si>
  <si>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</si>
  <si>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</si>
  <si>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</si>
  <si>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</si>
  <si>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</si>
  <si>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</si>
  <si>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</si>
  <si>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</si>
  <si>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</si>
  <si>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</si>
  <si>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</si>
  <si>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</si>
  <si>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</si>
  <si>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</si>
  <si>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</si>
  <si>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</si>
  <si>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</si>
  <si>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</si>
  <si>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</si>
  <si>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</si>
  <si>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</si>
  <si>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</si>
  <si>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</si>
  <si>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</si>
  <si>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</si>
  <si>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</si>
  <si>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</si>
  <si>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</si>
  <si>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</si>
  <si>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</si>
  <si>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</si>
  <si>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</si>
  <si>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</si>
  <si>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</si>
  <si>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</si>
  <si>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</si>
  <si>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</si>
  <si>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</si>
  <si>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</si>
  <si>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</si>
  <si>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</si>
  <si>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</si>
  <si>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</si>
  <si>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</si>
  <si>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</si>
  <si>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</si>
  <si>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</si>
  <si>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</si>
  <si>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</si>
  <si>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</si>
  <si>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</si>
  <si>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</si>
  <si>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</si>
  <si>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</si>
  <si>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</si>
  <si>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</si>
  <si>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</si>
  <si>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</si>
  <si>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</si>
  <si>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</si>
  <si>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</si>
  <si>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</si>
  <si>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</si>
  <si>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</si>
  <si>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</si>
  <si>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</si>
  <si>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</si>
  <si>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</si>
  <si>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</si>
  <si>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</si>
  <si>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</si>
  <si>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</si>
  <si>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</si>
  <si>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</si>
  <si>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</si>
  <si>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</si>
  <si>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</si>
  <si>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</si>
  <si>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</si>
  <si>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</si>
  <si>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</si>
  <si>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</si>
  <si>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</si>
  <si>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</si>
  <si>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</si>
  <si>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</si>
  <si>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</si>
  <si>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</si>
  <si>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</si>
  <si>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</si>
  <si>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</si>
  <si>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</si>
  <si>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</si>
  <si>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</si>
  <si>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</si>
  <si>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</si>
  <si>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</si>
  <si>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</si>
  <si>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</si>
  <si>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</si>
  <si>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</si>
  <si>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</si>
  <si>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</si>
  <si>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</si>
  <si>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</si>
  <si>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</si>
  <si>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</si>
  <si>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</si>
  <si>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</si>
  <si>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</si>
  <si>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</si>
  <si>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</si>
  <si>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</si>
  <si>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</si>
  <si>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</si>
  <si>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</si>
  <si>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</si>
  <si>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</si>
  <si>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</si>
  <si>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</si>
  <si>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</si>
  <si>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</si>
  <si>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</si>
  <si>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</si>
  <si>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</si>
  <si>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</si>
  <si>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</si>
  <si>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</si>
  <si>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</si>
  <si>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</si>
  <si>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</si>
  <si>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</si>
  <si>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</si>
  <si>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</si>
  <si>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</si>
  <si>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</si>
  <si>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</si>
  <si>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</si>
  <si>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</si>
  <si>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</si>
  <si>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</si>
  <si>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</si>
  <si>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</si>
  <si>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</si>
  <si>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</si>
  <si>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</si>
  <si>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</si>
  <si>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</si>
  <si>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</si>
  <si>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</si>
  <si>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</si>
  <si>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</si>
  <si>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</si>
  <si>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</si>
  <si>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</si>
  <si>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</si>
  <si>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</si>
  <si>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</si>
  <si>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</si>
  <si>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</si>
  <si>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</si>
  <si>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</si>
  <si>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</si>
  <si>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</si>
  <si>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</si>
  <si>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</si>
  <si>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</si>
  <si>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</si>
  <si>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</si>
  <si>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</si>
  <si>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</si>
  <si>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</si>
  <si>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</si>
  <si>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</si>
  <si>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</si>
  <si>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</si>
  <si>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</si>
  <si>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</si>
  <si>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</si>
  <si>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</si>
  <si>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</si>
  <si>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</si>
  <si>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</si>
  <si>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</si>
  <si>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</si>
  <si>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</si>
  <si>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</si>
  <si>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</si>
  <si>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</si>
  <si>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</si>
  <si>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</si>
  <si>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</si>
  <si>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</si>
  <si>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</si>
  <si>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</si>
  <si>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</si>
  <si>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</si>
  <si>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</si>
  <si>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</si>
  <si>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</si>
  <si>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</si>
  <si>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</si>
  <si>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</si>
  <si>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</si>
  <si>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</si>
  <si>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</si>
  <si>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</si>
  <si>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</si>
  <si>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</si>
  <si>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</si>
  <si>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</si>
  <si>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</si>
  <si>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</si>
  <si>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</si>
  <si>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</si>
  <si>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</si>
  <si>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</si>
  <si>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</si>
  <si>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</si>
  <si>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</si>
  <si>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</si>
  <si>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</si>
  <si>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</si>
  <si>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</si>
  <si>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</si>
  <si>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</si>
  <si>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</si>
  <si>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</si>
  <si>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</si>
  <si>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</si>
  <si>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</si>
  <si>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</si>
  <si>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</si>
  <si>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</si>
  <si>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</si>
  <si>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</si>
  <si>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</si>
  <si>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</si>
  <si>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</si>
  <si>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</si>
  <si>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</si>
  <si>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</si>
  <si>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</si>
  <si>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</si>
  <si>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</si>
  <si>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</si>
  <si>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</si>
  <si>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</si>
  <si>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</si>
  <si>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</si>
  <si>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</si>
  <si>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</si>
  <si>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</si>
  <si>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</si>
  <si>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</si>
  <si>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</si>
  <si>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</si>
  <si>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</si>
  <si>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</si>
  <si>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</si>
  <si>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</si>
  <si>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</si>
  <si>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</si>
  <si>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</si>
  <si>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</si>
  <si>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</si>
  <si>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</si>
  <si>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</si>
  <si>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</si>
  <si>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</si>
  <si>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</si>
  <si>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</si>
  <si>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</si>
  <si>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</si>
  <si>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</si>
  <si>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</si>
  <si>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</si>
  <si>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</si>
  <si>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</si>
  <si>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</si>
  <si>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</si>
  <si>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</si>
  <si>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</si>
  <si>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</si>
  <si>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</si>
  <si>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</si>
  <si>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</si>
  <si>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</si>
  <si>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</si>
  <si>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</si>
  <si>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</si>
  <si>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</si>
  <si>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</si>
  <si>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</si>
  <si>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</si>
  <si>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</si>
  <si>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</si>
  <si>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</si>
  <si>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</si>
  <si>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</si>
  <si>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</si>
  <si>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</si>
  <si>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</si>
  <si>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</si>
  <si>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</si>
  <si>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</si>
  <si>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</si>
  <si>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</si>
  <si>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</si>
  <si>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</si>
  <si>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</si>
  <si>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</si>
  <si>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</si>
  <si>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</si>
  <si>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</si>
  <si>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</si>
  <si>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</si>
  <si>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</si>
  <si>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</si>
  <si>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</si>
  <si>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</si>
  <si>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</si>
  <si>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</si>
  <si>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</si>
  <si>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</si>
  <si>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</si>
  <si>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</si>
  <si>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</si>
  <si>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</si>
  <si>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</si>
  <si>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</si>
  <si>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</si>
  <si>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</si>
  <si>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</si>
  <si>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</si>
  <si>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</si>
  <si>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</si>
  <si>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</si>
  <si>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</si>
  <si>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</si>
  <si>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</si>
  <si>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</si>
  <si>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</si>
  <si>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</si>
  <si>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</si>
  <si>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</si>
  <si>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</si>
  <si>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</si>
  <si>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</si>
  <si>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</si>
  <si>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</si>
  <si>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</si>
  <si>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</si>
  <si>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</si>
  <si>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</si>
  <si>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</si>
  <si>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</si>
  <si>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</si>
  <si>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</si>
  <si>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</si>
  <si>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</si>
  <si>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</si>
  <si>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</si>
  <si>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</si>
  <si>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</si>
  <si>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</si>
  <si>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</si>
  <si>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</si>
  <si>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</si>
  <si>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</si>
  <si>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</si>
  <si>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</si>
  <si>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</si>
  <si>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</si>
  <si>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</si>
  <si>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</si>
  <si>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</si>
  <si>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</si>
  <si>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</si>
  <si>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</si>
  <si>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</si>
  <si>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</si>
  <si>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</si>
  <si>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</si>
  <si>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</si>
  <si>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</si>
  <si>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</si>
  <si>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</si>
  <si>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</si>
  <si>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</si>
  <si>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</si>
  <si>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</si>
  <si>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</si>
  <si>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</si>
  <si>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</si>
  <si>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</si>
  <si>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</si>
  <si>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</si>
  <si>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</si>
  <si>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</si>
  <si>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</si>
  <si>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</si>
  <si>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</si>
  <si>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</si>
  <si>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</si>
  <si>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</si>
  <si>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</si>
  <si>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</si>
  <si>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</si>
  <si>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</si>
  <si>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</si>
  <si>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</si>
  <si>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</si>
  <si>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</si>
  <si>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</si>
  <si>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</si>
  <si>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</si>
  <si>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</si>
  <si>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</si>
  <si>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</si>
  <si>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</si>
  <si>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</si>
  <si>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</si>
  <si>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</si>
  <si>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</si>
  <si>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</si>
  <si>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</si>
  <si>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</si>
  <si>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</si>
  <si>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</si>
  <si>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</si>
  <si>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</si>
  <si>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</si>
  <si>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</si>
  <si>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</si>
  <si>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</si>
  <si>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</si>
  <si>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</si>
  <si>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</si>
  <si>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</si>
  <si>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</si>
  <si>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</si>
  <si>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</si>
  <si>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</si>
  <si>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</si>
  <si>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</si>
  <si>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</si>
  <si>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</si>
  <si>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</si>
  <si>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</si>
  <si>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</si>
  <si>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</si>
  <si>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</si>
  <si>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</si>
  <si>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</si>
  <si>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</si>
  <si>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</si>
  <si>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</si>
  <si>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</si>
  <si>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</si>
  <si>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</si>
  <si>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</si>
  <si>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</si>
  <si>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</si>
  <si>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</si>
  <si>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</si>
  <si>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</si>
  <si>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</si>
  <si>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</si>
  <si>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</si>
  <si>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</si>
  <si>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</si>
  <si>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</si>
  <si>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</si>
  <si>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</si>
  <si>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</si>
  <si>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</si>
  <si>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</si>
  <si>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</si>
  <si>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</si>
  <si>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</si>
  <si>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</si>
  <si>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</si>
  <si>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</si>
  <si>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</si>
  <si>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</si>
  <si>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</si>
  <si>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</si>
  <si>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</si>
  <si>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</si>
  <si>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</si>
  <si>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</si>
  <si>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</si>
  <si>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</si>
  <si>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</si>
  <si>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</si>
  <si>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</si>
  <si>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</si>
  <si>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</si>
  <si>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</si>
  <si>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</si>
  <si>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</si>
  <si>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</si>
  <si>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</si>
  <si>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</si>
  <si>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</si>
  <si>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</si>
  <si>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</si>
  <si>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</si>
  <si>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</si>
  <si>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</si>
  <si>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</si>
  <si>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</si>
  <si>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</si>
  <si>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</si>
  <si>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</si>
  <si>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</si>
  <si>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</si>
  <si>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</si>
  <si>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</si>
  <si>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</si>
  <si>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</si>
  <si>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</si>
  <si>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</si>
  <si>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</si>
  <si>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</si>
  <si>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</si>
  <si>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</si>
  <si>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</si>
  <si>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</si>
  <si>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</si>
  <si>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</si>
  <si>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</si>
  <si>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</si>
  <si>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</si>
  <si>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</si>
  <si>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</si>
  <si>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</si>
  <si>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</si>
  <si>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</si>
  <si>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</si>
  <si>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</si>
  <si>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</si>
  <si>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</si>
  <si>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</si>
  <si>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</si>
  <si>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</si>
  <si>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</si>
  <si>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</si>
  <si>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</si>
  <si>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</si>
  <si>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</si>
  <si>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</si>
  <si>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</si>
  <si>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</si>
  <si>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</si>
  <si>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</si>
  <si>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</si>
  <si>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</si>
  <si>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</si>
  <si>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</si>
  <si>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</si>
  <si>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</si>
  <si>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</si>
  <si>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</si>
  <si>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</si>
  <si>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</si>
  <si>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</si>
  <si>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</si>
  <si>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</si>
  <si>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</si>
  <si>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</si>
  <si>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</si>
  <si>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</si>
  <si>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</si>
  <si>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</si>
  <si>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</si>
  <si>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</si>
  <si>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</si>
  <si>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</si>
  <si>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</si>
  <si>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</si>
  <si>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</si>
  <si>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</si>
  <si>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</si>
  <si>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</si>
  <si>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</si>
  <si>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</si>
  <si>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</si>
  <si>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</si>
  <si>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</si>
  <si>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</si>
  <si>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</si>
  <si>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</si>
  <si>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</si>
  <si>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</si>
  <si>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</si>
  <si>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</si>
  <si>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</si>
  <si>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</si>
  <si>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</si>
  <si>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</si>
  <si>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</si>
  <si>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</si>
  <si>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</si>
  <si>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</si>
  <si>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</si>
  <si>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</si>
  <si>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</si>
  <si>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</si>
  <si>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</si>
  <si>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</si>
  <si>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</si>
  <si>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</si>
  <si>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</si>
  <si>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</si>
  <si>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</si>
  <si>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</si>
  <si>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</si>
  <si>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</si>
  <si>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</si>
  <si>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</si>
  <si>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</si>
  <si>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</si>
  <si>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</si>
  <si>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</si>
  <si>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</si>
  <si>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</si>
  <si>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</si>
  <si>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</si>
  <si>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</si>
  <si>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</si>
  <si>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</si>
  <si>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</si>
  <si>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</si>
  <si>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</si>
  <si>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</si>
  <si>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</si>
  <si>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</si>
  <si>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</si>
  <si>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</si>
  <si>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</si>
  <si>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</si>
  <si>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</si>
  <si>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</si>
  <si>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</si>
  <si>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</si>
  <si>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</si>
  <si>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</si>
  <si>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</si>
  <si>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</si>
  <si>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</si>
  <si>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</si>
  <si>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</si>
  <si>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</si>
  <si>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</si>
  <si>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</si>
  <si>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</si>
  <si>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</si>
  <si>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</si>
  <si>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</si>
  <si>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</si>
  <si>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</si>
  <si>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</si>
  <si>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</si>
  <si>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</si>
  <si>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</si>
  <si>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</si>
  <si>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</si>
  <si>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</si>
  <si>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</si>
  <si>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</si>
  <si>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</si>
  <si>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</si>
  <si>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</si>
  <si>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</si>
  <si>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</si>
  <si>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</si>
  <si>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</si>
  <si>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</si>
  <si>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</si>
  <si>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</si>
  <si>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</si>
  <si>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</si>
  <si>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</si>
  <si>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</si>
  <si>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</si>
  <si>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</si>
  <si>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</si>
  <si>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</si>
  <si>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</si>
  <si>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</si>
  <si>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</si>
  <si>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</si>
  <si>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</si>
  <si>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</si>
  <si>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</si>
  <si>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</si>
  <si>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</si>
  <si>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</si>
  <si>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</si>
  <si>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</si>
  <si>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</si>
  <si>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</si>
  <si>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</si>
  <si>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</si>
  <si>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</si>
  <si>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</si>
  <si>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</si>
  <si>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</si>
  <si>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</si>
  <si>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</si>
  <si>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</si>
  <si>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</si>
  <si>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</si>
  <si>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</si>
  <si>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</si>
  <si>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</si>
  <si>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</si>
  <si>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</si>
  <si>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</si>
  <si>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</si>
  <si>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</si>
  <si>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</si>
  <si>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</si>
  <si>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</si>
  <si>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</si>
  <si>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</si>
  <si>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</si>
  <si>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</si>
  <si>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</si>
  <si>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</si>
  <si>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</si>
  <si>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</si>
  <si>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</si>
  <si>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</si>
  <si>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</si>
  <si>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</si>
  <si>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</si>
  <si>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</si>
  <si>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</si>
  <si>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</si>
  <si>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</si>
  <si>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</si>
  <si>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</si>
  <si>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</si>
  <si>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</si>
  <si>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</si>
  <si>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</si>
  <si>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</si>
  <si>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</si>
  <si>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</si>
  <si>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</si>
  <si>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</si>
  <si>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</si>
  <si>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</si>
  <si>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</si>
  <si>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</si>
  <si>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</si>
  <si>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</si>
  <si>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</si>
  <si>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</si>
  <si>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</si>
  <si>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</si>
  <si>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</si>
  <si>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</si>
  <si>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</si>
  <si>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</si>
  <si>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</si>
  <si>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</si>
  <si>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</si>
  <si>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</si>
  <si>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</si>
  <si>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</si>
  <si>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</si>
  <si>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</si>
  <si>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</si>
  <si>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</si>
  <si>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</si>
  <si>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</si>
  <si>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</si>
  <si>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</si>
  <si>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</si>
  <si>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</si>
  <si>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</si>
  <si>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</si>
  <si>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</si>
  <si>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</si>
  <si>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</si>
  <si>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</si>
  <si>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</si>
  <si>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</si>
  <si>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</si>
  <si>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</si>
  <si>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</si>
  <si>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</si>
  <si>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</si>
  <si>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</si>
  <si>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</si>
  <si>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</si>
  <si>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</si>
  <si>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</si>
  <si>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</si>
  <si>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</si>
  <si>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</si>
  <si>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</si>
  <si>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</si>
  <si>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</si>
  <si>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</si>
  <si>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</si>
  <si>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</si>
  <si>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</si>
  <si>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</si>
  <si>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</si>
  <si>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</si>
  <si>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</si>
  <si>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</si>
  <si>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</si>
  <si>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</si>
  <si>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</si>
  <si>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</si>
  <si>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</si>
  <si>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</si>
  <si>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</si>
  <si>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</si>
  <si>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</si>
  <si>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</si>
  <si>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</si>
  <si>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</si>
  <si>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</si>
  <si>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</si>
  <si>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</si>
  <si>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</si>
  <si>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</si>
  <si>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</si>
  <si>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</si>
  <si>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</si>
  <si>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</si>
  <si>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</si>
  <si>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</si>
  <si>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</si>
  <si>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</si>
  <si>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</si>
  <si>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</si>
  <si>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</si>
  <si>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</si>
  <si>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</si>
  <si>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</si>
  <si>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</si>
  <si>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</si>
  <si>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</si>
  <si>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</si>
  <si>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</si>
  <si>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</si>
  <si>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</si>
  <si>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</si>
  <si>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</si>
  <si>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</si>
  <si>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</si>
  <si>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</si>
  <si>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</si>
  <si>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</si>
  <si>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</si>
  <si>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</si>
  <si>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</si>
  <si>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</si>
  <si>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</si>
  <si>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</si>
  <si>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</si>
  <si>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</si>
  <si>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</si>
  <si>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</si>
  <si>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</si>
  <si>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</si>
  <si>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</si>
  <si>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</si>
  <si>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</si>
  <si>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</si>
  <si>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</si>
  <si>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</si>
  <si>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</si>
  <si>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</si>
  <si>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</si>
  <si>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</si>
  <si>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</si>
  <si>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</si>
  <si>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</si>
  <si>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</si>
  <si>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</si>
  <si>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</si>
  <si>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</si>
  <si>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</si>
  <si>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</si>
  <si>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</si>
  <si>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</si>
  <si>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</si>
  <si>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</si>
  <si>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</si>
  <si>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</si>
  <si>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</si>
  <si>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</si>
  <si>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</si>
  <si>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</si>
  <si>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</si>
  <si>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</si>
  <si>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</si>
  <si>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</si>
  <si>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</si>
  <si>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</si>
  <si>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</si>
  <si>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</si>
  <si>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</si>
  <si>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</si>
  <si>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</si>
  <si>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</si>
  <si>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</si>
  <si>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</si>
  <si>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</si>
  <si>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</si>
  <si>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</si>
  <si>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</si>
  <si>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</si>
  <si>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</si>
  <si>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</si>
  <si>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</si>
  <si>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</si>
  <si>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</si>
  <si>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</si>
  <si>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</si>
  <si>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</si>
  <si>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</si>
  <si>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</si>
  <si>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</si>
  <si>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</si>
  <si>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</si>
  <si>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</si>
  <si>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</si>
  <si>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</si>
  <si>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</si>
  <si>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</si>
  <si>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</si>
  <si>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</si>
  <si>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</si>
  <si>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</si>
  <si>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</si>
  <si>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</si>
  <si>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</si>
  <si>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</si>
  <si>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</si>
  <si>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</si>
  <si>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</si>
  <si>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</si>
  <si>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</si>
  <si>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</si>
  <si>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</si>
  <si>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</si>
  <si>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</si>
  <si>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</si>
  <si>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</si>
  <si>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</si>
  <si>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</si>
  <si>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</si>
  <si>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</si>
  <si>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</si>
  <si>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</si>
  <si>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</si>
  <si>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</si>
  <si>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</si>
  <si>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</si>
  <si>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</si>
  <si>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</si>
  <si>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</si>
  <si>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</si>
  <si>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</si>
  <si>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</si>
  <si>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</si>
  <si>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</si>
  <si>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</si>
  <si>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</si>
  <si>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</si>
  <si>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</si>
  <si>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</si>
  <si>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</si>
  <si>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</si>
  <si>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</si>
  <si>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</si>
  <si>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</si>
  <si>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</si>
  <si>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</si>
  <si>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</si>
  <si>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</si>
  <si>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</si>
  <si>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</si>
  <si>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</si>
  <si>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</si>
  <si>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</si>
  <si>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</si>
  <si>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</si>
  <si>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</si>
  <si>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</si>
  <si>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</si>
  <si>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</si>
  <si>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</si>
  <si>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</si>
  <si>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</si>
  <si>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</si>
  <si>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</si>
  <si>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</si>
  <si>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</si>
  <si>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</si>
  <si>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</si>
  <si>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</si>
  <si>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</si>
  <si>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</si>
  <si>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</si>
  <si>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</si>
  <si>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</si>
  <si>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</si>
  <si>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</si>
  <si>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</si>
  <si>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</si>
  <si>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</si>
  <si>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</si>
  <si>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</si>
  <si>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</si>
  <si>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</si>
  <si>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</si>
  <si>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</si>
  <si>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</si>
  <si>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</si>
  <si>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</si>
  <si>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</si>
  <si>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</si>
  <si>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</si>
  <si>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</si>
  <si>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</si>
  <si>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</si>
  <si>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</si>
  <si>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</si>
  <si>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</si>
  <si>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</si>
  <si>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</si>
  <si>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</si>
  <si>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</si>
  <si>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</si>
  <si>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</si>
  <si>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</si>
  <si>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</si>
  <si>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</si>
  <si>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</si>
  <si>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</si>
  <si>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</si>
  <si>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</si>
  <si>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</si>
  <si>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</si>
  <si>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</si>
  <si>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</si>
  <si>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</si>
  <si>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</si>
  <si>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</si>
  <si>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</si>
  <si>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</si>
  <si>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</si>
  <si>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</si>
  <si>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</si>
  <si>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</si>
  <si>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</si>
  <si>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</si>
  <si>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</si>
  <si>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</si>
  <si>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</si>
  <si>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</si>
  <si>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</si>
  <si>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</si>
  <si>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</si>
  <si>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</si>
  <si>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</si>
  <si>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</si>
  <si>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</si>
  <si>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</si>
  <si>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</si>
  <si>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</si>
  <si>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</si>
  <si>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</si>
  <si>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</si>
  <si>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</si>
  <si>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</si>
  <si>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</si>
  <si>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</si>
  <si>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</si>
  <si>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</si>
  <si>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</si>
  <si>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</si>
  <si>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</si>
  <si>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</si>
  <si>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</si>
  <si>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</si>
  <si>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</si>
  <si>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</si>
  <si>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</si>
  <si>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</si>
  <si>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</si>
  <si>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</si>
  <si>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</si>
  <si>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</si>
  <si>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</si>
  <si>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</si>
  <si>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</si>
  <si>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</si>
  <si>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</si>
  <si>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</si>
  <si>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</si>
  <si>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</si>
  <si>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</si>
  <si>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</si>
  <si>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</si>
  <si>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</si>
  <si>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</si>
  <si>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</si>
  <si>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</si>
  <si>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</si>
  <si>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</si>
  <si>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</si>
  <si>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</si>
  <si>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</si>
  <si>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</si>
  <si>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</si>
  <si>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</si>
  <si>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</si>
  <si>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</si>
  <si>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</si>
  <si>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</si>
  <si>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</si>
  <si>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</si>
  <si>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</si>
  <si>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</si>
  <si>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</si>
  <si>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</si>
  <si>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</si>
  <si>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</si>
  <si>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</si>
  <si>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</si>
  <si>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</si>
  <si>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</si>
  <si>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</si>
  <si>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</si>
  <si>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</si>
  <si>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</si>
  <si>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</si>
  <si>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</si>
  <si>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</si>
  <si>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</si>
  <si>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</si>
  <si>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</si>
  <si>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</si>
  <si>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</si>
  <si>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</si>
  <si>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</si>
  <si>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</si>
  <si>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</si>
  <si>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</si>
  <si>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</si>
  <si>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</si>
  <si>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</si>
  <si>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</si>
  <si>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</si>
  <si>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</si>
  <si>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</si>
  <si>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</si>
  <si>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</si>
  <si>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</si>
  <si>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</si>
  <si>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</si>
  <si>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</si>
  <si>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</si>
  <si>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</si>
  <si>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</si>
  <si>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</si>
  <si>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</si>
  <si>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</si>
  <si>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</si>
  <si>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</si>
  <si>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</si>
  <si>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</si>
  <si>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</si>
  <si>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</si>
  <si>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</si>
  <si>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</si>
  <si>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</si>
  <si>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</si>
  <si>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</si>
  <si>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</si>
  <si>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</si>
  <si>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</si>
  <si>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</si>
  <si>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</si>
  <si>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</si>
  <si>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</si>
  <si>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</si>
  <si>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</si>
  <si>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</si>
  <si>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</si>
  <si>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</si>
  <si>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</si>
  <si>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</si>
  <si>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</si>
  <si>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</si>
  <si>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</si>
  <si>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</si>
  <si>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</si>
  <si>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</si>
  <si>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</si>
  <si>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</si>
  <si>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</si>
  <si>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</si>
  <si>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</si>
  <si>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</si>
  <si>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</si>
  <si>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</si>
  <si>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</si>
  <si>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</si>
  <si>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</si>
  <si>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</si>
  <si>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</si>
  <si>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</si>
  <si>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</si>
  <si>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</si>
  <si>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</si>
  <si>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</si>
  <si>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</si>
  <si>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</si>
  <si>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</si>
  <si>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</si>
  <si>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</si>
  <si>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</si>
  <si>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</si>
  <si>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</si>
  <si>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</si>
  <si>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</si>
  <si>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</si>
  <si>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</si>
  <si>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</si>
  <si>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</si>
  <si>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</si>
  <si>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</si>
  <si>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</si>
  <si>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</si>
  <si>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</si>
  <si>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</si>
  <si>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</si>
  <si>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</si>
  <si>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</si>
  <si>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</si>
  <si>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</si>
  <si>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</si>
  <si>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</si>
  <si>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</si>
  <si>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</si>
  <si>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</si>
  <si>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</si>
  <si>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</si>
  <si>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</si>
  <si>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</si>
  <si>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</si>
  <si>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</si>
  <si>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</si>
  <si>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</si>
  <si>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</si>
  <si>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</si>
  <si>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</si>
  <si>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</si>
  <si>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</si>
  <si>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</si>
  <si>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</si>
  <si>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</si>
  <si>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</si>
  <si>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</si>
  <si>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</si>
  <si>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</si>
  <si>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</si>
  <si>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</si>
  <si>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</si>
  <si>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</si>
  <si>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</si>
  <si>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</si>
  <si>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</si>
  <si>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</si>
  <si>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</si>
  <si>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</si>
  <si>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</si>
  <si>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</si>
  <si>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</si>
  <si>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</si>
  <si>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</si>
  <si>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</si>
  <si>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</si>
  <si>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</si>
  <si>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</si>
  <si>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</si>
  <si>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</si>
  <si>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</si>
  <si>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</si>
  <si>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</si>
  <si>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</si>
  <si>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</si>
  <si>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</si>
  <si>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</si>
  <si>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</si>
  <si>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</si>
  <si>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</si>
  <si>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</si>
  <si>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</si>
  <si>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</si>
  <si>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</si>
  <si>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</si>
  <si>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</si>
  <si>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</si>
  <si>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</si>
  <si>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</si>
  <si>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</si>
  <si>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</si>
  <si>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</si>
  <si>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</si>
  <si>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</si>
  <si>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</si>
  <si>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</si>
  <si>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</si>
  <si>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</si>
  <si>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</si>
  <si>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</si>
  <si>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</si>
  <si>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</si>
  <si>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</si>
  <si>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</si>
  <si>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</si>
  <si>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</si>
  <si>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</si>
  <si>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</si>
  <si>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</si>
  <si>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</si>
  <si>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</si>
  <si>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</si>
  <si>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</si>
  <si>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</si>
  <si>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</si>
  <si>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</si>
  <si>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</si>
  <si>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</si>
  <si>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</si>
  <si>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</si>
  <si>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</si>
  <si>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</si>
  <si>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</si>
  <si>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</si>
  <si>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</si>
  <si>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</si>
  <si>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</si>
  <si>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</si>
  <si>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</si>
  <si>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</si>
  <si>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</si>
  <si>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</si>
  <si>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</si>
  <si>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</si>
  <si>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</si>
  <si>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</si>
  <si>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</si>
  <si>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</si>
  <si>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</si>
  <si>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</si>
  <si>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</si>
  <si>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</si>
  <si>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</si>
  <si>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</si>
  <si>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</si>
  <si>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</si>
  <si>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</si>
  <si>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</si>
  <si>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</si>
  <si>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</si>
  <si>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</si>
  <si>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</si>
  <si>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</si>
  <si>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</si>
  <si>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</si>
  <si>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</si>
  <si>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</si>
  <si>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</si>
  <si>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</si>
  <si>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</si>
  <si>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</si>
  <si>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</si>
  <si>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</si>
  <si>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</si>
  <si>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</si>
  <si>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</si>
  <si>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</si>
  <si>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</si>
  <si>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</si>
  <si>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</si>
  <si>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</si>
  <si>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</si>
  <si>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</si>
  <si>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</si>
  <si>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</si>
  <si>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</si>
  <si>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</si>
  <si>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</si>
  <si>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</si>
  <si>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</si>
  <si>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</si>
  <si>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</si>
  <si>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</si>
  <si>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</si>
  <si>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</si>
  <si>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</si>
  <si>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</si>
  <si>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</si>
  <si>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</si>
  <si>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</si>
  <si>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</si>
  <si>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</si>
  <si>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</si>
  <si>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</si>
  <si>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</si>
  <si>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</si>
  <si>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</si>
  <si>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</si>
  <si>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</si>
  <si>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</si>
  <si>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</si>
  <si>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</si>
  <si>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</si>
  <si>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</si>
  <si>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</si>
  <si>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</si>
  <si>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</si>
  <si>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</si>
  <si>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</si>
  <si>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</si>
  <si>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</si>
  <si>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</si>
  <si>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</si>
  <si>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</si>
  <si>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</si>
  <si>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</si>
  <si>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</si>
  <si>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</si>
  <si>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</si>
  <si>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</si>
  <si>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</si>
  <si>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</si>
  <si>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</si>
  <si>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</si>
  <si>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</si>
  <si>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</si>
  <si>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</si>
  <si>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</si>
  <si>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</si>
  <si>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</si>
  <si>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</si>
  <si>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</si>
  <si>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</si>
  <si>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</si>
  <si>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</si>
  <si>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</si>
  <si>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</si>
  <si>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</si>
  <si>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</si>
  <si>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</si>
  <si>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</si>
  <si>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</si>
  <si>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</si>
  <si>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</si>
  <si>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</si>
  <si>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</si>
  <si>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</si>
  <si>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</si>
  <si>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</si>
  <si>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</si>
  <si>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</si>
  <si>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</si>
  <si>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</si>
  <si>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</si>
  <si>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</si>
  <si>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</si>
  <si>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</si>
  <si>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</si>
  <si>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</si>
  <si>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</si>
  <si>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</si>
  <si>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</si>
  <si>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</si>
  <si>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</si>
  <si>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</si>
  <si>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</si>
  <si>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</si>
  <si>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</si>
  <si>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</si>
  <si>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</si>
  <si>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</si>
  <si>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</si>
  <si>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</si>
  <si>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</si>
  <si>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</si>
  <si>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</si>
  <si>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</si>
  <si>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</si>
  <si>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</si>
  <si>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</si>
  <si>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</si>
  <si>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</si>
  <si>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</si>
  <si>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</si>
  <si>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</si>
  <si>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</si>
  <si>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</si>
  <si>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</si>
  <si>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</si>
  <si>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</si>
  <si>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</si>
  <si>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</si>
  <si>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</si>
  <si>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</si>
  <si>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</si>
  <si>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</si>
  <si>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</si>
  <si>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</si>
  <si>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</si>
  <si>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</si>
  <si>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</si>
  <si>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</si>
  <si>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</si>
  <si>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</si>
  <si>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</si>
  <si>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</si>
  <si>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</si>
  <si>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</si>
  <si>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</si>
  <si>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</si>
  <si>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</si>
  <si>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</si>
  <si>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</si>
  <si>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</si>
  <si>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</si>
  <si>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</si>
  <si>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</si>
  <si>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</si>
  <si>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</si>
  <si>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</si>
  <si>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</si>
  <si>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</si>
  <si>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</si>
  <si>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</si>
  <si>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</si>
  <si>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</si>
  <si>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</si>
  <si>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</si>
  <si>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</si>
  <si>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</si>
  <si>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</si>
  <si>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</si>
  <si>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</si>
  <si>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</si>
  <si>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</si>
  <si>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</si>
  <si>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</si>
  <si>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</si>
  <si>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</si>
  <si>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</si>
  <si>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</si>
  <si>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</si>
  <si>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</si>
  <si>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</si>
  <si>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</si>
  <si>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</si>
  <si>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</si>
  <si>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</si>
  <si>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</si>
  <si>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</si>
  <si>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</si>
  <si>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</si>
  <si>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</si>
  <si>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</si>
  <si>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</si>
  <si>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</si>
  <si>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</si>
  <si>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</si>
  <si>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</si>
  <si>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</si>
  <si>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</si>
  <si>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</si>
  <si>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</si>
  <si>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</si>
  <si>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</si>
  <si>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</si>
  <si>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</si>
  <si>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</si>
  <si>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</si>
  <si>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</si>
  <si>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</si>
  <si>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</si>
  <si>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</si>
  <si>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</si>
  <si>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</si>
  <si>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</si>
  <si>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</si>
  <si>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</si>
  <si>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</si>
  <si>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</si>
  <si>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</si>
  <si>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</si>
  <si>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</si>
  <si>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</si>
  <si>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</si>
  <si>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</si>
  <si>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</si>
  <si>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</si>
  <si>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</si>
  <si>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</si>
  <si>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</si>
  <si>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</si>
  <si>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</si>
  <si>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</si>
  <si>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</si>
  <si>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</si>
  <si>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</si>
  <si>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</si>
  <si>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</si>
  <si>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</si>
  <si>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</si>
  <si>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</si>
  <si>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</si>
  <si>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</si>
  <si>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</si>
  <si>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</si>
  <si>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</si>
  <si>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</si>
  <si>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</si>
  <si>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</si>
  <si>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</si>
  <si>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</si>
  <si>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</si>
  <si>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</si>
  <si>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</si>
  <si>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</si>
  <si>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</si>
  <si>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</si>
  <si>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</si>
  <si>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</si>
  <si>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</si>
  <si>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</si>
  <si>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</si>
  <si>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</si>
  <si>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</si>
  <si>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</si>
  <si>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</si>
  <si>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</si>
  <si>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</si>
  <si>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</si>
  <si>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</si>
  <si>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</si>
  <si>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</si>
  <si>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</si>
  <si>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</si>
  <si>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</si>
  <si>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</si>
  <si>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</si>
  <si>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</si>
  <si>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</si>
  <si>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</si>
  <si>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</si>
  <si>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</si>
  <si>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</si>
  <si>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</si>
  <si>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</si>
  <si>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</si>
  <si>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</si>
  <si>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</si>
  <si>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</si>
  <si>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</si>
  <si>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</si>
  <si>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</si>
  <si>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</si>
  <si>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</si>
  <si>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</si>
  <si>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</si>
  <si>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</si>
  <si>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</si>
  <si>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</si>
  <si>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</si>
  <si>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</si>
  <si>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</si>
  <si>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</si>
  <si>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</si>
  <si>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</si>
  <si>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</si>
  <si>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</si>
  <si>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</si>
  <si>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</si>
  <si>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</si>
  <si>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</si>
  <si>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</si>
  <si>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</si>
  <si>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</si>
  <si>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</si>
  <si>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</si>
  <si>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</si>
  <si>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</si>
  <si>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</si>
  <si>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</si>
  <si>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</si>
  <si>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</si>
  <si>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</si>
  <si>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</si>
  <si>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</si>
  <si>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</si>
  <si>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</si>
  <si>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</si>
  <si>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</si>
  <si>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</si>
  <si>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</si>
  <si>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</si>
  <si>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</si>
  <si>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</si>
  <si>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</si>
  <si>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</si>
  <si>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</si>
  <si>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</si>
  <si>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</si>
  <si>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</si>
  <si>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</si>
  <si>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</si>
  <si>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</si>
  <si>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</si>
  <si>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</si>
  <si>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</si>
  <si>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</si>
  <si>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</si>
  <si>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</si>
  <si>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</si>
  <si>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</si>
  <si>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</si>
  <si>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</si>
  <si>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</si>
  <si>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</si>
  <si>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</si>
  <si>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</si>
  <si>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</si>
  <si>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</si>
  <si>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</si>
  <si>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</si>
  <si>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</si>
  <si>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</si>
  <si>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</si>
  <si>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</si>
  <si>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</si>
  <si>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</si>
  <si>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</si>
  <si>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</si>
  <si>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</si>
  <si>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</si>
  <si>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</si>
  <si>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</si>
  <si>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</si>
  <si>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</si>
  <si>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</si>
  <si>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</si>
  <si>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</si>
  <si>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</si>
  <si>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</si>
  <si>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</si>
  <si>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</si>
  <si>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</si>
  <si>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</si>
  <si>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</si>
  <si>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</si>
  <si>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</si>
  <si>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</si>
  <si>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</si>
  <si>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</si>
  <si>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</si>
  <si>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</si>
  <si>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</si>
  <si>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</si>
  <si>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</si>
  <si>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</si>
  <si>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</si>
  <si>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</si>
  <si>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</si>
  <si>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</si>
  <si>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</si>
  <si>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</si>
  <si>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</si>
  <si>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</si>
  <si>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</si>
  <si>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</si>
  <si>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</si>
  <si>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</si>
  <si>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</si>
  <si>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</si>
  <si>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</si>
  <si>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</si>
  <si>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</si>
  <si>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</si>
  <si>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</si>
  <si>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</si>
  <si>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</si>
  <si>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</si>
  <si>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</si>
  <si>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</si>
  <si>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</si>
  <si>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</si>
  <si>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</si>
  <si>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</si>
  <si>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</si>
  <si>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</si>
  <si>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</si>
  <si>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</si>
  <si>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</si>
  <si>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</si>
  <si>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</si>
  <si>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</si>
  <si>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</si>
  <si>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</si>
  <si>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</si>
  <si>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</si>
  <si>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</si>
  <si>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</si>
  <si>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</si>
  <si>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</si>
  <si>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</si>
  <si>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</si>
  <si>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</si>
  <si>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</si>
  <si>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</si>
  <si>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</si>
  <si>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</si>
  <si>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</si>
  <si>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</si>
  <si>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</si>
  <si>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</si>
  <si>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</si>
  <si>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</si>
  <si>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</si>
  <si>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</si>
  <si>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</si>
  <si>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</si>
  <si>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</si>
  <si>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</si>
  <si>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</si>
  <si>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</si>
  <si>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</si>
  <si>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</si>
  <si>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</si>
  <si>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</si>
  <si>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</si>
  <si>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</si>
  <si>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</si>
  <si>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</si>
  <si>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</si>
  <si>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</si>
  <si>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</si>
  <si>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</si>
  <si>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</si>
  <si>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</si>
  <si>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</si>
  <si>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</si>
  <si>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</si>
  <si>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</si>
  <si>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</si>
  <si>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</si>
  <si>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</si>
  <si>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</si>
  <si>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</si>
  <si>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</si>
  <si>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</si>
  <si>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</si>
  <si>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</si>
  <si>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</si>
  <si>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</si>
  <si>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</si>
  <si>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</si>
  <si>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</si>
  <si>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</si>
  <si>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</si>
  <si>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</si>
  <si>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</si>
  <si>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</si>
  <si>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</si>
  <si>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</si>
  <si>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</si>
  <si>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</si>
  <si>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</si>
  <si>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</si>
  <si>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</si>
  <si>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</si>
  <si>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</si>
  <si>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농협 3520106511413</t>
    <phoneticPr fontId="2" type="noConversion"/>
  </si>
  <si>
    <t>2025-11-14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</si>
  <si>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</si>
  <si>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</si>
  <si>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</si>
  <si>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</si>
  <si>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</si>
  <si>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</si>
  <si>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</si>
  <si>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</si>
  <si>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</si>
  <si>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</si>
  <si>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</si>
  <si>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</si>
  <si>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0AM_TCU</t>
    <phoneticPr fontId="2" type="noConversion"/>
  </si>
  <si>
    <t>927769DK</t>
    <phoneticPr fontId="2" type="noConversion"/>
  </si>
  <si>
    <t>대명오토(서울서초)_251114_172607.xlsx</t>
  </si>
  <si>
    <t>대명오토(서울서초)_251114_172607.xlsx</t>
    <phoneticPr fontId="2" type="noConversion"/>
  </si>
  <si>
    <t>JC모터스</t>
  </si>
  <si>
    <t>봉태규</t>
  </si>
  <si>
    <t>이춘식</t>
  </si>
  <si>
    <t>o</t>
    <phoneticPr fontId="2" type="noConversion"/>
  </si>
  <si>
    <t>강성민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</si>
</sst>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400000</c:v>
                </c:pt>
                <c:pt idx="3">
                  <c:v>5500000</c:v>
                </c:pt>
                <c:pt idx="4">
                  <c:v>693000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</c:v>
                      </c:pt>
                      <c:pt idx="1">
                        <c:v>11</c:v>
                      </c:pt>
                      <c:pt idx="2">
                        <c:v>36</c:v>
                      </c:pt>
                      <c:pt idx="3">
                        <c:v>1</c:v>
                      </c:pt>
                      <c:pt idx="4">
                        <c:v>31</c:v>
                      </c:pt>
                      <c:pt idx="5">
                        <c:v>29</c:v>
                      </c:pt>
                      <c:pt idx="6">
                        <c:v>43</c:v>
                      </c:pt>
                      <c:pt idx="7">
                        <c:v>7</c:v>
                      </c:pt>
                      <c:pt idx="8">
                        <c:v>43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4333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45975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1286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1229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1228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4347</v>
      </c>
      <c r="B8" s="353"/>
      <c r="C8" s="353"/>
      <c r="D8" s="353"/>
      <c r="E8" s="354"/>
      <c r="F8" s="355" t="s">
        <v>4348</v>
      </c>
      <c r="G8" s="356"/>
      <c r="H8" s="356"/>
      <c r="I8" s="357"/>
      <c r="J8" s="363">
        <v>1000000</v>
      </c>
      <c r="K8" s="363"/>
      <c r="L8" s="363"/>
      <c r="M8" s="363"/>
      <c r="N8" s="363"/>
      <c r="O8" s="364">
        <v>1</v>
      </c>
      <c r="P8" s="364"/>
      <c r="Q8" s="358">
        <v>100000</v>
      </c>
      <c r="R8" s="359"/>
      <c r="S8" s="360"/>
      <c r="T8" s="361">
        <v>1100000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2313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-0.300000000745058</v>
      </c>
      <c r="G20" s="402"/>
      <c r="H20" s="402"/>
      <c r="I20" s="403"/>
      <c r="J20" s="398">
        <f>SUM(J8:N19)</f>
        <v>1000000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100000</v>
      </c>
      <c r="R20" s="402"/>
      <c r="S20" s="403"/>
      <c r="T20" s="402">
        <f>SUM(T8:U15)</f>
        <v>1100000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1099999.6999999993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대명오토(서울서초)</v>
      </c>
      <c r="R21" s="396"/>
      <c r="S21" s="396"/>
      <c r="T21" s="396"/>
      <c r="U21" s="397"/>
    </row>
    <row r="22" spans="1:21" ht="20.100000000000001" customHeight="1" x14ac:dyDescent="0.3">
      <c r="A22" s="437" t="s">
        <v>4350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45975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대명오토(서울서초)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서울 서초구 마방로2길 20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010-3218-6031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0AM_TCU</v>
      </c>
      <c r="B31" s="414"/>
      <c r="C31" s="414"/>
      <c r="D31" s="414"/>
      <c r="E31" s="414"/>
      <c r="F31" s="414" t="str">
        <f>F8</f>
        <v>927769DK</v>
      </c>
      <c r="G31" s="414"/>
      <c r="H31" s="414"/>
      <c r="I31" s="414"/>
      <c r="J31" s="418">
        <f>J8</f>
        <v>1000000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100000</v>
      </c>
      <c r="R31" s="415"/>
      <c r="S31" s="415"/>
      <c r="T31" s="416">
        <f>T8</f>
        <v>1100000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2313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-0.300000000745058</v>
      </c>
      <c r="G43" s="402"/>
      <c r="H43" s="402"/>
      <c r="I43" s="403"/>
      <c r="J43" s="398">
        <f>J20</f>
        <v>1000000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100000</v>
      </c>
      <c r="R43" s="402"/>
      <c r="S43" s="402"/>
      <c r="T43" s="402">
        <f>T20</f>
        <v>1100000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1099999.6999999993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대명오토(서울서초)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100000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4334</v>
      </c>
      <c r="C2" s="47" t="s">
        <v>1463</v>
      </c>
      <c r="D2" s="290" t="s">
        <v>1197</v>
      </c>
      <c r="E2" t="s">
        <v>2193</v>
      </c>
      <c r="F2" s="290" t="s">
        <v>1197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75"/>
  <sheetViews>
    <sheetView workbookViewId="0">
      <pane xSplit="1" ySplit="1" topLeftCell="B2163" activePane="bottomRight" state="frozen"/>
      <selection activeCell="N26" sqref="N26"/>
      <selection pane="topRight" activeCell="N26" sqref="N26"/>
      <selection pane="bottomLeft" activeCell="N26" sqref="N26"/>
      <selection pane="bottomRight" activeCell="K2166" sqref="K216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2276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4238</v>
      </c>
      <c r="D1791" s="295" t="s">
        <v>4096</v>
      </c>
      <c r="E1791" s="292" t="s">
        <v>4239</v>
      </c>
      <c r="F1791" s="269" t="s">
        <v>4240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4238</v>
      </c>
      <c r="D1792" s="295" t="s">
        <v>4096</v>
      </c>
      <c r="E1792" s="292" t="s">
        <v>4241</v>
      </c>
      <c r="F1792" s="269" t="s">
        <v>4242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4238</v>
      </c>
      <c r="D1793" s="295" t="s">
        <v>4096</v>
      </c>
      <c r="E1793" s="292" t="s">
        <v>4243</v>
      </c>
      <c r="F1793" s="269" t="s">
        <v>4244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4228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4227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4227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4227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4227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4227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4227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4227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4227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4227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4227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4202</v>
      </c>
      <c r="D2121" s="295" t="s">
        <v>4096</v>
      </c>
      <c r="E2121" s="292" t="s">
        <v>4203</v>
      </c>
      <c r="F2121" s="269" t="s">
        <v>4204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4206</v>
      </c>
      <c r="D2128" s="295" t="s">
        <v>4096</v>
      </c>
      <c r="E2128" s="292" t="s">
        <v>4207</v>
      </c>
      <c r="F2128" s="269" t="s">
        <v>4208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4169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4170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4171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4172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4173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4174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4185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4186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4187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4188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4191</v>
      </c>
      <c r="E2153" s="292" t="s">
        <v>4189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4192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4271</v>
      </c>
      <c r="E2161" s="292" t="s">
        <v>4272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4199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4201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4205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4326</v>
      </c>
      <c r="E2165" s="292" t="s">
        <v>4327</v>
      </c>
      <c r="F2165" s="269" t="s">
        <v>4328</v>
      </c>
      <c r="G2165" s="265">
        <v>1500000</v>
      </c>
      <c r="H2165" s="269">
        <v>1</v>
      </c>
      <c r="J2165" s="266" t="s">
        <v>2903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4251</v>
      </c>
      <c r="D2167" s="295" t="s">
        <v>4252</v>
      </c>
      <c r="E2167" s="292" t="s">
        <v>4253</v>
      </c>
      <c r="F2167" s="269" t="s">
        <v>4254</v>
      </c>
      <c r="G2167" s="265">
        <v>50000</v>
      </c>
      <c r="H2167" s="269">
        <v>1</v>
      </c>
      <c r="M2167" s="292" t="s">
        <v>4215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4216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4216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4223</v>
      </c>
      <c r="E2170" s="292" t="s">
        <v>4224</v>
      </c>
      <c r="F2170" s="269" t="s">
        <v>4225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4188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4222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4226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4231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4235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4245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4169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4246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4255</v>
      </c>
      <c r="E2199" s="292" t="s">
        <v>4256</v>
      </c>
      <c r="F2199" s="269" t="s">
        <v>4257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4258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4260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4263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4267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4268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4273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4275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4201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4283</v>
      </c>
      <c r="E2218" s="292" t="s">
        <v>4284</v>
      </c>
      <c r="F2218" s="269" t="s">
        <v>4285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4282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4286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4287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4295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4297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4303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4304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4305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4306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4188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4307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2912</v>
      </c>
      <c r="E2238" s="292" t="s">
        <v>2133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2257</v>
      </c>
      <c r="E2239" s="292" t="s">
        <v>2087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3460</v>
      </c>
      <c r="F2240" s="269" t="s">
        <v>1206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2184</v>
      </c>
      <c r="F2241" s="269" t="s">
        <v>1255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2188</v>
      </c>
      <c r="F2242" s="269" t="s">
        <v>1818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2187</v>
      </c>
      <c r="F2243" s="269" t="s">
        <v>1791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2186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4308</v>
      </c>
      <c r="E2245" s="292" t="s">
        <v>1202</v>
      </c>
      <c r="F2245" s="269" t="s">
        <v>1748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4308</v>
      </c>
      <c r="E2246" s="292" t="s">
        <v>2380</v>
      </c>
      <c r="F2246" s="269" t="s">
        <v>2872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4315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1204</v>
      </c>
      <c r="F2249" s="269" t="s">
        <v>1988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1927</v>
      </c>
      <c r="E2250" s="292" t="s">
        <v>3933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1463</v>
      </c>
      <c r="E2251" s="292" t="s">
        <v>4325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3197</v>
      </c>
      <c r="E2252" s="292" t="s">
        <v>4187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1387</v>
      </c>
      <c r="E2253" s="292" t="s">
        <v>4322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2912</v>
      </c>
      <c r="E2254" s="292" t="s">
        <v>4319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4209</v>
      </c>
      <c r="E2255" s="292" t="s">
        <v>4329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2257</v>
      </c>
      <c r="E2256" s="292" t="s">
        <v>4330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1465</v>
      </c>
      <c r="E2257" s="292" t="s">
        <v>4331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1576</v>
      </c>
      <c r="E2258" s="292" t="s">
        <v>1262</v>
      </c>
      <c r="F2258" s="269" t="s">
        <v>1261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1718</v>
      </c>
      <c r="E2259" s="292" t="s">
        <v>2176</v>
      </c>
      <c r="F2259" s="269" t="s">
        <v>1200</v>
      </c>
      <c r="G2259" s="265">
        <v>1500000</v>
      </c>
      <c r="H2259" s="269">
        <v>1</v>
      </c>
      <c r="K2259" s="265">
        <v>1500000</v>
      </c>
      <c r="M2259" s="292" t="s">
        <v>4336</v>
      </c>
    </row>
    <row r="2260" spans="1:13" x14ac:dyDescent="0.3">
      <c r="A2260" s="58">
        <v>2260</v>
      </c>
      <c r="B2260" s="264">
        <v>45975</v>
      </c>
      <c r="C2260" s="292" t="s">
        <v>1592</v>
      </c>
      <c r="E2260" s="292" t="s">
        <v>3460</v>
      </c>
      <c r="F2260" s="269" t="s">
        <v>1206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1592</v>
      </c>
      <c r="E2261" s="292" t="s">
        <v>2186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1592</v>
      </c>
      <c r="E2262" s="292" t="s">
        <v>2187</v>
      </c>
      <c r="F2262" s="269" t="s">
        <v>1791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3285</v>
      </c>
      <c r="E2263" s="292" t="s">
        <v>2197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1450</v>
      </c>
      <c r="E2264" s="292" t="s">
        <v>1492</v>
      </c>
      <c r="F2264" s="269" t="s">
        <v>2675</v>
      </c>
      <c r="G2264" s="265">
        <v>200000</v>
      </c>
      <c r="H2264" s="269">
        <v>1</v>
      </c>
      <c r="K2264" s="265">
        <v>200000</v>
      </c>
      <c r="M2264" s="292" t="s">
        <v>4340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4263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4342</v>
      </c>
    </row>
    <row r="2266" spans="1:13" x14ac:dyDescent="0.3">
      <c r="A2266" s="58">
        <v>2266</v>
      </c>
      <c r="B2266" s="264">
        <v>45975</v>
      </c>
      <c r="C2266" s="292" t="s">
        <v>1302</v>
      </c>
      <c r="E2266" s="292" t="s">
        <v>2915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3197</v>
      </c>
      <c r="E2267" s="292" t="s">
        <v>2087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1866</v>
      </c>
      <c r="E2268" s="292" t="s">
        <v>2801</v>
      </c>
      <c r="F2268" s="269" t="s">
        <v>2800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1866</v>
      </c>
      <c r="E2269" s="292" t="s">
        <v>2177</v>
      </c>
      <c r="F2269" s="269" t="s">
        <v>1799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1463</v>
      </c>
      <c r="E2270" s="292" t="s">
        <v>2193</v>
      </c>
      <c r="F2270" s="269" t="s">
        <v>1197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1866</v>
      </c>
      <c r="E2271" s="292" t="s">
        <v>3831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3285</v>
      </c>
      <c r="E2272" s="292" t="s">
        <v>4351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1450</v>
      </c>
      <c r="E2273" s="292" t="s">
        <v>4352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2598</v>
      </c>
      <c r="E2274" s="292" t="s">
        <v>4353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1302</v>
      </c>
      <c r="E2275" s="292" t="s">
        <v>4355</v>
      </c>
      <c r="L2275" s="265">
        <v>-550000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4" sqref="C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45975</v>
      </c>
      <c r="B3" s="235" t="s">
        <v>1126</v>
      </c>
      <c r="C3" s="286">
        <f>SUMIF($B:$B,A3,I:I)</f>
        <v>5556000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2670000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74511000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4174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4185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4186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4187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4188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4189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4199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4201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4205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4209</v>
      </c>
      <c r="D38" s="113" t="s">
        <v>2176</v>
      </c>
      <c r="F38" s="120">
        <v>1500000</v>
      </c>
      <c r="G38" s="85">
        <v>1</v>
      </c>
      <c r="H38" s="126" t="s">
        <v>2903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4216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4216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4188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4222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4226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4231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4235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4245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4169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4246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4258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4263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4267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4268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4273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4201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4282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4286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4287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4303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4304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4305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4306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4188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4307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2912</v>
      </c>
      <c r="D111" s="113" t="s">
        <v>2133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2257</v>
      </c>
      <c r="D112" s="113" t="s">
        <v>2087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3460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2184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2188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2187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2186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4308</v>
      </c>
      <c r="D118" s="113" t="s">
        <v>1202</v>
      </c>
      <c r="F118" s="80">
        <v>1300000</v>
      </c>
      <c r="G118" s="120">
        <v>1</v>
      </c>
      <c r="I118" s="80">
        <v>1300000</v>
      </c>
    </row>
    <row r="119" spans="1:10" ht="18" customHeight="1" x14ac:dyDescent="0.3">
      <c r="A119" s="82">
        <v>2246</v>
      </c>
      <c r="B119" s="93">
        <v>45974</v>
      </c>
      <c r="C119" s="83" t="s">
        <v>4308</v>
      </c>
      <c r="D119" s="113" t="s">
        <v>2380</v>
      </c>
      <c r="F119" s="80">
        <v>700000</v>
      </c>
      <c r="G119" s="120">
        <v>1</v>
      </c>
      <c r="I119" s="80">
        <v>700000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4315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1204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1927</v>
      </c>
      <c r="D123" s="113" t="s">
        <v>3933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1463</v>
      </c>
      <c r="D124" s="113" t="s">
        <v>4325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3197</v>
      </c>
      <c r="D125" s="113" t="s">
        <v>4187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1387</v>
      </c>
      <c r="D126" s="113" t="s">
        <v>4322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2912</v>
      </c>
      <c r="D127" s="113" t="s">
        <v>4319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4209</v>
      </c>
      <c r="D128" s="113" t="s">
        <v>4329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2257</v>
      </c>
      <c r="D129" s="113" t="s">
        <v>4330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1465</v>
      </c>
      <c r="D130" s="113" t="s">
        <v>4331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1576</v>
      </c>
      <c r="D131" s="113" t="s">
        <v>1262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1718</v>
      </c>
      <c r="D132" s="113" t="s">
        <v>2176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1592</v>
      </c>
      <c r="D133" s="113" t="s">
        <v>3460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1592</v>
      </c>
      <c r="D134" s="113" t="s">
        <v>2186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1592</v>
      </c>
      <c r="D135" s="113" t="s">
        <v>2187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3285</v>
      </c>
      <c r="D136" s="113" t="s">
        <v>2197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1450</v>
      </c>
      <c r="D137" s="113" t="s">
        <v>1492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4263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1302</v>
      </c>
      <c r="D139" s="113" t="s">
        <v>2915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3197</v>
      </c>
      <c r="D140" s="113" t="s">
        <v>2087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1866</v>
      </c>
      <c r="D141" s="113" t="s">
        <v>2801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1866</v>
      </c>
      <c r="D142" s="113" t="s">
        <v>2177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1463</v>
      </c>
      <c r="D143" s="113" t="s">
        <v>2193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1866</v>
      </c>
      <c r="D144" s="113" t="s">
        <v>3831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3285</v>
      </c>
      <c r="D145" s="113" t="s">
        <v>4351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1450</v>
      </c>
      <c r="D146" s="113" t="s">
        <v>4352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2598</v>
      </c>
      <c r="D147" s="113" t="s">
        <v>4353</v>
      </c>
      <c r="J147" s="80">
        <v>-300000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1200000</v>
      </c>
      <c r="D2" s="58">
        <f t="shared" ref="D2:D65" si="0">RANK(C2,C:C,0)</f>
        <v>27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11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36</v>
      </c>
    </row>
    <row r="5" spans="1:6" x14ac:dyDescent="0.3">
      <c r="B5" s="58" t="s">
        <v>1332</v>
      </c>
      <c r="C5" s="301">
        <f>SUMIF(BTS_매출관리!C:C,B5,BTS_매출관리!I:I)</f>
        <v>5500000</v>
      </c>
      <c r="D5" s="58">
        <f t="shared" si="0"/>
        <v>1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31</v>
      </c>
    </row>
    <row r="7" spans="1:6" x14ac:dyDescent="0.3">
      <c r="B7" s="58" t="s">
        <v>1286</v>
      </c>
      <c r="C7" s="301">
        <f>SUMIF(BTS_매출관리!C:C,B7,BTS_매출관리!I:I)</f>
        <v>1100000</v>
      </c>
      <c r="D7" s="58">
        <f t="shared" si="0"/>
        <v>29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43</v>
      </c>
    </row>
    <row r="9" spans="1:6" x14ac:dyDescent="0.3">
      <c r="B9" s="58" t="s">
        <v>2211</v>
      </c>
      <c r="C9" s="301">
        <f>SUMIF(BTS_매출관리!C:C,B9,BTS_매출관리!I:I)</f>
        <v>2850000</v>
      </c>
      <c r="D9" s="58">
        <f t="shared" si="0"/>
        <v>7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43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12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43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43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26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43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43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43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22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43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43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43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1232000</v>
      </c>
      <c r="D22" s="58">
        <f t="shared" si="0"/>
        <v>25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43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43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43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43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43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2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43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43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150000</v>
      </c>
      <c r="D31" s="58">
        <f t="shared" si="0"/>
        <v>42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43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43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43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3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385000</v>
      </c>
      <c r="D36" s="58">
        <f t="shared" si="0"/>
        <v>37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43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43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43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43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43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43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2100000</v>
      </c>
      <c r="D43" s="269">
        <f t="shared" si="0"/>
        <v>13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3080000</v>
      </c>
      <c r="D44" s="58">
        <f t="shared" si="0"/>
        <v>6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9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43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43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43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43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330000</v>
      </c>
      <c r="D50" s="269">
        <f t="shared" si="0"/>
        <v>38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33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43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43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43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43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4</v>
      </c>
    </row>
    <row r="57" spans="2:7" x14ac:dyDescent="0.3">
      <c r="B57" s="47" t="s">
        <v>1780</v>
      </c>
      <c r="C57" s="302">
        <f>SUMIF(BTS_매출관리!C:C,B57,BTS_매출관리!I:I)</f>
        <v>1900000</v>
      </c>
      <c r="D57" s="47">
        <f t="shared" si="0"/>
        <v>14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43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43</v>
      </c>
    </row>
    <row r="60" spans="2:7" x14ac:dyDescent="0.3">
      <c r="B60" s="47" t="s">
        <v>1303</v>
      </c>
      <c r="C60" s="302">
        <f>SUMIF(BTS_매출관리!C:C,B60,BTS_매출관리!I:I)</f>
        <v>1400000</v>
      </c>
      <c r="D60" s="47">
        <f t="shared" si="0"/>
        <v>21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43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43</v>
      </c>
    </row>
    <row r="63" spans="2:7" x14ac:dyDescent="0.3">
      <c r="B63" s="47" t="s">
        <v>2912</v>
      </c>
      <c r="C63" s="302">
        <f>SUMIF(BTS_매출관리!C:C,B63,BTS_매출관리!I:I)</f>
        <v>1600000</v>
      </c>
      <c r="D63" s="47">
        <f t="shared" si="0"/>
        <v>18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43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43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43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20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43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18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43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43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43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43</v>
      </c>
    </row>
    <row r="74" spans="2:4" x14ac:dyDescent="0.3">
      <c r="B74" s="47" t="s">
        <v>1355</v>
      </c>
      <c r="C74" s="302">
        <f>SUMIF(BTS_매출관리!C:C,B74,BTS_매출관리!I:I)</f>
        <v>200000</v>
      </c>
      <c r="D74" s="47">
        <f t="shared" si="1"/>
        <v>41</v>
      </c>
    </row>
    <row r="75" spans="2:4" x14ac:dyDescent="0.3">
      <c r="B75" s="47" t="s">
        <v>3285</v>
      </c>
      <c r="C75" s="302">
        <f>SUMIF(BTS_매출관리!C:C,B75,BTS_매출관리!I:I)</f>
        <v>3200000</v>
      </c>
      <c r="D75" s="47">
        <f t="shared" si="1"/>
        <v>5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43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43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43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43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43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43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43</v>
      </c>
    </row>
    <row r="83" spans="2:4" x14ac:dyDescent="0.3">
      <c r="B83" t="s">
        <v>2753</v>
      </c>
      <c r="C83" s="52">
        <f>SUMIF(BTS_매출관리!C:C,B83,BTS_매출관리!I:I)</f>
        <v>500000</v>
      </c>
      <c r="D83">
        <f t="shared" si="1"/>
        <v>34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43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43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43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8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43</v>
      </c>
    </row>
    <row r="89" spans="2:4" x14ac:dyDescent="0.3">
      <c r="B89" t="s">
        <v>1279</v>
      </c>
      <c r="C89" s="300">
        <f>SUMIF(BTS_매출관리!C:C,B89,BTS_매출관리!I:I)</f>
        <v>660000</v>
      </c>
      <c r="D89">
        <f t="shared" si="1"/>
        <v>32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23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27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43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43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43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17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43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43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35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43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43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43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43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43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43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43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43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30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43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43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43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43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43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43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23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10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43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43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43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43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43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39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43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43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43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43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43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43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43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43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43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43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43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43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43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43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43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43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43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43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40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14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43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43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43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43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16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43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43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43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43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43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43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43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43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43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43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43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43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43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43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43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43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43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43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43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43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43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43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43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43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43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43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43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43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43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43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43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43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43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43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43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43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43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43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43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43</v>
      </c>
    </row>
    <row r="188" spans="2:4" x14ac:dyDescent="0.3">
      <c r="C188" s="52">
        <f>SUMIF(BTS_매출관리!C:C,B188,BTS_매출관리!I:I)</f>
        <v>0</v>
      </c>
      <c r="D188">
        <f t="shared" si="2"/>
        <v>43</v>
      </c>
    </row>
    <row r="189" spans="2:4" x14ac:dyDescent="0.3">
      <c r="C189" s="52">
        <f>SUMIF(BTS_매출관리!C:C,B189,BTS_매출관리!I:I)</f>
        <v>0</v>
      </c>
      <c r="D189">
        <f t="shared" si="2"/>
        <v>43</v>
      </c>
    </row>
    <row r="190" spans="2:4" x14ac:dyDescent="0.3">
      <c r="C190" s="52">
        <f>SUMIF(BTS_매출관리!C:C,B190,BTS_매출관리!I:I)</f>
        <v>0</v>
      </c>
      <c r="D190">
        <f t="shared" si="2"/>
        <v>43</v>
      </c>
    </row>
    <row r="191" spans="2:4" x14ac:dyDescent="0.3">
      <c r="C191" s="52">
        <f>SUMIF(BTS_매출관리!C:C,B191,BTS_매출관리!I:I)</f>
        <v>0</v>
      </c>
      <c r="D191">
        <f t="shared" si="2"/>
        <v>43</v>
      </c>
    </row>
    <row r="192" spans="2:4" x14ac:dyDescent="0.3">
      <c r="C192" s="52">
        <f>SUMIF(BTS_매출관리!C:C,B192,BTS_매출관리!I:I)</f>
        <v>0</v>
      </c>
      <c r="D192">
        <f t="shared" si="2"/>
        <v>43</v>
      </c>
    </row>
    <row r="193" spans="3:4" x14ac:dyDescent="0.3">
      <c r="C193" s="52">
        <f>SUMIF(BTS_매출관리!C:C,B193,BTS_매출관리!I:I)</f>
        <v>0</v>
      </c>
      <c r="D193">
        <f t="shared" si="2"/>
        <v>43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43</v>
      </c>
    </row>
    <row r="195" spans="3:4" x14ac:dyDescent="0.3">
      <c r="C195" s="52">
        <f>SUMIF(BTS_매출관리!C:C,B195,BTS_매출관리!I:I)</f>
        <v>0</v>
      </c>
      <c r="D195">
        <f t="shared" si="3"/>
        <v>43</v>
      </c>
    </row>
    <row r="196" spans="3:4" x14ac:dyDescent="0.3">
      <c r="C196" s="52">
        <f>SUMIF(BTS_매출관리!C:C,B196,BTS_매출관리!I:I)</f>
        <v>0</v>
      </c>
      <c r="D196">
        <f t="shared" si="3"/>
        <v>43</v>
      </c>
    </row>
    <row r="197" spans="3:4" x14ac:dyDescent="0.3">
      <c r="C197" s="52">
        <f>SUMIF(BTS_매출관리!C:C,B197,BTS_매출관리!I:I)</f>
        <v>0</v>
      </c>
      <c r="D197">
        <f t="shared" si="3"/>
        <v>43</v>
      </c>
    </row>
    <row r="198" spans="3:4" x14ac:dyDescent="0.3">
      <c r="C198" s="52">
        <f>SUMIF(BTS_매출관리!C:C,B198,BTS_매출관리!I:I)</f>
        <v>0</v>
      </c>
      <c r="D198">
        <f t="shared" si="3"/>
        <v>43</v>
      </c>
    </row>
    <row r="199" spans="3:4" x14ac:dyDescent="0.3">
      <c r="C199" s="52">
        <f>SUMIF(BTS_매출관리!C:C,B199,BTS_매출관리!I:I)</f>
        <v>0</v>
      </c>
      <c r="D199">
        <f t="shared" si="3"/>
        <v>43</v>
      </c>
    </row>
    <row r="200" spans="3:4" x14ac:dyDescent="0.3">
      <c r="C200" s="52">
        <f>SUMIF(BTS_매출관리!C:C,B200,BTS_매출관리!I:I)</f>
        <v>0</v>
      </c>
      <c r="D200">
        <f t="shared" si="3"/>
        <v>43</v>
      </c>
    </row>
    <row r="201" spans="3:4" x14ac:dyDescent="0.3">
      <c r="C201" s="52">
        <f>SUMIF(BTS_매출관리!C:C,B201,BTS_매출관리!I:I)</f>
        <v>0</v>
      </c>
      <c r="D201">
        <f t="shared" si="3"/>
        <v>43</v>
      </c>
    </row>
    <row r="202" spans="3:4" x14ac:dyDescent="0.3">
      <c r="C202" s="52">
        <f>SUMIF(BTS_매출관리!C:C,B202,BTS_매출관리!I:I)</f>
        <v>0</v>
      </c>
      <c r="D202">
        <f t="shared" si="3"/>
        <v>43</v>
      </c>
    </row>
    <row r="203" spans="3:4" x14ac:dyDescent="0.3">
      <c r="C203" s="52">
        <f>SUMIF(BTS_매출관리!C:C,B203,BTS_매출관리!I:I)</f>
        <v>0</v>
      </c>
      <c r="D203">
        <f t="shared" si="3"/>
        <v>43</v>
      </c>
    </row>
    <row r="204" spans="3:4" x14ac:dyDescent="0.3">
      <c r="C204" s="52">
        <f>SUMIF(BTS_매출관리!C:C,B204,BTS_매출관리!I:I)</f>
        <v>0</v>
      </c>
      <c r="D204">
        <f t="shared" si="3"/>
        <v>43</v>
      </c>
    </row>
    <row r="205" spans="3:4" x14ac:dyDescent="0.3">
      <c r="C205" s="52">
        <f>SUMIF(BTS_매출관리!C:C,B205,BTS_매출관리!I:I)</f>
        <v>0</v>
      </c>
      <c r="D205">
        <f t="shared" si="3"/>
        <v>43</v>
      </c>
    </row>
    <row r="206" spans="3:4" x14ac:dyDescent="0.3">
      <c r="C206" s="52">
        <f>SUMIF(BTS_매출관리!C:C,B206,BTS_매출관리!I:I)</f>
        <v>0</v>
      </c>
      <c r="D206">
        <f t="shared" si="3"/>
        <v>43</v>
      </c>
    </row>
    <row r="207" spans="3:4" x14ac:dyDescent="0.3">
      <c r="C207" s="52">
        <f>SUMIF(BTS_매출관리!C:C,B207,BTS_매출관리!I:I)</f>
        <v>0</v>
      </c>
      <c r="D207">
        <f t="shared" si="3"/>
        <v>43</v>
      </c>
    </row>
    <row r="208" spans="3:4" x14ac:dyDescent="0.3">
      <c r="C208" s="52">
        <f>SUMIF(BTS_매출관리!C:C,B208,BTS_매출관리!I:I)</f>
        <v>0</v>
      </c>
      <c r="D208">
        <f t="shared" si="3"/>
        <v>43</v>
      </c>
    </row>
    <row r="209" spans="3:4" x14ac:dyDescent="0.3">
      <c r="C209" s="52">
        <f>SUMIF(BTS_매출관리!C:C,B209,BTS_매출관리!I:I)</f>
        <v>0</v>
      </c>
      <c r="D209">
        <f t="shared" si="3"/>
        <v>43</v>
      </c>
    </row>
    <row r="210" spans="3:4" x14ac:dyDescent="0.3">
      <c r="C210" s="52">
        <f>SUMIF(BTS_매출관리!C:C,B210,BTS_매출관리!I:I)</f>
        <v>0</v>
      </c>
      <c r="D210">
        <f t="shared" si="3"/>
        <v>43</v>
      </c>
    </row>
    <row r="211" spans="3:4" x14ac:dyDescent="0.3">
      <c r="C211" s="52">
        <f>SUMIF(BTS_매출관리!C:C,B211,BTS_매출관리!I:I)</f>
        <v>0</v>
      </c>
      <c r="D211">
        <f t="shared" si="3"/>
        <v>43</v>
      </c>
    </row>
    <row r="212" spans="3:4" x14ac:dyDescent="0.3">
      <c r="C212" s="52">
        <f>SUMIF(BTS_매출관리!C:C,B212,BTS_매출관리!I:I)</f>
        <v>0</v>
      </c>
      <c r="D212">
        <f t="shared" si="3"/>
        <v>43</v>
      </c>
    </row>
    <row r="213" spans="3:4" x14ac:dyDescent="0.3">
      <c r="C213" s="52">
        <f>SUMIF(BTS_매출관리!C:C,B213,BTS_매출관리!I:I)</f>
        <v>0</v>
      </c>
      <c r="D213">
        <f t="shared" si="3"/>
        <v>43</v>
      </c>
    </row>
    <row r="214" spans="3:4" x14ac:dyDescent="0.3">
      <c r="C214" s="52">
        <f>SUMIF(BTS_매출관리!C:C,B214,BTS_매출관리!I:I)</f>
        <v>0</v>
      </c>
      <c r="D214">
        <f t="shared" si="3"/>
        <v>43</v>
      </c>
    </row>
    <row r="215" spans="3:4" x14ac:dyDescent="0.3">
      <c r="C215" s="52">
        <f>SUMIF(BTS_매출관리!C:C,B215,BTS_매출관리!I:I)</f>
        <v>0</v>
      </c>
      <c r="D215">
        <f t="shared" si="3"/>
        <v>43</v>
      </c>
    </row>
    <row r="216" spans="3:4" x14ac:dyDescent="0.3">
      <c r="C216" s="52">
        <f>SUMIF(BTS_매출관리!C:C,B216,BTS_매출관리!I:I)</f>
        <v>0</v>
      </c>
      <c r="D216">
        <f t="shared" si="3"/>
        <v>43</v>
      </c>
    </row>
    <row r="217" spans="3:4" x14ac:dyDescent="0.3">
      <c r="C217" s="52">
        <f>SUMIF(BTS_매출관리!C:C,B217,BTS_매출관리!I:I)</f>
        <v>0</v>
      </c>
      <c r="D217">
        <f t="shared" si="3"/>
        <v>43</v>
      </c>
    </row>
    <row r="218" spans="3:4" x14ac:dyDescent="0.3">
      <c r="C218" s="52">
        <f>SUMIF(BTS_매출관리!C:C,B218,BTS_매출관리!I:I)</f>
        <v>0</v>
      </c>
      <c r="D218">
        <f t="shared" si="3"/>
        <v>43</v>
      </c>
    </row>
    <row r="219" spans="3:4" x14ac:dyDescent="0.3">
      <c r="C219" s="52">
        <f>SUMIF(BTS_매출관리!C:C,B219,BTS_매출관리!I:I)</f>
        <v>0</v>
      </c>
      <c r="D219">
        <f t="shared" si="3"/>
        <v>43</v>
      </c>
    </row>
    <row r="220" spans="3:4" x14ac:dyDescent="0.3">
      <c r="C220" s="52">
        <f>SUMIF(BTS_매출관리!C:C,B220,BTS_매출관리!I:I)</f>
        <v>0</v>
      </c>
      <c r="D220">
        <f t="shared" si="3"/>
        <v>43</v>
      </c>
    </row>
    <row r="221" spans="3:4" x14ac:dyDescent="0.3">
      <c r="C221" s="52">
        <f>SUMIF(BTS_매출관리!C:C,B221,BTS_매출관리!I:I)</f>
        <v>0</v>
      </c>
      <c r="D221">
        <f t="shared" si="3"/>
        <v>43</v>
      </c>
    </row>
    <row r="222" spans="3:4" x14ac:dyDescent="0.3">
      <c r="C222" s="52">
        <f>SUMIF(BTS_매출관리!C:C,B222,BTS_매출관리!I:I)</f>
        <v>0</v>
      </c>
      <c r="D222">
        <f t="shared" si="3"/>
        <v>43</v>
      </c>
    </row>
    <row r="223" spans="3:4" x14ac:dyDescent="0.3">
      <c r="C223" s="52">
        <f>SUMIF(BTS_매출관리!C:C,B223,BTS_매출관리!I:I)</f>
        <v>0</v>
      </c>
      <c r="D223">
        <f t="shared" si="3"/>
        <v>43</v>
      </c>
    </row>
    <row r="224" spans="3:4" x14ac:dyDescent="0.3">
      <c r="C224" s="52">
        <f>SUMIF(BTS_매출관리!C:C,B224,BTS_매출관리!I:I)</f>
        <v>0</v>
      </c>
      <c r="D224">
        <f t="shared" si="3"/>
        <v>43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2219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1537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8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1208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4175</v>
      </c>
      <c r="C1116" t="s">
        <v>1718</v>
      </c>
      <c r="D1116" t="s">
        <v>4176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4181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4182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4183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4184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4190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4193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4194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4195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4196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4198</v>
      </c>
    </row>
    <row r="1129" spans="1:4" x14ac:dyDescent="0.3">
      <c r="A1129">
        <v>1153</v>
      </c>
      <c r="B1129" s="13">
        <v>45966</v>
      </c>
      <c r="C1129" t="s">
        <v>4209</v>
      </c>
      <c r="D1129" t="s">
        <v>4213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4214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4217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4218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4219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4220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4221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4229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4230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4232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4233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4234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4236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4237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4247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4248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4249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4250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4259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4261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4264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4265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4266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4269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4274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4276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4278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4279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4280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4281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4293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4294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4296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4298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4299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4300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4301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4302</v>
      </c>
    </row>
    <row r="1167" spans="1:4" x14ac:dyDescent="0.3">
      <c r="A1167">
        <v>1191</v>
      </c>
      <c r="B1167" s="13">
        <v>45974</v>
      </c>
      <c r="C1167" t="s">
        <v>2912</v>
      </c>
      <c r="D1167" t="s">
        <v>4311</v>
      </c>
    </row>
    <row r="1168" spans="1:4" x14ac:dyDescent="0.3">
      <c r="A1168">
        <v>1192</v>
      </c>
      <c r="B1168" s="13">
        <v>45974</v>
      </c>
      <c r="C1168" t="s">
        <v>2257</v>
      </c>
      <c r="D1168" t="s">
        <v>4312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4313</v>
      </c>
    </row>
    <row r="1170" spans="1:4" x14ac:dyDescent="0.3">
      <c r="A1170">
        <v>1194</v>
      </c>
      <c r="B1170" s="13">
        <v>45974</v>
      </c>
      <c r="C1170" t="s">
        <v>4308</v>
      </c>
      <c r="D1170" t="s">
        <v>4314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4316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4317</v>
      </c>
    </row>
    <row r="1173" spans="1:4" x14ac:dyDescent="0.3">
      <c r="A1173">
        <v>1197</v>
      </c>
      <c r="B1173" s="13">
        <v>45974</v>
      </c>
      <c r="C1173" t="s">
        <v>1465</v>
      </c>
      <c r="D1173" t="s">
        <v>4332</v>
      </c>
    </row>
    <row r="1174" spans="1:4" x14ac:dyDescent="0.3">
      <c r="A1174">
        <v>1198</v>
      </c>
      <c r="B1174" s="13">
        <v>45975</v>
      </c>
      <c r="C1174" t="s">
        <v>1576</v>
      </c>
      <c r="D1174" t="s">
        <v>4335</v>
      </c>
    </row>
    <row r="1175" spans="1:4" x14ac:dyDescent="0.3">
      <c r="A1175">
        <v>1199</v>
      </c>
      <c r="B1175" s="13">
        <v>45975</v>
      </c>
      <c r="C1175" t="s">
        <v>1718</v>
      </c>
      <c r="D1175" t="s">
        <v>4337</v>
      </c>
    </row>
    <row r="1176" spans="1:4" x14ac:dyDescent="0.3">
      <c r="A1176">
        <v>1200</v>
      </c>
      <c r="B1176" s="13">
        <v>45975</v>
      </c>
      <c r="C1176" t="s">
        <v>1592</v>
      </c>
      <c r="D1176" t="s">
        <v>4338</v>
      </c>
    </row>
    <row r="1177" spans="1:4" x14ac:dyDescent="0.3">
      <c r="A1177">
        <v>1201</v>
      </c>
      <c r="B1177" s="13">
        <v>45975</v>
      </c>
      <c r="C1177" t="s">
        <v>3285</v>
      </c>
      <c r="D1177" t="s">
        <v>4339</v>
      </c>
    </row>
    <row r="1178" spans="1:4" x14ac:dyDescent="0.3">
      <c r="A1178">
        <v>1202</v>
      </c>
      <c r="B1178" s="13">
        <v>45975</v>
      </c>
      <c r="C1178" t="s">
        <v>1450</v>
      </c>
      <c r="D1178" t="s">
        <v>4341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4343</v>
      </c>
    </row>
    <row r="1180" spans="1:4" x14ac:dyDescent="0.3">
      <c r="A1180">
        <v>1204</v>
      </c>
      <c r="B1180" s="13">
        <v>45975</v>
      </c>
      <c r="C1180" t="s">
        <v>1302</v>
      </c>
      <c r="D1180" t="s">
        <v>4344</v>
      </c>
    </row>
    <row r="1181" spans="1:4" x14ac:dyDescent="0.3">
      <c r="A1181">
        <v>1205</v>
      </c>
      <c r="B1181" s="13">
        <v>45975</v>
      </c>
      <c r="C1181" t="s">
        <v>3197</v>
      </c>
      <c r="D1181" t="s">
        <v>4345</v>
      </c>
    </row>
    <row r="1182" spans="1:4" x14ac:dyDescent="0.3">
      <c r="A1182">
        <v>1206</v>
      </c>
      <c r="B1182" s="13">
        <v>45975</v>
      </c>
      <c r="C1182" t="s">
        <v>1866</v>
      </c>
      <c r="D1182" t="s">
        <v>4346</v>
      </c>
    </row>
    <row r="1183" spans="1:4" x14ac:dyDescent="0.3">
      <c r="A1183">
        <v>1207</v>
      </c>
      <c r="B1183" s="13">
        <v>45975</v>
      </c>
      <c r="C1183" t="s">
        <v>1463</v>
      </c>
      <c r="D1183" t="s">
        <v>4349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H201" sqref="H10:H20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202</v>
      </c>
      <c r="J1" s="283"/>
      <c r="K1" s="282"/>
    </row>
    <row r="2" spans="1:11" hidden="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hidden="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  <c r="I10" s="52" t="s">
        <v>4354</v>
      </c>
    </row>
    <row r="11" spans="1:11" hidden="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660000</v>
      </c>
      <c r="I13" s="52" t="s">
        <v>4354</v>
      </c>
    </row>
    <row r="14" spans="1:11" hidden="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18068000.199999999</v>
      </c>
      <c r="I17" s="52" t="s">
        <v>4354</v>
      </c>
    </row>
    <row r="18" spans="1:13" hidden="1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I19" s="52" t="s">
        <v>4354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4354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400000</v>
      </c>
      <c r="I21" s="52" t="s">
        <v>4354</v>
      </c>
    </row>
    <row r="22" spans="1:13" hidden="1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  <c r="I25" s="52" t="s">
        <v>4354</v>
      </c>
    </row>
    <row r="26" spans="1:13" hidden="1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hidden="1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4354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0</v>
      </c>
      <c r="J39" t="s">
        <v>4323</v>
      </c>
    </row>
    <row r="40" spans="1:10" hidden="1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0</v>
      </c>
      <c r="I43" s="52" t="s">
        <v>4354</v>
      </c>
    </row>
    <row r="44" spans="1:10" hidden="1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hidden="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0</v>
      </c>
      <c r="I54" s="52" t="s">
        <v>4168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hidden="1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4270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4354</v>
      </c>
    </row>
    <row r="73" spans="1:10" hidden="1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4354</v>
      </c>
    </row>
    <row r="77" spans="1:10" hidden="1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4300000</v>
      </c>
      <c r="I79" s="52" t="s">
        <v>4354</v>
      </c>
    </row>
    <row r="80" spans="1:10" hidden="1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hidden="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  <c r="I84" s="52" t="s">
        <v>4354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4354</v>
      </c>
    </row>
    <row r="86" spans="1:11" hidden="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hidden="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385000.09999999963</v>
      </c>
      <c r="I92" s="52" t="s">
        <v>4354</v>
      </c>
    </row>
    <row r="93" spans="1:11" hidden="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1200000</v>
      </c>
      <c r="I94" s="52" t="s">
        <v>4354</v>
      </c>
    </row>
    <row r="95" spans="1:11" hidden="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hidden="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0</v>
      </c>
      <c r="J96" t="s">
        <v>4324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  <c r="I97" s="52" t="s">
        <v>4354</v>
      </c>
    </row>
    <row r="98" spans="1:11" hidden="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4270</v>
      </c>
    </row>
    <row r="100" spans="1:11" hidden="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4354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1900000</v>
      </c>
      <c r="I113" s="52" t="s">
        <v>4354</v>
      </c>
    </row>
    <row r="114" spans="1:10" hidden="1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</row>
    <row r="115" spans="1:10" hidden="1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hidden="1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4200</v>
      </c>
    </row>
    <row r="117" spans="1:10" hidden="1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hidden="1" x14ac:dyDescent="0.3">
      <c r="A119" s="47">
        <v>118</v>
      </c>
      <c r="B119" t="s">
        <v>4288</v>
      </c>
      <c r="C119" t="s">
        <v>4289</v>
      </c>
      <c r="E119" t="s">
        <v>4290</v>
      </c>
      <c r="F119" t="s">
        <v>4291</v>
      </c>
      <c r="G119" t="s">
        <v>4292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hidden="1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hidden="1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hidden="1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  <c r="I138" s="52" t="s">
        <v>4318</v>
      </c>
    </row>
    <row r="139" spans="1:10" hidden="1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hidden="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hidden="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hidden="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hidden="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  <c r="J162" t="s">
        <v>4320</v>
      </c>
    </row>
    <row r="163" spans="1:11" hidden="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hidden="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hidden="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hidden="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hidden="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hidden="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0</v>
      </c>
      <c r="K177" t="s">
        <v>3396</v>
      </c>
    </row>
    <row r="178" spans="1:11" hidden="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hidden="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hidden="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hidden="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hidden="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hidden="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hidden="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hidden="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hidden="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hidden="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hidden="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A200" s="47">
        <v>200</v>
      </c>
      <c r="B200" t="s">
        <v>4209</v>
      </c>
      <c r="C200" t="s">
        <v>4210</v>
      </c>
      <c r="E200" t="s">
        <v>4211</v>
      </c>
      <c r="F200" t="s">
        <v>963</v>
      </c>
      <c r="G200" t="s">
        <v>4212</v>
      </c>
      <c r="H200" s="194">
        <f>SUMIF(주문_리스트!C:C,거래처!B200,주문_리스트!K:K)+SUMIF(주문_리스트!C:C,거래처!B200,주문_리스트!L:L)</f>
        <v>0</v>
      </c>
      <c r="J200" t="s">
        <v>4321</v>
      </c>
    </row>
    <row r="201" spans="1:11" x14ac:dyDescent="0.3">
      <c r="A201" s="47">
        <v>201</v>
      </c>
      <c r="B201" t="s">
        <v>4308</v>
      </c>
      <c r="C201" t="s">
        <v>4309</v>
      </c>
      <c r="E201" t="s">
        <v>4310</v>
      </c>
      <c r="F201" t="s">
        <v>973</v>
      </c>
      <c r="H201" s="194">
        <f>SUMIF(주문_리스트!C:C,거래처!B201,주문_리스트!K:K)+SUMIF(주문_리스트!C:C,거래처!B201,주문_리스트!L:L)</f>
        <v>2000000</v>
      </c>
      <c r="I201" s="52" t="s">
        <v>4354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-55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-94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-36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-36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-39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-51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-36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-48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-57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-118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-36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4177</v>
      </c>
      <c r="D253" s="288" t="s">
        <v>2380</v>
      </c>
      <c r="E253" s="288" t="s">
        <v>4177</v>
      </c>
      <c r="I253" s="52" t="s">
        <v>4178</v>
      </c>
    </row>
    <row r="254" spans="1:9" x14ac:dyDescent="0.3">
      <c r="A254">
        <v>257</v>
      </c>
      <c r="B254">
        <v>3</v>
      </c>
      <c r="C254" s="288" t="s">
        <v>4197</v>
      </c>
      <c r="D254" s="288" t="s">
        <v>3120</v>
      </c>
      <c r="E254" s="288" t="s">
        <v>4197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4262</v>
      </c>
      <c r="D255" s="288" t="s">
        <v>4263</v>
      </c>
      <c r="E255" s="288" t="s">
        <v>4262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4277</v>
      </c>
      <c r="D256" s="288" t="s">
        <v>1204</v>
      </c>
      <c r="E256" s="288" t="s">
        <v>4277</v>
      </c>
      <c r="F256" s="52">
        <v>1200000</v>
      </c>
    </row>
    <row r="257" spans="1:6" x14ac:dyDescent="0.3">
      <c r="A257">
        <v>260</v>
      </c>
      <c r="D257" s="288" t="s">
        <v>4315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2025-11-14T12:14:31Z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