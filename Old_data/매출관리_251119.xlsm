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30907E4-97E1-4081-B649-C345605FEAA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거래처!$A$1:$I$219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6" i="1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<sst xmlns="http://schemas.openxmlformats.org/spreadsheetml/2006/main" count="12817" uniqueCount="4390">
  <si>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</si>
  <si>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</si>
  <si>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</si>
  <si>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</si>
  <si>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</si>
  <si>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</si>
  <si>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</si>
  <si>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</si>
  <si>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</si>
  <si>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</si>
  <si>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</si>
  <si>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</si>
  <si>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</si>
  <si>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</si>
  <si>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</si>
  <si>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</si>
  <si>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</si>
  <si>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</si>
  <si>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</si>
  <si>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</si>
  <si>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</si>
  <si>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</si>
  <si>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</si>
  <si>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</si>
  <si>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</si>
  <si>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</si>
  <si>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</si>
  <si>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</si>
  <si>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</si>
  <si>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</si>
  <si>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</si>
  <si>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</si>
  <si>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</si>
  <si>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</si>
  <si>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</si>
  <si>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</si>
  <si>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</si>
  <si>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</si>
  <si>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</si>
  <si>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</si>
  <si>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</si>
  <si>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</si>
  <si>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</si>
  <si>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</si>
  <si>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</si>
  <si>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</si>
  <si>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</si>
  <si>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</si>
  <si>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</si>
  <si>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</si>
  <si>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</si>
  <si>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</si>
  <si>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</si>
  <si>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</si>
  <si>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</si>
  <si>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</si>
  <si>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</si>
  <si>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</si>
  <si>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</si>
  <si>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</si>
  <si>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</si>
  <si>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</si>
  <si>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</si>
  <si>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</si>
  <si>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</si>
  <si>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</si>
  <si>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</si>
  <si>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</si>
  <si>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</si>
  <si>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</si>
  <si>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</si>
  <si>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</si>
  <si>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</si>
  <si>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</si>
  <si>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</si>
  <si>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</si>
  <si>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</si>
  <si>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</si>
  <si>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</si>
  <si>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</si>
  <si>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</si>
  <si>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</si>
  <si>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</si>
  <si>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</si>
  <si>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</si>
  <si>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</si>
  <si>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</si>
  <si>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</si>
  <si>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</si>
  <si>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</si>
  <si>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</si>
  <si>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</si>
  <si>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</si>
  <si>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</si>
  <si>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</si>
  <si>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</si>
  <si>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</si>
  <si>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</si>
  <si>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</si>
  <si>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</si>
  <si>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</si>
  <si>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</si>
  <si>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</si>
  <si>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</si>
  <si>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</si>
  <si>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</si>
  <si>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</si>
  <si>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</si>
  <si>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</si>
  <si>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</si>
  <si>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</si>
  <si>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</si>
  <si>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</si>
  <si>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</si>
  <si>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</si>
  <si>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</si>
  <si>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</si>
  <si>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</si>
  <si>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</si>
  <si>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</si>
  <si>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</si>
  <si>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</si>
  <si>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</si>
  <si>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</si>
  <si>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</si>
  <si>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</si>
  <si>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</si>
  <si>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</si>
  <si>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</si>
  <si>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</si>
  <si>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</si>
  <si>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</si>
  <si>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</si>
  <si>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</si>
  <si>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</si>
  <si>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</si>
  <si>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</si>
  <si>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</si>
  <si>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</si>
  <si>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</si>
  <si>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</si>
  <si>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</si>
  <si>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</si>
  <si>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</si>
  <si>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</si>
  <si>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</si>
  <si>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</si>
  <si>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</si>
  <si>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</si>
  <si>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</si>
  <si>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</si>
  <si>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</si>
  <si>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</si>
  <si>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</si>
  <si>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</si>
  <si>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</si>
  <si>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</si>
  <si>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</si>
  <si>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</si>
  <si>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</si>
  <si>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</si>
  <si>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</si>
  <si>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</si>
  <si>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</si>
  <si>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</si>
  <si>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</si>
  <si>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</si>
  <si>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</si>
  <si>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</si>
  <si>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</si>
  <si>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</si>
  <si>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</si>
  <si>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</si>
  <si>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</si>
  <si>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</si>
  <si>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</si>
  <si>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</si>
  <si>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</si>
  <si>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</si>
  <si>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</si>
  <si>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</si>
  <si>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</si>
  <si>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</si>
  <si>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</si>
  <si>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</si>
  <si>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</si>
  <si>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</si>
  <si>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</si>
  <si>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</si>
  <si>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</si>
  <si>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</si>
  <si>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</si>
  <si>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</si>
  <si>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</si>
  <si>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</si>
  <si>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</si>
  <si>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</si>
  <si>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</si>
  <si>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</si>
  <si>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</si>
  <si>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</si>
  <si>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</si>
  <si>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</si>
  <si>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</si>
  <si>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</si>
  <si>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</si>
  <si>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</si>
  <si>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</si>
  <si>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</si>
  <si>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</si>
  <si>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</si>
  <si>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</si>
  <si>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</si>
  <si>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</si>
  <si>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</si>
  <si>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</si>
  <si>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</si>
  <si>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</si>
  <si>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</si>
  <si>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</si>
  <si>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</si>
  <si>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</si>
  <si>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</si>
  <si>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</si>
  <si>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</si>
  <si>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</si>
  <si>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</si>
  <si>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</si>
  <si>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</si>
  <si>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</si>
  <si>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</si>
  <si>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</si>
  <si>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</si>
  <si>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</si>
  <si>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</si>
  <si>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</si>
  <si>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</si>
  <si>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</si>
  <si>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</si>
  <si>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</si>
  <si>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</si>
  <si>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</si>
  <si>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</si>
  <si>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</si>
  <si>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</si>
  <si>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</si>
  <si>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</si>
  <si>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</si>
  <si>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</si>
  <si>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</si>
  <si>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</si>
  <si>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</si>
  <si>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</si>
  <si>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</si>
  <si>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</si>
  <si>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</si>
  <si>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</si>
  <si>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</si>
  <si>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</si>
  <si>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</si>
  <si>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</si>
  <si>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</si>
  <si>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</si>
  <si>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</si>
  <si>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</si>
  <si>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</si>
  <si>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</si>
  <si>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</si>
  <si>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</si>
  <si>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</si>
  <si>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</si>
  <si>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</si>
  <si>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</si>
  <si>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</si>
  <si>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</si>
  <si>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</si>
  <si>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</si>
  <si>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</si>
  <si>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</si>
  <si>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</si>
  <si>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</si>
  <si>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</si>
  <si>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</si>
  <si>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</si>
  <si>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</si>
  <si>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</si>
  <si>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</si>
  <si>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</si>
  <si>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</si>
  <si>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</si>
  <si>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</si>
  <si>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</si>
  <si>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</si>
  <si>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</si>
  <si>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</si>
  <si>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</si>
  <si>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</si>
  <si>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</si>
  <si>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</si>
  <si>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</si>
  <si>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</si>
  <si>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</si>
  <si>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</si>
  <si>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</si>
  <si>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</si>
  <si>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</si>
  <si>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</si>
  <si>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</si>
  <si>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</si>
  <si>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</si>
  <si>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</si>
  <si>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</si>
  <si>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</si>
  <si>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</si>
  <si>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</si>
  <si>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</si>
  <si>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</si>
  <si>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</si>
  <si>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</si>
  <si>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</si>
  <si>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</si>
  <si>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</si>
  <si>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</si>
  <si>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</si>
  <si>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</si>
  <si>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</si>
  <si>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</si>
  <si>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</si>
  <si>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</si>
  <si>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</si>
  <si>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</si>
  <si>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</si>
  <si>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</si>
  <si>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</si>
  <si>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</si>
  <si>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</si>
  <si>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</si>
  <si>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</si>
  <si>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</si>
  <si>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</si>
  <si>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</si>
  <si>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</si>
  <si>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</si>
  <si>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</si>
  <si>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</si>
  <si>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</si>
  <si>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</si>
  <si>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</si>
  <si>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</si>
  <si>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</si>
  <si>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</si>
  <si>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</si>
  <si>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</si>
  <si>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</si>
  <si>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</si>
  <si>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</si>
  <si>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</si>
  <si>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</si>
  <si>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</si>
  <si>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</si>
  <si>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</si>
  <si>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</si>
  <si>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</si>
  <si>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</si>
  <si>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</si>
  <si>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</si>
  <si>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</si>
  <si>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</si>
  <si>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</si>
  <si>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</si>
  <si>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</si>
  <si>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</si>
  <si>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</si>
  <si>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</si>
  <si>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</si>
  <si>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</si>
  <si>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</si>
  <si>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</si>
  <si>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</si>
  <si>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</si>
  <si>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</si>
  <si>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</si>
  <si>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</si>
  <si>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</si>
  <si>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</si>
  <si>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</si>
  <si>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</si>
  <si>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</si>
  <si>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</si>
  <si>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</si>
  <si>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</si>
  <si>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</si>
  <si>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</si>
  <si>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</si>
  <si>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</si>
  <si>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</si>
  <si>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</si>
  <si>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</si>
  <si>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</si>
  <si>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</si>
  <si>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</si>
  <si>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</si>
  <si>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</si>
  <si>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</si>
  <si>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</si>
  <si>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</si>
  <si>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</si>
  <si>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</si>
  <si>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</si>
  <si>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</si>
  <si>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</si>
  <si>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</si>
  <si>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</si>
  <si>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</si>
  <si>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</si>
  <si>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</si>
  <si>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</si>
  <si>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</si>
  <si>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</si>
  <si>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</si>
  <si>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</si>
  <si>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</si>
  <si>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</si>
  <si>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</si>
  <si>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</si>
  <si>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</si>
  <si>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</si>
  <si>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</si>
  <si>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</si>
  <si>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</si>
  <si>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</si>
  <si>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</si>
  <si>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</si>
  <si>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</si>
  <si>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</si>
  <si>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</si>
  <si>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</si>
  <si>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</si>
  <si>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</si>
  <si>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</si>
  <si>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</si>
  <si>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</si>
  <si>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</si>
  <si>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</si>
  <si>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</si>
  <si>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</si>
  <si>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</si>
  <si>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</si>
  <si>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</si>
  <si>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</si>
  <si>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</si>
  <si>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</si>
  <si>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</si>
  <si>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</si>
  <si>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</si>
  <si>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</si>
  <si>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</si>
  <si>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</si>
  <si>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</si>
  <si>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</si>
  <si>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</si>
  <si>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</si>
  <si>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</si>
  <si>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</si>
  <si>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</si>
  <si>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</si>
  <si>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</si>
  <si>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</si>
  <si>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</si>
  <si>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</si>
  <si>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</si>
  <si>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</si>
  <si>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</si>
  <si>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</si>
  <si>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</si>
  <si>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</si>
  <si>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</si>
  <si>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</si>
  <si>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</si>
  <si>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</si>
  <si>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</si>
  <si>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</si>
  <si>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</si>
  <si>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</si>
  <si>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</si>
  <si>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</si>
  <si>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</si>
  <si>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</si>
  <si>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</si>
  <si>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</si>
  <si>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</si>
  <si>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</si>
  <si>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</si>
  <si>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</si>
  <si>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</si>
  <si>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</si>
  <si>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</si>
  <si>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</si>
  <si>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</si>
  <si>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</si>
  <si>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</si>
  <si>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</si>
  <si>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</si>
  <si>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</si>
  <si>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</si>
  <si>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</si>
  <si>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</si>
  <si>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</si>
  <si>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</si>
  <si>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</si>
  <si>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</si>
  <si>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</si>
  <si>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</si>
  <si>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</si>
  <si>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</si>
  <si>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</si>
  <si>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</si>
  <si>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</si>
  <si>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</si>
  <si>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</si>
  <si>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</si>
  <si>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</si>
  <si>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</si>
  <si>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</si>
  <si>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</si>
  <si>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</si>
  <si>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</si>
  <si>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</si>
  <si>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</si>
  <si>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</si>
  <si>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</si>
  <si>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</si>
  <si>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</si>
  <si>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</si>
  <si>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</si>
  <si>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</si>
  <si>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</si>
  <si>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</si>
  <si>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</si>
  <si>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</si>
  <si>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</si>
  <si>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</si>
  <si>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</si>
  <si>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</si>
  <si>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</si>
  <si>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</si>
  <si>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</si>
  <si>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</si>
  <si>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</si>
  <si>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</si>
  <si>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</si>
  <si>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</si>
  <si>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</si>
  <si>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</si>
  <si>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</si>
  <si>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</si>
  <si>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</si>
  <si>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</si>
  <si>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</si>
  <si>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</si>
  <si>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</si>
  <si>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</si>
  <si>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</si>
  <si>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</si>
  <si>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</si>
  <si>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</si>
  <si>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</si>
  <si>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</si>
  <si>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</si>
  <si>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</si>
  <si>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</si>
  <si>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</si>
  <si>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</si>
  <si>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</si>
  <si>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</si>
  <si>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</si>
  <si>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</si>
  <si>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</si>
  <si>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</si>
  <si>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</si>
  <si>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</si>
  <si>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</si>
  <si>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</si>
  <si>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</si>
  <si>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</si>
  <si>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</si>
  <si>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</si>
  <si>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</si>
  <si>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</si>
  <si>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</si>
  <si>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</si>
  <si>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</si>
  <si>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</si>
  <si>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</si>
  <si>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</si>
  <si>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</si>
  <si>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</si>
  <si>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</si>
  <si>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</si>
  <si>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</si>
  <si>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</si>
  <si>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</si>
  <si>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</si>
  <si>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</si>
  <si>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</si>
  <si>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</si>
  <si>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</si>
  <si>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</si>
  <si>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</si>
  <si>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</si>
  <si>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</si>
  <si>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</si>
  <si>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</si>
  <si>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</si>
  <si>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</si>
  <si>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</si>
  <si>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</si>
  <si>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</si>
  <si>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</si>
  <si>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</si>
  <si>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</si>
  <si>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</si>
  <si>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</si>
  <si>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</si>
  <si>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</si>
  <si>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</si>
  <si>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</si>
  <si>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</si>
  <si>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</si>
  <si>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</si>
  <si>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</si>
  <si>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</si>
  <si>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</si>
  <si>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</si>
  <si>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</si>
  <si>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</si>
  <si>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</si>
  <si>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</si>
  <si>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</si>
  <si>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</si>
  <si>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</si>
  <si>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</si>
  <si>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</si>
  <si>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</si>
  <si>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</si>
  <si>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</si>
  <si>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</si>
  <si>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</si>
  <si>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</si>
  <si>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</si>
  <si>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</si>
  <si>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</si>
  <si>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</si>
  <si>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</si>
  <si>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</si>
  <si>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</si>
  <si>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</si>
  <si>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</si>
  <si>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</si>
  <si>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</si>
  <si>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</si>
  <si>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</si>
  <si>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</si>
  <si>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</si>
  <si>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</si>
  <si>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</si>
  <si>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</si>
  <si>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</si>
  <si>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</si>
  <si>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</si>
  <si>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</si>
  <si>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</si>
  <si>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</si>
  <si>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</si>
  <si>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</si>
  <si>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</si>
  <si>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</si>
  <si>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</si>
  <si>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</si>
  <si>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</si>
  <si>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</si>
  <si>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</si>
  <si>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</si>
  <si>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</si>
  <si>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</si>
  <si>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</si>
  <si>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</si>
  <si>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</si>
  <si>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</si>
  <si>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</si>
  <si>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</si>
  <si>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</si>
  <si>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</si>
  <si>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</si>
  <si>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</si>
  <si>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</si>
  <si>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</si>
  <si>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</si>
  <si>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</si>
  <si>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</si>
  <si>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</si>
  <si>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</si>
  <si>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</si>
  <si>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</si>
  <si>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</si>
  <si>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</si>
  <si>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</si>
  <si>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</si>
  <si>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</si>
  <si>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</si>
  <si>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</si>
  <si>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</si>
  <si>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</si>
  <si>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</si>
  <si>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</si>
  <si>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</si>
  <si>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</si>
  <si>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</si>
  <si>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</si>
  <si>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</si>
  <si>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</si>
  <si>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</si>
  <si>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</si>
  <si>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</si>
  <si>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</si>
  <si>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</si>
  <si>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</si>
  <si>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</si>
  <si>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</si>
  <si>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</si>
  <si>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</si>
  <si>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</si>
  <si>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</si>
  <si>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</si>
  <si>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</si>
  <si>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</si>
  <si>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</si>
  <si>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</si>
  <si>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</si>
  <si>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</si>
  <si>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</si>
  <si>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</si>
  <si>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</si>
  <si>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</si>
  <si>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</si>
  <si>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</si>
  <si>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</si>
  <si>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</si>
  <si>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</si>
  <si>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</si>
  <si>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</si>
  <si>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</si>
  <si>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</si>
  <si>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</si>
  <si>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</si>
  <si>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</si>
  <si>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</si>
  <si>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</si>
  <si>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</si>
  <si>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</si>
  <si>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</si>
  <si>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</si>
  <si>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</si>
  <si>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</si>
  <si>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</si>
  <si>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</si>
  <si>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</si>
  <si>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</si>
  <si>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</si>
  <si>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</si>
  <si>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</si>
  <si>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</si>
  <si>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</si>
  <si>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</si>
  <si>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</si>
  <si>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</si>
  <si>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</si>
  <si>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</si>
  <si>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</si>
  <si>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</si>
  <si>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</si>
  <si>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</si>
  <si>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</si>
  <si>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</si>
  <si>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</si>
  <si>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</si>
  <si>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</si>
  <si>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</si>
  <si>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</si>
  <si>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</si>
  <si>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</si>
  <si>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</si>
  <si>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</si>
  <si>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</si>
  <si>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</si>
  <si>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</si>
  <si>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</si>
  <si>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</si>
  <si>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</si>
  <si>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</si>
  <si>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</si>
  <si>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</si>
  <si>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</si>
  <si>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</si>
  <si>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</si>
  <si>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</si>
  <si>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</si>
  <si>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</si>
  <si>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</si>
  <si>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</si>
  <si>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</si>
  <si>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</si>
  <si>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</si>
  <si>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</si>
  <si>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</si>
  <si>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</si>
  <si>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</si>
  <si>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</si>
  <si>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</si>
  <si>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</si>
  <si>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</si>
  <si>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</si>
  <si>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</si>
  <si>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</si>
  <si>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</si>
  <si>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</si>
  <si>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</si>
  <si>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</si>
  <si>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</si>
  <si>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</si>
  <si>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</si>
  <si>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</si>
  <si>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</si>
  <si>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</si>
  <si>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</si>
  <si>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</si>
  <si>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</si>
  <si>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</si>
  <si>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</si>
  <si>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</si>
  <si>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</si>
  <si>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</si>
  <si>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</si>
  <si>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</si>
  <si>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</si>
  <si>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</si>
  <si>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</si>
  <si>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</si>
  <si>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</si>
  <si>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</si>
  <si>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</si>
  <si>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</si>
  <si>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</si>
  <si>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</si>
  <si>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</si>
  <si>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</si>
  <si>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</si>
  <si>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</si>
  <si>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</si>
  <si>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</si>
  <si>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</si>
  <si>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</si>
  <si>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</si>
  <si>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</si>
  <si>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</si>
  <si>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</si>
  <si>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</si>
  <si>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</si>
  <si>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</si>
  <si>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</si>
  <si>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</si>
  <si>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</si>
  <si>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</si>
  <si>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</si>
  <si>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</si>
  <si>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</si>
  <si>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</si>
  <si>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</si>
  <si>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</si>
  <si>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</si>
  <si>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</si>
  <si>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</si>
  <si>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</si>
  <si>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</si>
  <si>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</si>
  <si>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</si>
  <si>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</si>
  <si>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</si>
  <si>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</si>
  <si>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</si>
  <si>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</si>
  <si>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</si>
  <si>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</si>
  <si>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</si>
  <si>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</si>
  <si>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</si>
  <si>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</si>
  <si>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</si>
  <si>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</si>
  <si>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</si>
  <si>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</si>
  <si>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</si>
  <si>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</si>
  <si>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</si>
  <si>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</si>
  <si>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</si>
  <si>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</si>
  <si>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</si>
  <si>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</si>
  <si>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</si>
  <si>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</si>
  <si>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</si>
  <si>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</si>
  <si>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</si>
  <si>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</si>
  <si>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</si>
  <si>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</si>
  <si>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</si>
  <si>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</si>
  <si>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</si>
  <si>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</si>
  <si>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</si>
  <si>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</si>
  <si>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</si>
  <si>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</si>
  <si>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</si>
  <si>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</si>
  <si>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</si>
  <si>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</si>
  <si>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</si>
  <si>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</si>
  <si>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</si>
  <si>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</si>
  <si>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</si>
  <si>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</si>
  <si>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</si>
  <si>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</si>
  <si>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</si>
  <si>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</si>
  <si>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</si>
  <si>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</si>
  <si>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</si>
  <si>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</si>
  <si>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</si>
  <si>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</si>
  <si>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</si>
  <si>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</si>
  <si>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</si>
  <si>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</si>
  <si>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</si>
  <si>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</si>
  <si>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</si>
  <si>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</si>
  <si>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</si>
  <si>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</si>
  <si>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</si>
  <si>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</si>
  <si>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</si>
  <si>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</si>
  <si>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</si>
  <si>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</si>
  <si>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</si>
  <si>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</si>
  <si>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</si>
  <si>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</si>
  <si>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</si>
  <si>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</si>
  <si>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</si>
  <si>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</si>
  <si>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</si>
  <si>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</si>
  <si>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</si>
  <si>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</si>
  <si>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</si>
  <si>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</si>
  <si>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</si>
  <si>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</si>
  <si>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</si>
  <si>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</si>
  <si>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</si>
  <si>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</si>
  <si>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</si>
  <si>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</si>
  <si>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</si>
  <si>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</si>
  <si>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</si>
  <si>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</si>
  <si>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</si>
  <si>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</si>
  <si>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</si>
  <si>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</si>
  <si>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</si>
  <si>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</si>
  <si>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</si>
  <si>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</si>
  <si>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</si>
  <si>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</si>
  <si>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</si>
  <si>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</si>
  <si>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</si>
  <si>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</si>
  <si>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</si>
  <si>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</si>
  <si>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</si>
  <si>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</si>
  <si>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</si>
  <si>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</si>
  <si>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</si>
  <si>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</si>
  <si>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</si>
  <si>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</si>
  <si>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</si>
  <si>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</si>
  <si>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</si>
  <si>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</si>
  <si>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</si>
  <si>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</si>
  <si>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</si>
  <si>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</si>
  <si>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</si>
  <si>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</si>
  <si>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</si>
  <si>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</si>
  <si>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</si>
  <si>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</si>
  <si>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</si>
  <si>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</si>
  <si>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</si>
  <si>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</si>
  <si>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</si>
  <si>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</si>
  <si>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</si>
  <si>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</si>
  <si>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</si>
  <si>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</si>
  <si>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</si>
  <si>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</si>
  <si>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</si>
  <si>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</si>
  <si>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</si>
  <si>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</si>
  <si>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</si>
  <si>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</si>
  <si>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</si>
  <si>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</si>
  <si>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</si>
  <si>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</si>
  <si>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</si>
  <si>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</si>
  <si>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</si>
  <si>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</si>
  <si>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</si>
  <si>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</si>
  <si>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</si>
  <si>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</si>
  <si>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</si>
  <si>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</si>
  <si>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</si>
  <si>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</si>
  <si>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</si>
  <si>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</si>
  <si>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</si>
  <si>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</si>
  <si>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</si>
  <si>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</si>
  <si>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</si>
  <si>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</si>
  <si>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</si>
  <si>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</si>
  <si>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</si>
  <si>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</si>
  <si>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</si>
  <si>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</si>
  <si>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</si>
  <si>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</si>
  <si>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</si>
  <si>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</si>
  <si>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</si>
  <si>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</si>
  <si>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</si>
  <si>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</si>
  <si>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</si>
  <si>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</si>
  <si>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</si>
  <si>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</si>
  <si>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</si>
  <si>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</si>
  <si>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</si>
  <si>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</si>
  <si>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</si>
  <si>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</si>
  <si>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</si>
  <si>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</si>
  <si>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</si>
  <si>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</si>
  <si>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</si>
  <si>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</si>
  <si>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</si>
  <si>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</si>
  <si>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</si>
  <si>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</si>
  <si>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</si>
  <si>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</si>
  <si>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</si>
  <si>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</si>
  <si>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</si>
  <si>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</si>
  <si>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</si>
  <si>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</si>
  <si>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</si>
  <si>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</si>
  <si>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</si>
  <si>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</si>
  <si>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</si>
  <si>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</si>
  <si>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</si>
  <si>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</si>
  <si>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</si>
  <si>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</si>
  <si>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</si>
  <si>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</si>
  <si>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</si>
  <si>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</si>
  <si>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</si>
  <si>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</si>
  <si>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</si>
  <si>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</si>
  <si>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</si>
  <si>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</si>
  <si>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</si>
  <si>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</si>
  <si>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</si>
  <si>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</si>
  <si>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</si>
  <si>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</si>
  <si>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</si>
  <si>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</si>
  <si>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</si>
  <si>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</si>
  <si>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</si>
  <si>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</si>
  <si>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</si>
  <si>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</si>
  <si>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</si>
  <si>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</si>
  <si>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</si>
  <si>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</si>
  <si>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</si>
  <si>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</si>
  <si>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</si>
  <si>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</si>
  <si>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</si>
  <si>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</si>
  <si>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</si>
  <si>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</si>
  <si>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</si>
  <si>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</si>
  <si>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</si>
  <si>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</si>
  <si>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</si>
  <si>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</si>
  <si>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</si>
  <si>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</si>
  <si>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</si>
  <si>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</si>
  <si>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</si>
  <si>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</si>
  <si>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</si>
  <si>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</si>
  <si>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</si>
  <si>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</si>
  <si>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</si>
  <si>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</si>
  <si>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</si>
  <si>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</si>
  <si>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</si>
  <si>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</si>
  <si>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</si>
  <si>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</si>
  <si>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</si>
  <si>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</si>
  <si>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</si>
  <si>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</si>
  <si>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</si>
  <si>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</si>
  <si>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</si>
  <si>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</si>
  <si>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</si>
  <si>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</si>
  <si>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</si>
  <si>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</si>
  <si>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</si>
  <si>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</si>
  <si>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</si>
  <si>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</si>
  <si>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</si>
  <si>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</si>
  <si>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</si>
  <si>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</si>
  <si>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</si>
  <si>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</si>
  <si>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</si>
  <si>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</si>
  <si>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</si>
  <si>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</si>
  <si>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</si>
  <si>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</si>
  <si>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</si>
  <si>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</si>
  <si>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</si>
  <si>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</si>
  <si>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</si>
  <si>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</si>
  <si>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</si>
  <si>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</si>
  <si>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</si>
  <si>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</si>
  <si>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</si>
  <si>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</si>
  <si>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</si>
  <si>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</si>
  <si>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</si>
  <si>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</si>
  <si>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</si>
  <si>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</si>
  <si>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</si>
  <si>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</si>
  <si>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</si>
  <si>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</si>
  <si>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</si>
  <si>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</si>
  <si>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</si>
  <si>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</si>
  <si>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</si>
  <si>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</si>
  <si>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</si>
  <si>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</si>
  <si>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</si>
  <si>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</si>
  <si>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</si>
  <si>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</si>
  <si>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</si>
  <si>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</si>
  <si>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</si>
  <si>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</si>
  <si>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</si>
  <si>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</si>
  <si>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</si>
  <si>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</si>
  <si>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</si>
  <si>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</si>
  <si>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</si>
  <si>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</si>
  <si>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</si>
  <si>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</si>
  <si>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</si>
  <si>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</si>
  <si>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</si>
  <si>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</si>
  <si>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</si>
  <si>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</si>
  <si>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</si>
  <si>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</si>
  <si>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</si>
  <si>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</si>
  <si>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</si>
  <si>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</si>
  <si>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</si>
  <si>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</si>
  <si>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</si>
  <si>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</si>
  <si>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</si>
  <si>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</si>
  <si>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</si>
  <si>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</si>
  <si>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</si>
  <si>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</si>
  <si>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</si>
  <si>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</si>
  <si>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</si>
  <si>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</si>
  <si>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</si>
  <si>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</si>
  <si>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</si>
  <si>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</si>
  <si>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</si>
  <si>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</si>
  <si>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</si>
  <si>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</si>
  <si>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</si>
  <si>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</si>
  <si>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</si>
  <si>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</si>
  <si>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</si>
  <si>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</si>
  <si>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</si>
  <si>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</si>
  <si>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</si>
  <si>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</si>
  <si>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</si>
  <si>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</si>
  <si>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</si>
  <si>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</si>
  <si>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</si>
  <si>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</si>
  <si>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</si>
  <si>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</si>
  <si>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</si>
  <si>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</si>
  <si>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</si>
  <si>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</si>
  <si>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</si>
  <si>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</si>
  <si>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</si>
  <si>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</si>
  <si>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</si>
  <si>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</si>
  <si>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</si>
  <si>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</si>
  <si>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</si>
  <si>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</si>
  <si>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</si>
  <si>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</si>
  <si>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</si>
  <si>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</si>
  <si>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</si>
  <si>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</si>
  <si>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</si>
  <si>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</si>
  <si>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</si>
  <si>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</si>
  <si>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</si>
  <si>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</si>
  <si>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</si>
  <si>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</si>
  <si>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</si>
  <si>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</si>
  <si>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</si>
  <si>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</si>
  <si>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</si>
  <si>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</si>
  <si>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</si>
  <si>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</si>
  <si>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</si>
  <si>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</si>
  <si>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</si>
  <si>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</si>
  <si>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</si>
  <si>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</si>
  <si>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</si>
  <si>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</si>
  <si>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</si>
  <si>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</si>
  <si>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</si>
  <si>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</si>
  <si>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</si>
  <si>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</si>
  <si>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</si>
  <si>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</si>
  <si>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</si>
  <si>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</si>
  <si>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</si>
  <si>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</si>
  <si>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</si>
  <si>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</si>
  <si>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</si>
  <si>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</si>
  <si>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</si>
  <si>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</si>
  <si>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</si>
  <si>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</si>
  <si>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</si>
  <si>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</si>
  <si>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</si>
  <si>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</si>
  <si>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</si>
  <si>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</si>
  <si>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</si>
  <si>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</si>
  <si>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</si>
  <si>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</si>
  <si>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</si>
  <si>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</si>
  <si>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</si>
  <si>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</si>
  <si>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</si>
  <si>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</si>
  <si>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</si>
  <si>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</si>
  <si>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</si>
  <si>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</si>
  <si>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</si>
  <si>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</si>
  <si>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</si>
  <si>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</si>
  <si>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</si>
  <si>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</si>
  <si>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</si>
  <si>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</si>
  <si>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</si>
  <si>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</si>
  <si>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</si>
  <si>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</si>
  <si>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</si>
  <si>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</si>
  <si>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</si>
  <si>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</si>
  <si>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</si>
  <si>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</si>
  <si>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</si>
  <si>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</si>
  <si>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</si>
  <si>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</si>
  <si>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</si>
  <si>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</si>
  <si>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</si>
  <si>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</si>
  <si>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</si>
  <si>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</si>
  <si>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</si>
  <si>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</si>
  <si>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</si>
  <si>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</si>
  <si>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</si>
  <si>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</si>
  <si>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</si>
  <si>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</si>
  <si>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</si>
  <si>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</si>
  <si>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</si>
  <si>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</si>
  <si>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</si>
  <si>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</si>
  <si>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</si>
  <si>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</si>
  <si>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</si>
  <si>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</si>
  <si>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</si>
  <si>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</si>
  <si>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</si>
  <si>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</si>
  <si>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</si>
  <si>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</si>
  <si>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</si>
  <si>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</si>
  <si>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</si>
  <si>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</si>
  <si>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</si>
  <si>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</si>
  <si>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</si>
  <si>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</si>
  <si>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</si>
  <si>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</si>
  <si>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</si>
  <si>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</si>
  <si>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</si>
  <si>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</si>
  <si>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</si>
  <si>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</si>
  <si>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</si>
  <si>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</si>
  <si>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</si>
  <si>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</si>
  <si>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</si>
  <si>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</si>
  <si>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</si>
  <si>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</si>
  <si>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</si>
  <si>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</si>
  <si>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</si>
  <si>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</si>
  <si>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</si>
  <si>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</si>
  <si>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</si>
  <si>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</si>
  <si>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</si>
  <si>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</si>
  <si>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</si>
  <si>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</si>
  <si>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</si>
  <si>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</si>
  <si>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</si>
  <si>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</si>
  <si>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</si>
  <si>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</si>
  <si>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</si>
  <si>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</si>
  <si>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</si>
  <si>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</si>
  <si>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</si>
  <si>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</si>
  <si>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</si>
  <si>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</si>
  <si>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</si>
  <si>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</si>
  <si>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</si>
  <si>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</si>
  <si>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</si>
  <si>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</si>
  <si>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</si>
  <si>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</si>
  <si>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</si>
  <si>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</si>
  <si>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</si>
  <si>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</si>
  <si>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</si>
  <si>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</si>
  <si>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</si>
  <si>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</si>
  <si>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</si>
  <si>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</si>
  <si>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</si>
  <si>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</si>
  <si>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</si>
  <si>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</si>
  <si>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</si>
  <si>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</si>
  <si>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</si>
  <si>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</si>
  <si>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</si>
  <si>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</si>
  <si>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</si>
  <si>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</si>
  <si>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</si>
  <si>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</si>
  <si>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</si>
  <si>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</si>
  <si>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</si>
  <si>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</si>
  <si>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</si>
  <si>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</si>
  <si>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</si>
  <si>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</si>
  <si>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</si>
  <si>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</si>
  <si>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</si>
  <si>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</si>
  <si>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</si>
  <si>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</si>
  <si>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</si>
  <si>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</si>
  <si>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</si>
  <si>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</si>
  <si>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</si>
  <si>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</si>
  <si>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</si>
  <si>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</si>
  <si>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</si>
  <si>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</si>
  <si>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</si>
  <si>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</si>
  <si>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</si>
  <si>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</si>
  <si>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</si>
  <si>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</si>
  <si>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</si>
  <si>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</si>
  <si>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</si>
  <si>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</si>
  <si>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</si>
  <si>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</si>
  <si>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</si>
  <si>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</si>
  <si>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</si>
  <si>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</si>
  <si>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</si>
  <si>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</si>
  <si>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</si>
  <si>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</si>
  <si>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</si>
  <si>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</si>
  <si>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</si>
  <si>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</si>
  <si>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</si>
  <si>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</si>
  <si>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</si>
  <si>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</si>
  <si>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</si>
  <si>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</si>
  <si>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</si>
  <si>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</si>
  <si>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</si>
  <si>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</si>
  <si>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</si>
  <si>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</si>
  <si>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</si>
  <si>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</si>
  <si>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</si>
  <si>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</si>
  <si>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</si>
  <si>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</si>
  <si>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</si>
  <si>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</si>
  <si>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</si>
  <si>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</si>
  <si>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</si>
  <si>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</si>
  <si>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</si>
  <si>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</si>
  <si>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</si>
  <si>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</si>
  <si>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</si>
  <si>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</si>
  <si>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</si>
  <si>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</si>
  <si>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</si>
  <si>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</si>
  <si>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</si>
  <si>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</si>
  <si>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</si>
  <si>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</si>
  <si>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</si>
  <si>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</si>
  <si>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</si>
  <si>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</si>
  <si>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</si>
  <si>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</si>
  <si>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</si>
  <si>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</si>
  <si>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</si>
  <si>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</si>
  <si>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</si>
  <si>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</si>
  <si>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</si>
  <si>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</si>
  <si>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</si>
  <si>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</si>
  <si>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</si>
  <si>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</si>
  <si>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</si>
  <si>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</si>
  <si>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</si>
  <si>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</si>
  <si>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</si>
  <si>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</si>
  <si>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</si>
  <si>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</si>
  <si>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</si>
  <si>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</si>
  <si>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</si>
  <si>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</si>
  <si>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</si>
  <si>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</si>
  <si>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</si>
  <si>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</si>
  <si>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</si>
  <si>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</si>
  <si>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</si>
  <si>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</si>
  <si>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</si>
  <si>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</si>
  <si>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</si>
  <si>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</si>
  <si>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</si>
  <si>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</si>
  <si>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</si>
  <si>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</si>
  <si>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</si>
  <si>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</si>
  <si>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</si>
  <si>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</si>
  <si>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</si>
  <si>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</si>
  <si>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</si>
  <si>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</si>
  <si>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</si>
  <si>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</si>
  <si>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</si>
  <si>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</si>
  <si>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</si>
  <si>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</si>
  <si>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</si>
  <si>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</si>
  <si>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</si>
  <si>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</si>
  <si>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</si>
  <si>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</si>
  <si>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</si>
  <si>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</si>
  <si>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</si>
  <si>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</si>
  <si>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</si>
  <si>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</si>
  <si>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</si>
  <si>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</si>
  <si>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</si>
  <si>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</si>
  <si>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</si>
  <si>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</si>
  <si>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</si>
  <si>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</si>
  <si>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</si>
  <si>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</si>
  <si>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</si>
  <si>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</si>
  <si>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</si>
  <si>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</si>
  <si>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</si>
  <si>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</si>
  <si>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</si>
  <si>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</si>
  <si>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</si>
  <si>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</si>
  <si>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</si>
  <si>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</si>
  <si>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</si>
  <si>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</si>
  <si>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</si>
  <si>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</si>
  <si>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</si>
  <si>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</si>
  <si>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</si>
  <si>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</si>
  <si>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</si>
  <si>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</si>
  <si>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</si>
  <si>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</si>
  <si>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</si>
  <si>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</si>
  <si>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</si>
  <si>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</si>
  <si>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</si>
  <si>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</si>
  <si>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</si>
  <si>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</si>
  <si>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</si>
  <si>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</si>
  <si>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</si>
  <si>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</si>
  <si>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</si>
  <si>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</si>
  <si>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</si>
  <si>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</si>
  <si>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</si>
  <si>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</si>
  <si>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</si>
  <si>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</si>
  <si>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</si>
  <si>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</si>
  <si>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</si>
  <si>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</si>
  <si>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</si>
  <si>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</si>
  <si>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</si>
  <si>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</si>
  <si>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</si>
  <si>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</si>
  <si>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</si>
  <si>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</si>
  <si>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</si>
  <si>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</si>
  <si>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</si>
  <si>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</si>
  <si>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</si>
  <si>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</si>
  <si>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</si>
  <si>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</si>
  <si>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</si>
  <si>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</si>
  <si>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</si>
  <si>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</si>
  <si>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</si>
  <si>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</si>
  <si>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</si>
  <si>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</si>
  <si>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</si>
  <si>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</si>
  <si>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</si>
  <si>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</si>
  <si>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</si>
  <si>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</si>
  <si>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</si>
  <si>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</si>
  <si>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</si>
  <si>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</si>
  <si>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</si>
  <si>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</si>
  <si>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</si>
  <si>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</si>
  <si>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</si>
  <si>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</si>
  <si>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</si>
  <si>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</si>
  <si>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</si>
  <si>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</si>
  <si>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</si>
  <si>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</si>
  <si>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</si>
  <si>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</si>
  <si>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</si>
  <si>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</si>
  <si>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</si>
  <si>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</si>
  <si>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</si>
  <si>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</si>
  <si>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</si>
  <si>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</si>
  <si>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</si>
  <si>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</si>
  <si>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</si>
  <si>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</si>
  <si>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</si>
  <si>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</si>
  <si>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</si>
  <si>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</si>
  <si>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</si>
  <si>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</si>
  <si>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</si>
  <si>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</si>
  <si>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</si>
  <si>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</si>
  <si>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</si>
  <si>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</si>
  <si>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</si>
  <si>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</si>
  <si>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</si>
  <si>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</si>
  <si>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</si>
  <si>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</si>
  <si>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</si>
  <si>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</si>
  <si>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</si>
  <si>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</si>
  <si>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</si>
  <si>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</si>
  <si>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</si>
  <si>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</si>
  <si>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</si>
  <si>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</si>
  <si>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</si>
  <si>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</si>
  <si>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</si>
  <si>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</si>
  <si>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</si>
  <si>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</si>
  <si>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</si>
  <si>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</si>
  <si>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</si>
  <si>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</si>
  <si>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</si>
  <si>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</si>
  <si>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</si>
  <si>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</si>
  <si>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</si>
  <si>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</si>
  <si>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</si>
  <si>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</si>
  <si>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</si>
  <si>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</si>
  <si>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</si>
  <si>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</si>
  <si>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</si>
  <si>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</si>
  <si>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</si>
  <si>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</si>
  <si>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</si>
  <si>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</si>
  <si>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</si>
  <si>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</si>
  <si>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</si>
  <si>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</si>
  <si>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</si>
  <si>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</si>
  <si>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</si>
  <si>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</si>
  <si>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</si>
  <si>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</si>
  <si>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</si>
  <si>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</si>
  <si>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</si>
  <si>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</si>
  <si>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</si>
  <si>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</si>
  <si>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</si>
  <si>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</si>
  <si>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</si>
  <si>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</si>
  <si>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</si>
  <si>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</si>
  <si>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</si>
  <si>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</si>
  <si>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</si>
  <si>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</si>
  <si>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</si>
  <si>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</si>
  <si>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</si>
  <si>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</si>
  <si>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</si>
  <si>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</si>
  <si>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</si>
  <si>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</si>
  <si>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</si>
  <si>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</si>
  <si>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</si>
  <si>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</si>
  <si>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</si>
  <si>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</si>
  <si>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</si>
  <si>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</si>
  <si>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</si>
  <si>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</si>
  <si>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</si>
  <si>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</si>
  <si>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</si>
  <si>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</si>
  <si>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</si>
  <si>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</si>
  <si>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</si>
  <si>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</si>
  <si>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</si>
  <si>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</si>
  <si>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</si>
  <si>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</si>
  <si>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</si>
  <si>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</si>
  <si>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</si>
  <si>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</si>
  <si>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</si>
  <si>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</si>
  <si>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</si>
  <si>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</si>
  <si>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</si>
  <si>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</si>
  <si>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</si>
  <si>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</si>
  <si>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</si>
  <si>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</si>
  <si>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</si>
  <si>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</si>
  <si>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</si>
  <si>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</si>
  <si>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</si>
  <si>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</si>
  <si>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</si>
  <si>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</si>
  <si>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</si>
  <si>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</si>
  <si>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</si>
  <si>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</si>
  <si>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</si>
  <si>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</si>
  <si>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</si>
  <si>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</si>
  <si>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</si>
  <si>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</si>
  <si>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</si>
  <si>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</si>
  <si>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</si>
  <si>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</si>
  <si>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</si>
  <si>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</si>
  <si>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</si>
  <si>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</si>
  <si>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</si>
  <si>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</si>
  <si>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</si>
  <si>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</si>
  <si>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</si>
  <si>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</si>
  <si>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</si>
  <si>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</si>
  <si>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</si>
  <si>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</si>
  <si>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</si>
  <si>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</si>
  <si>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</si>
  <si>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</si>
  <si>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</si>
  <si>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</si>
  <si>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</si>
  <si>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</si>
  <si>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</si>
  <si>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</si>
  <si>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</si>
  <si>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</si>
  <si>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</si>
  <si>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</si>
  <si>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</si>
  <si>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</si>
  <si>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</si>
  <si>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</si>
  <si>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</si>
  <si>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</si>
  <si>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</si>
  <si>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</si>
  <si>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</si>
  <si>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</si>
  <si>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</si>
  <si>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</si>
  <si>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</si>
  <si>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</si>
  <si>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</si>
  <si>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</si>
  <si>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</si>
  <si>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</si>
  <si>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</si>
  <si>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</si>
  <si>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</si>
  <si>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</si>
  <si>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</si>
  <si>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</si>
  <si>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</si>
  <si>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</si>
  <si>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</si>
  <si>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</si>
  <si>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</si>
  <si>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</si>
  <si>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</si>
  <si>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</si>
  <si>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</si>
  <si>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</si>
  <si>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</si>
  <si>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</si>
  <si>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</si>
  <si>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</si>
  <si>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</si>
  <si>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</si>
  <si>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</si>
  <si>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</si>
  <si>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</si>
  <si>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</si>
  <si>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</si>
  <si>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</si>
  <si>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</si>
  <si>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</si>
  <si>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</si>
  <si>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</si>
  <si>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</si>
  <si>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</si>
  <si>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</si>
  <si>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</si>
  <si>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</si>
  <si>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</si>
  <si>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</si>
  <si>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</si>
  <si>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</si>
  <si>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</si>
  <si>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</si>
  <si>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</si>
  <si>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</si>
  <si>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</si>
  <si>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</si>
  <si>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</si>
  <si>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</si>
  <si>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</si>
  <si>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</si>
  <si>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</si>
  <si>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</si>
  <si>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</si>
  <si>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</si>
  <si>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</si>
  <si>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</si>
  <si>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</si>
  <si>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</si>
  <si>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</si>
  <si>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</si>
  <si>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</si>
  <si>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</si>
  <si>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</si>
  <si>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</si>
  <si>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</si>
  <si>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</si>
  <si>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</si>
  <si>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</si>
  <si>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</si>
  <si>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</si>
  <si>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</si>
  <si>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</si>
  <si>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</si>
  <si>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</si>
  <si>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</si>
  <si>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</si>
  <si>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</si>
  <si>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</si>
  <si>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</si>
  <si>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</si>
  <si>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</si>
  <si>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</si>
  <si>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</si>
  <si>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</si>
  <si>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</si>
  <si>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</si>
  <si>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</si>
  <si>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</si>
  <si>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</si>
  <si>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</si>
  <si>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</si>
  <si>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</si>
  <si>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</si>
  <si>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</si>
  <si>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</si>
  <si>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</si>
  <si>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</si>
  <si>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</si>
  <si>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</si>
  <si>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</si>
  <si>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</si>
  <si>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</si>
  <si>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</si>
  <si>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</si>
  <si>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</si>
  <si>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</si>
  <si>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</si>
  <si>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</si>
  <si>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</si>
  <si>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</si>
  <si>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</si>
  <si>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</si>
  <si>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</si>
  <si>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</si>
  <si>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</si>
  <si>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</si>
  <si>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</si>
  <si>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</si>
  <si>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</si>
  <si>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</si>
  <si>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</si>
  <si>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</si>
  <si>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</si>
  <si>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</si>
  <si>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</si>
  <si>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</si>
  <si>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</si>
  <si>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</si>
  <si>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</si>
  <si>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</si>
  <si>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</si>
  <si>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</si>
  <si>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</si>
  <si>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</si>
  <si>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</si>
  <si>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</si>
  <si>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</si>
  <si>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</si>
  <si>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</si>
  <si>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</si>
  <si>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</si>
  <si>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</si>
  <si>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</si>
  <si>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</si>
  <si>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</si>
  <si>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</si>
  <si>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</si>
  <si>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</si>
  <si>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</si>
  <si>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</si>
  <si>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</si>
  <si>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</si>
  <si>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</si>
  <si>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</si>
  <si>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</si>
  <si>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</si>
  <si>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</si>
  <si>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</si>
  <si>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</si>
  <si>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</si>
  <si>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</si>
  <si>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</si>
  <si>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</si>
  <si>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</si>
  <si>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</si>
  <si>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</si>
  <si>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</si>
  <si>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</si>
  <si>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</si>
  <si>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</si>
  <si>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</si>
  <si>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</si>
  <si>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</si>
  <si>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</si>
  <si>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</si>
  <si>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</si>
  <si>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</si>
  <si>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</si>
  <si>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</si>
  <si>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</si>
  <si>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</si>
  <si>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</si>
  <si>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</si>
  <si>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</si>
  <si>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</si>
  <si>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</si>
  <si>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</si>
  <si>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</si>
  <si>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</si>
  <si>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</si>
  <si>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</si>
  <si>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</si>
  <si>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</si>
  <si>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</si>
  <si>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</si>
  <si>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</si>
  <si>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</si>
  <si>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</si>
  <si>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</si>
  <si>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</si>
  <si>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</si>
  <si>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</si>
  <si>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</si>
  <si>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</si>
  <si>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</si>
  <si>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</si>
  <si>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</si>
  <si>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</si>
  <si>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</si>
  <si>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</si>
  <si>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</si>
  <si>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</si>
  <si>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</si>
  <si>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</si>
  <si>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</si>
  <si>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</si>
  <si>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</si>
  <si>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</si>
  <si>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</si>
  <si>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</si>
  <si>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</si>
  <si>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</si>
  <si>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</si>
  <si>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</si>
  <si>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</si>
  <si>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</si>
  <si>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</si>
  <si>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</si>
  <si>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</si>
  <si>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</si>
  <si>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</si>
  <si>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</si>
  <si>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</si>
  <si>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</si>
  <si>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</si>
  <si>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</si>
  <si>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</si>
  <si>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</si>
  <si>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</si>
  <si>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</si>
  <si>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</si>
  <si>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</si>
  <si>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</si>
  <si>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</si>
  <si>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</si>
  <si>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</si>
  <si>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</si>
  <si>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</si>
  <si>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</si>
  <si>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</si>
  <si>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</si>
  <si>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</si>
  <si>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</si>
  <si>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</si>
  <si>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</si>
  <si>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</si>
  <si>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</si>
  <si>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</si>
  <si>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</si>
  <si>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</si>
  <si>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</si>
  <si>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</si>
  <si>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</si>
  <si>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</si>
  <si>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</si>
  <si>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</si>
  <si>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</si>
  <si>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</si>
  <si>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</si>
  <si>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</si>
  <si>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</si>
  <si>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</si>
  <si>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</si>
  <si>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</si>
  <si>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</si>
  <si>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</si>
  <si>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</si>
  <si>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</si>
  <si>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</si>
  <si>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</si>
  <si>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</si>
  <si>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</si>
  <si>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</si>
  <si>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</si>
  <si>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</si>
  <si>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</si>
  <si>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</si>
  <si>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</si>
  <si>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</si>
  <si>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</si>
  <si>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</si>
  <si>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</si>
  <si>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</si>
  <si>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</si>
  <si>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</si>
  <si>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</si>
  <si>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</si>
  <si>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</si>
  <si>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</si>
  <si>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</si>
  <si>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</si>
  <si>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</si>
  <si>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</si>
  <si>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</si>
  <si>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</si>
  <si>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</si>
  <si>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</si>
  <si>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</si>
  <si>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</si>
  <si>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</si>
  <si>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</si>
  <si>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</si>
  <si>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</si>
  <si>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</si>
  <si>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</si>
  <si>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</si>
  <si>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</si>
  <si>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</si>
  <si>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</si>
  <si>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</si>
  <si>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</si>
  <si>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</si>
  <si>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</si>
  <si>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</si>
  <si>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</si>
  <si>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</si>
  <si>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</si>
  <si>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</si>
  <si>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</si>
  <si>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</si>
  <si>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</si>
  <si>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</si>
  <si>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</si>
  <si>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</si>
  <si>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</si>
  <si>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</si>
  <si>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</si>
  <si>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</si>
  <si>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</si>
  <si>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</si>
  <si>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</si>
  <si>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</si>
  <si>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</si>
  <si>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</si>
  <si>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</si>
  <si>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</si>
  <si>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</si>
  <si>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</si>
  <si>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</si>
  <si>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</si>
  <si>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</si>
  <si>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</si>
  <si>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</si>
  <si>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</si>
  <si>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</si>
  <si>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</si>
  <si>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</si>
  <si>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</si>
  <si>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</si>
  <si>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</si>
  <si>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</si>
  <si>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</si>
  <si>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</si>
  <si>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</si>
  <si>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</si>
  <si>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</si>
  <si>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</si>
  <si>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</si>
  <si>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</si>
  <si>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</si>
  <si>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</si>
  <si>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</si>
  <si>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</si>
  <si>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</si>
  <si>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</si>
  <si>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</si>
  <si>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</si>
  <si>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</si>
  <si>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</si>
  <si>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</si>
  <si>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</si>
  <si>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</si>
  <si>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</si>
  <si>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</si>
  <si>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</si>
  <si>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</si>
  <si>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</si>
  <si>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</si>
  <si>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</si>
  <si>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</si>
  <si>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</si>
  <si>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</si>
  <si>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</si>
  <si>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</si>
  <si>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</si>
  <si>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</si>
  <si>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</si>
  <si>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</si>
  <si>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</si>
  <si>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</si>
  <si>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</si>
  <si>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</si>
  <si>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</si>
  <si>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</si>
  <si>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</si>
  <si>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</si>
  <si>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</si>
  <si>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</si>
  <si>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</si>
  <si>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</si>
  <si>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</si>
  <si>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</si>
  <si>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</si>
  <si>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</si>
  <si>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</si>
  <si>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</si>
  <si>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</si>
  <si>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</si>
  <si>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</si>
  <si>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</si>
  <si>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</si>
  <si>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</si>
  <si>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</si>
  <si>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</si>
  <si>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</si>
  <si>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</si>
  <si>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</si>
  <si>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</si>
  <si>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</si>
  <si>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</si>
  <si>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</si>
  <si>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</si>
  <si>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</si>
  <si>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</si>
  <si>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</si>
  <si>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</si>
  <si>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</si>
  <si>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</si>
  <si>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</si>
  <si>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</si>
  <si>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</si>
  <si>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</si>
  <si>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</si>
  <si>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</si>
  <si>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</si>
  <si>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</si>
  <si>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</si>
  <si>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</si>
  <si>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</si>
  <si>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</si>
  <si>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</si>
  <si>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</si>
  <si>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</si>
  <si>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</si>
  <si>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</si>
  <si>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</si>
  <si>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</si>
  <si>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</si>
  <si>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</si>
  <si>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</si>
  <si>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</si>
  <si>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</si>
  <si>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</si>
  <si>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</si>
  <si>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</si>
  <si>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</si>
  <si>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</si>
  <si>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</si>
  <si>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</si>
  <si>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</si>
  <si>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</si>
  <si>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</si>
  <si>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</si>
  <si>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</si>
  <si>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</si>
  <si>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</si>
  <si>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</si>
  <si>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</si>
  <si>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</si>
  <si>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</si>
  <si>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</si>
  <si>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</si>
  <si>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</si>
  <si>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</si>
  <si>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</si>
  <si>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</si>
  <si>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</si>
  <si>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</si>
  <si>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</si>
  <si>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</si>
  <si>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</si>
  <si>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</si>
  <si>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</si>
  <si>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</si>
  <si>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</si>
  <si>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</si>
  <si>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</si>
  <si>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</si>
  <si>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</si>
  <si>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</si>
  <si>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</si>
  <si>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</si>
  <si>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</si>
  <si>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</si>
  <si>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</si>
  <si>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</si>
  <si>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</si>
  <si>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</si>
  <si>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</si>
  <si>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</si>
  <si>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</si>
  <si>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</si>
  <si>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</si>
  <si>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</si>
  <si>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</si>
  <si>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</si>
  <si>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</si>
  <si>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</si>
  <si>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</si>
  <si>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</si>
  <si>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</si>
  <si>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</si>
  <si>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</si>
  <si>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</si>
  <si>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</si>
  <si>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</si>
  <si>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</si>
  <si>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</si>
  <si>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</si>
  <si>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</si>
  <si>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</si>
  <si>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</si>
  <si>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</si>
  <si>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</si>
  <si>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</si>
  <si>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</si>
  <si>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</si>
  <si>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</si>
  <si>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</si>
  <si>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</si>
  <si>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</si>
  <si>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</si>
  <si>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</si>
  <si>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</si>
  <si>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</si>
  <si>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</si>
  <si>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</si>
  <si>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</si>
  <si>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</si>
  <si>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</si>
  <si>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</si>
  <si>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</si>
  <si>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</si>
  <si>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</si>
  <si>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</si>
  <si>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</si>
  <si>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</si>
  <si>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</si>
  <si>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</si>
  <si>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</si>
  <si>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</si>
  <si>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</si>
  <si>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</si>
  <si>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</si>
  <si>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</si>
  <si>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</si>
  <si>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</si>
  <si>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</si>
  <si>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</si>
  <si>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</si>
  <si>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</si>
  <si>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</si>
  <si>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</si>
  <si>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</si>
  <si>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</si>
  <si>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</si>
  <si>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</si>
  <si>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</si>
  <si>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</si>
  <si>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</si>
  <si>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</si>
  <si>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</si>
  <si>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</si>
  <si>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</si>
  <si>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</si>
  <si>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</si>
  <si>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</si>
  <si>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</si>
  <si>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</si>
  <si>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</si>
  <si>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</si>
  <si>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</si>
  <si>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</si>
  <si>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</si>
  <si>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</si>
  <si>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</si>
  <si>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</si>
  <si>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</si>
  <si>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</si>
  <si>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</si>
  <si>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</si>
  <si>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</si>
  <si>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</si>
  <si>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</si>
  <si>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</si>
  <si>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</si>
  <si>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</si>
  <si>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</si>
  <si>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</si>
  <si>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</si>
  <si>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</si>
  <si>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</si>
  <si>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</si>
  <si>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</si>
  <si>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</si>
  <si>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</si>
  <si>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</si>
  <si>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</si>
  <si>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</si>
  <si>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</si>
  <si>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</si>
  <si>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</si>
  <si>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</si>
  <si>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</si>
  <si>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</si>
  <si>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</si>
  <si>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</si>
  <si>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</si>
  <si>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</si>
  <si>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</si>
  <si>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</si>
  <si>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</si>
  <si>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</si>
  <si>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</si>
  <si>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</si>
  <si>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</si>
  <si>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</si>
  <si>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</si>
  <si>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</si>
  <si>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</si>
  <si>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</si>
  <si>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</si>
  <si>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</si>
  <si>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</si>
  <si>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</si>
  <si>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</si>
  <si>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</si>
  <si>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</si>
  <si>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</si>
  <si>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</si>
  <si>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</si>
  <si>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</si>
  <si>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</si>
  <si>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</si>
  <si>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</si>
  <si>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</si>
  <si>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</si>
  <si>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</si>
  <si>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</si>
  <si>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</si>
  <si>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</si>
  <si>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</si>
  <si>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</si>
  <si>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</si>
  <si>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</si>
  <si>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</si>
  <si>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</si>
  <si>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</si>
  <si>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</si>
  <si>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</si>
  <si>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</si>
  <si>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</si>
  <si>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</si>
  <si>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</si>
  <si>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</si>
  <si>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</si>
  <si>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</si>
  <si>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</si>
  <si>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</si>
  <si>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</si>
  <si>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</si>
  <si>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</si>
  <si>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</si>
  <si>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</si>
  <si>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</si>
  <si>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</si>
  <si>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</si>
  <si>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</si>
  <si>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</si>
  <si>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</si>
  <si>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</si>
  <si>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</si>
  <si>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</si>
  <si>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</si>
  <si>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</si>
  <si>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</si>
  <si>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</si>
  <si>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</si>
  <si>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</si>
  <si>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</si>
  <si>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</si>
  <si>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</si>
  <si>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</si>
  <si>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</si>
  <si>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</si>
  <si>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</si>
  <si>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</si>
  <si>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</si>
  <si>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</si>
  <si>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</si>
  <si>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</si>
  <si>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</si>
  <si>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</si>
  <si>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</si>
  <si>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</si>
  <si>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</si>
  <si>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</si>
  <si>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</si>
  <si>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</si>
  <si>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</si>
  <si>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</si>
  <si>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</si>
  <si>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</si>
  <si>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</si>
  <si>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</si>
  <si>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</si>
  <si>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</si>
  <si>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</si>
  <si>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</si>
  <si>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</si>
  <si>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</si>
  <si>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</si>
  <si>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</si>
  <si>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</si>
  <si>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</si>
  <si>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</si>
  <si>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</si>
  <si>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</si>
  <si>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</si>
  <si>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</si>
  <si>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</si>
  <si>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</si>
  <si>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</si>
  <si>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</si>
  <si>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</si>
  <si>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</si>
  <si>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</si>
  <si>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</si>
  <si>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</si>
  <si>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</si>
  <si>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</si>
  <si>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</si>
  <si>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</si>
  <si>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</si>
  <si>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</si>
  <si>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</si>
  <si>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</si>
  <si>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</si>
  <si>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</si>
  <si>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</si>
  <si>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</si>
  <si>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</si>
  <si>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</si>
  <si>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</si>
  <si>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</si>
  <si>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</si>
  <si>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</si>
  <si>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</si>
  <si>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</si>
  <si>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</si>
  <si>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</si>
  <si>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</si>
  <si>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</si>
  <si>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</si>
  <si>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</si>
  <si>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</si>
  <si>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</si>
  <si>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</si>
  <si>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</si>
  <si>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</si>
  <si>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</si>
  <si>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</si>
  <si>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</si>
  <si>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</si>
  <si>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</si>
  <si>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</si>
  <si>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</si>
  <si>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</si>
  <si>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</si>
  <si>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</si>
  <si>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</si>
  <si>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</si>
  <si>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</si>
  <si>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</si>
  <si>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</si>
  <si>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</si>
  <si>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</si>
  <si>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</si>
  <si>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</si>
  <si>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</si>
  <si>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</si>
  <si>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</si>
  <si>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</si>
  <si>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</si>
  <si>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</si>
  <si>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</si>
  <si>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</si>
  <si>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</si>
  <si>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</si>
  <si>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</si>
  <si>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</si>
  <si>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</si>
  <si>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</si>
  <si>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</si>
  <si>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</si>
  <si>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</si>
  <si>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</si>
  <si>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</si>
  <si>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</si>
  <si>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</si>
  <si>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</si>
  <si>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</si>
  <si>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</si>
  <si>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</si>
  <si>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</si>
  <si>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</si>
  <si>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</si>
  <si>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</si>
  <si>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</si>
  <si>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</si>
  <si>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</si>
  <si>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</si>
  <si>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</si>
  <si>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</si>
  <si>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</si>
  <si>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</si>
  <si>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</si>
  <si>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</si>
  <si>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</si>
  <si>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</si>
  <si>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</si>
  <si>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</si>
  <si>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</si>
  <si>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</si>
  <si>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</si>
  <si>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</si>
  <si>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</si>
  <si>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</si>
  <si>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</si>
  <si>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</si>
  <si>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</si>
  <si>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</si>
  <si>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</si>
  <si>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</si>
  <si>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</si>
  <si>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</si>
  <si>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</si>
  <si>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</si>
  <si>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</si>
  <si>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</si>
  <si>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</si>
  <si>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</si>
  <si>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</si>
  <si>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</si>
  <si>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</si>
  <si>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</si>
  <si>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</si>
  <si>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</si>
  <si>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</si>
  <si>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</si>
  <si>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</si>
  <si>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</si>
  <si>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</si>
  <si>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</si>
  <si>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</si>
  <si>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</si>
  <si>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</si>
  <si>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</si>
  <si>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</si>
  <si>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</si>
  <si>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</si>
  <si>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</si>
  <si>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</si>
  <si>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</si>
  <si>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</si>
  <si>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</si>
  <si>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</si>
  <si>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</si>
  <si>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</si>
  <si>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</si>
  <si>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</si>
  <si>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</si>
  <si>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</si>
  <si>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</si>
  <si>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</si>
  <si>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</si>
  <si>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</si>
  <si>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</si>
  <si>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</si>
  <si>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</si>
  <si>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</si>
  <si>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</si>
  <si>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</si>
  <si>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</si>
  <si>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</si>
  <si>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</si>
  <si>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</si>
  <si>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</si>
  <si>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</si>
  <si>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</si>
  <si>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</si>
  <si>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</si>
  <si>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</si>
  <si>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</si>
  <si>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</si>
  <si>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</si>
  <si>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</si>
  <si>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</si>
  <si>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</si>
  <si>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</si>
  <si>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</si>
  <si>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</si>
  <si>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</si>
  <si>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</si>
  <si>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</si>
  <si>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</si>
  <si>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</si>
  <si>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</si>
  <si>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</si>
  <si>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</si>
  <si>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</si>
  <si>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</si>
  <si>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</si>
  <si>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</si>
  <si>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</si>
  <si>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</si>
  <si>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</si>
  <si>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</si>
  <si>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</si>
  <si>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</si>
  <si>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</si>
  <si>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</si>
  <si>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</si>
  <si>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</si>
  <si>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</si>
  <si>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</si>
  <si>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</si>
  <si>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</si>
  <si>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</si>
  <si>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</si>
  <si>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</si>
  <si>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</si>
  <si>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</si>
  <si>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</si>
  <si>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</si>
  <si>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</si>
  <si>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</si>
  <si>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</si>
  <si>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</si>
  <si>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</si>
  <si>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</si>
  <si>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</si>
  <si>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</si>
  <si>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</si>
  <si>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</si>
  <si>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</si>
  <si>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</si>
  <si>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</si>
  <si>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</si>
  <si>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</si>
  <si>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</si>
  <si>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</si>
  <si>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</si>
  <si>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</si>
  <si>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</si>
  <si>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</si>
  <si>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</si>
  <si>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</si>
  <si>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</si>
  <si>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</si>
  <si>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</si>
  <si>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</si>
  <si>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</si>
  <si>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</si>
  <si>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</si>
  <si>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</si>
  <si>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</si>
  <si>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</si>
  <si>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</si>
  <si>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</si>
  <si>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</si>
  <si>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</si>
  <si>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</si>
  <si>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</si>
  <si>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</si>
  <si>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</si>
  <si>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</si>
  <si>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</si>
  <si>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</si>
  <si>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</si>
  <si>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</si>
  <si>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</si>
  <si>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</si>
  <si>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</si>
  <si>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</si>
  <si>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</si>
  <si>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</si>
  <si>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</si>
  <si>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</si>
  <si>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</si>
  <si>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</si>
  <si>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</si>
  <si>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</si>
  <si>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</si>
  <si>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</si>
  <si>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</si>
  <si>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</si>
  <si>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</si>
  <si>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</si>
  <si>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</si>
  <si>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</si>
  <si>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</si>
  <si>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</si>
  <si>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</si>
  <si>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</si>
  <si>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</si>
  <si>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</si>
  <si>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</si>
  <si>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</si>
  <si>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</si>
  <si>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</si>
  <si>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</si>
  <si>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</si>
  <si>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</si>
  <si>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</si>
  <si>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</si>
  <si>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</si>
  <si>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</si>
  <si>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</si>
  <si>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</si>
  <si>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</si>
  <si>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</si>
  <si>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</si>
  <si>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</si>
  <si>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</si>
  <si>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</si>
  <si>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</si>
  <si>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</si>
  <si>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</si>
  <si>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</si>
  <si>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</si>
  <si>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</si>
  <si>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</si>
  <si>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</si>
  <si>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</si>
  <si>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</si>
  <si>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</si>
  <si>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</si>
  <si>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</si>
  <si>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</si>
  <si>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</si>
  <si>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</si>
  <si>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</si>
  <si>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</si>
  <si>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</si>
  <si>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</si>
  <si>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</si>
  <si>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</si>
  <si>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</si>
  <si>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</si>
  <si>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</si>
  <si>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</si>
  <si>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</si>
  <si>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</si>
  <si>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</si>
  <si>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</si>
  <si>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</si>
  <si>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</si>
  <si>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</si>
  <si>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</si>
  <si>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</si>
  <si>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</si>
  <si>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</si>
  <si>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</si>
  <si>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</si>
  <si>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</si>
  <si>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</si>
  <si>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</si>
  <si>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</si>
  <si>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</si>
  <si>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</si>
  <si>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</si>
  <si>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</si>
  <si>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</si>
  <si>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</si>
  <si>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</si>
  <si>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</si>
  <si>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</si>
  <si>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</si>
  <si>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</si>
  <si>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</si>
  <si>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</si>
  <si>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</si>
  <si>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</si>
  <si>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</si>
  <si>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</si>
  <si>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</si>
  <si>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</si>
  <si>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</si>
  <si>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</si>
  <si>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</si>
  <si>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</si>
  <si>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</si>
  <si>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</si>
  <si>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</si>
  <si>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</si>
  <si>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</si>
  <si>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</si>
  <si>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</si>
  <si>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</si>
  <si>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</si>
  <si>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</si>
  <si>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</si>
  <si>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</si>
  <si>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</si>
  <si>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</si>
  <si>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</si>
  <si>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</si>
  <si>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</si>
  <si>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</si>
  <si>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</si>
  <si>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</si>
  <si>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</si>
  <si>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</si>
  <si>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</si>
  <si>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</si>
  <si>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</si>
  <si>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</si>
  <si>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</si>
  <si>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</si>
  <si>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</si>
  <si>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</si>
  <si>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</si>
  <si>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</si>
  <si>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</si>
  <si>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</si>
  <si>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</si>
  <si>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</si>
  <si>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</si>
  <si>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</si>
  <si>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</si>
  <si>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</si>
  <si>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</si>
  <si>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</si>
  <si>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</si>
  <si>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</si>
  <si>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</si>
  <si>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</si>
  <si>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</si>
  <si>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</si>
  <si>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</si>
  <si>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</si>
  <si>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</si>
  <si>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</si>
  <si>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</si>
  <si>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</si>
  <si>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</si>
  <si>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</si>
  <si>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</si>
  <si>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</si>
  <si>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</si>
  <si>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</si>
  <si>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</si>
  <si>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</si>
  <si>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</si>
  <si>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</si>
  <si>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</si>
  <si>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</si>
  <si>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</si>
  <si>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</si>
  <si>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</si>
  <si>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</si>
  <si>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</si>
  <si>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</si>
  <si>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</si>
  <si>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</si>
  <si>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</si>
  <si>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</si>
  <si>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</si>
  <si>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</si>
  <si>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</si>
  <si>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</si>
  <si>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</si>
  <si>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</si>
  <si>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</si>
  <si>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</si>
  <si>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</si>
  <si>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</si>
  <si>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</si>
  <si>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</si>
  <si>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</si>
  <si>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</si>
  <si>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</si>
  <si>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</si>
  <si>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</si>
  <si>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</si>
  <si>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</si>
  <si>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</si>
  <si>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</si>
  <si>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</si>
  <si>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</si>
  <si>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</si>
  <si>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</si>
  <si>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</si>
  <si>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</si>
  <si>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</si>
  <si>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</si>
  <si>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</si>
  <si>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</si>
  <si>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</si>
  <si>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</si>
  <si>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</si>
  <si>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</si>
  <si>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</si>
  <si>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</si>
  <si>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</si>
  <si>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</si>
  <si>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</si>
  <si>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</si>
  <si>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</si>
  <si>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</si>
  <si>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</si>
  <si>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</si>
  <si>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</si>
  <si>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</si>
  <si>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</si>
  <si>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</si>
  <si>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</si>
  <si>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</si>
  <si>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</si>
  <si>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</si>
  <si>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</si>
  <si>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</si>
  <si>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</si>
  <si>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</si>
  <si>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</si>
  <si>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</si>
  <si>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</si>
  <si>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</si>
  <si>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</si>
  <si>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</si>
  <si>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</si>
  <si>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</si>
  <si>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</si>
  <si>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</si>
  <si>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</si>
  <si>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</si>
  <si>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</si>
  <si>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</si>
  <si>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</si>
  <si>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</si>
  <si>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</si>
  <si>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</si>
  <si>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</si>
  <si>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</si>
  <si>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</si>
  <si>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</si>
  <si>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</si>
  <si>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</si>
  <si>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</si>
  <si>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</si>
  <si>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</si>
  <si>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</si>
  <si>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</si>
  <si>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</si>
  <si>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</si>
  <si>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</si>
  <si>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</si>
  <si>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</si>
  <si>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</si>
  <si>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</si>
  <si>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</si>
  <si>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</si>
  <si>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</si>
  <si>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</si>
  <si>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</si>
  <si>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</si>
  <si>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</si>
  <si>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</si>
  <si>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</si>
  <si>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</si>
  <si>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</si>
  <si>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</si>
  <si>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</si>
  <si>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</si>
  <si>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</si>
  <si>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</si>
  <si>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</si>
  <si>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</si>
  <si>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</si>
  <si>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</si>
  <si>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</si>
  <si>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</si>
  <si>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</si>
  <si>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</si>
  <si>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</si>
  <si>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</si>
  <si>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</si>
  <si>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</si>
  <si>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</si>
  <si>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</si>
  <si>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</si>
  <si>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</si>
  <si>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</si>
  <si>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</si>
  <si>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</si>
  <si>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</si>
  <si>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</si>
  <si>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</si>
  <si>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</si>
  <si>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</si>
  <si>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</si>
  <si>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</si>
  <si>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</si>
  <si>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</si>
  <si>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</si>
  <si>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</si>
  <si>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</si>
  <si>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</si>
  <si>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</si>
  <si>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</si>
  <si>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</si>
  <si>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</si>
  <si>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</si>
  <si>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</si>
  <si>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</si>
  <si>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</si>
  <si>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</si>
  <si>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</si>
  <si>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</si>
  <si>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</si>
  <si>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</si>
  <si>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</si>
  <si>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</si>
  <si>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</si>
  <si>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</si>
  <si>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</si>
  <si>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</si>
  <si>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</si>
  <si>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</si>
  <si>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</si>
  <si>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</si>
  <si>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</si>
  <si>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</si>
  <si>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</si>
  <si>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</si>
  <si>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</si>
  <si>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</si>
  <si>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</si>
  <si>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</si>
  <si>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</si>
  <si>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</si>
  <si>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</si>
  <si>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</si>
  <si>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</si>
  <si>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</si>
  <si>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</si>
  <si>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</si>
  <si>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</si>
  <si>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</si>
  <si>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</si>
  <si>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</si>
  <si>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</si>
  <si>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</si>
  <si>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</si>
  <si>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</si>
  <si>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</si>
  <si>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</si>
  <si>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</si>
  <si>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</si>
  <si>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</si>
  <si>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</si>
  <si>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</si>
  <si>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</si>
  <si>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</si>
  <si>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</si>
  <si>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</si>
  <si>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</si>
  <si>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</si>
  <si>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</si>
  <si>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</si>
  <si>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</si>
  <si>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</si>
  <si>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</si>
  <si>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</si>
  <si>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</si>
  <si>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</si>
  <si>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</si>
  <si>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</si>
  <si>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</si>
  <si>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</si>
  <si>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</si>
  <si>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</si>
  <si>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</si>
  <si>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</si>
  <si>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</si>
  <si>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</si>
  <si>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</si>
  <si>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</si>
  <si>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</si>
  <si>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</si>
  <si>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</si>
  <si>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</si>
  <si>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</si>
  <si>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</si>
  <si>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</si>
  <si>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</si>
  <si>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</si>
  <si>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</si>
  <si>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</si>
  <si>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</si>
  <si>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</si>
  <si>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</si>
  <si>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</si>
  <si>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</si>
  <si>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</si>
  <si>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</si>
  <si>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</si>
  <si>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</si>
  <si>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</si>
  <si>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</si>
  <si>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</si>
  <si>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</si>
  <si>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</si>
  <si>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</si>
  <si>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</si>
  <si>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</si>
  <si>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</si>
  <si>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</si>
  <si>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</si>
  <si>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</si>
  <si>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</si>
  <si>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</si>
  <si>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</si>
  <si>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</si>
  <si>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</si>
  <si>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</si>
  <si>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</si>
  <si>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</si>
  <si>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</si>
  <si>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</si>
  <si>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</si>
  <si>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</si>
  <si>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</si>
  <si>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</si>
  <si>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</si>
  <si>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</si>
  <si>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</si>
  <si>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</si>
  <si>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</si>
  <si>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</si>
  <si>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</si>
  <si>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</si>
  <si>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</si>
  <si>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</si>
  <si>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</si>
  <si>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</si>
  <si>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</si>
  <si>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</si>
  <si>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</si>
  <si>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</si>
  <si>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</si>
  <si>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</si>
  <si>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</si>
  <si>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</si>
  <si>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</si>
  <si>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</si>
  <si>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</si>
  <si>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</si>
  <si>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</si>
  <si>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</si>
  <si>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</si>
  <si>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</si>
  <si>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</si>
  <si>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</si>
  <si>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</si>
  <si>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</si>
  <si>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</si>
  <si>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</si>
  <si>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</si>
  <si>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</si>
  <si>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</si>
  <si>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</si>
  <si>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</si>
  <si>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</si>
  <si>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</si>
  <si>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</si>
  <si>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</si>
  <si>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</si>
  <si>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</si>
  <si>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</si>
  <si>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</si>
  <si>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</si>
  <si>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</si>
  <si>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</si>
  <si>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</si>
  <si>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</si>
  <si>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</si>
  <si>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</si>
  <si>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</si>
  <si>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</si>
  <si>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</si>
  <si>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</si>
  <si>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</si>
  <si>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</si>
  <si>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</si>
  <si>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</si>
  <si>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</si>
  <si>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</si>
  <si>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</si>
  <si>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</si>
  <si>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</si>
  <si>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</si>
  <si>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</si>
  <si>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</si>
  <si>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</si>
  <si>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</si>
  <si>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</si>
  <si>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</si>
  <si>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</si>
  <si>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</si>
  <si>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</si>
  <si>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</si>
  <si>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</si>
  <si>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</si>
  <si>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</si>
  <si>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</si>
  <si>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</si>
  <si>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</si>
  <si>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</si>
  <si>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</si>
  <si>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</si>
  <si>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</si>
  <si>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</si>
  <si>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</si>
  <si>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</si>
  <si>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</si>
  <si>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</si>
  <si>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</si>
  <si>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</si>
  <si>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</si>
  <si>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</si>
  <si>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</si>
  <si>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</si>
  <si>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</si>
  <si>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</si>
  <si>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</si>
  <si>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</si>
  <si>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</si>
  <si>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</si>
  <si>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</si>
  <si>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</si>
  <si>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</si>
  <si>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</si>
  <si>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</si>
  <si>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</si>
  <si>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</si>
  <si>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</si>
  <si>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</si>
  <si>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</si>
  <si>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</si>
  <si>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</si>
  <si>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</si>
  <si>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</si>
  <si>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</si>
  <si>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</si>
  <si>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</si>
  <si>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</si>
  <si>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</si>
  <si>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</si>
  <si>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</si>
  <si>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</si>
  <si>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</si>
  <si>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</si>
  <si>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</si>
  <si>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</si>
  <si>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</si>
  <si>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</si>
  <si>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</si>
  <si>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</si>
  <si>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</si>
  <si>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</si>
  <si>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</si>
  <si>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</si>
  <si>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</si>
  <si>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</si>
  <si>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</si>
  <si>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</si>
  <si>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</si>
  <si>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</si>
  <si>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</si>
  <si>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</si>
  <si>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</si>
  <si>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</si>
  <si>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</si>
  <si>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</si>
  <si>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</si>
  <si>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</si>
  <si>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</si>
  <si>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</si>
  <si>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</si>
  <si>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</si>
  <si>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</si>
  <si>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</si>
  <si>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</si>
  <si>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</si>
  <si>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</si>
  <si>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</si>
  <si>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</si>
  <si>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</si>
  <si>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</si>
  <si>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</si>
  <si>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</si>
  <si>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</si>
  <si>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</si>
  <si>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</si>
  <si>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</si>
  <si>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</si>
  <si>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</si>
  <si>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</si>
  <si>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</si>
  <si>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</si>
  <si>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</si>
  <si>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</si>
  <si>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</si>
  <si>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</si>
  <si>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</si>
  <si>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</si>
  <si>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</si>
  <si>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</si>
  <si>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</si>
  <si>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</si>
  <si>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</si>
  <si>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</si>
  <si>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</si>
  <si>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</si>
  <si>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</si>
  <si>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</si>
  <si>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</si>
  <si>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</si>
  <si>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</si>
  <si>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</si>
  <si>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</si>
  <si>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</si>
  <si>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</si>
  <si>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</si>
  <si>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</si>
  <si>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</si>
  <si>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</si>
  <si>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</si>
  <si>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</si>
  <si>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</si>
  <si>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</si>
  <si>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</si>
  <si>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</si>
  <si>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</si>
  <si>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</si>
  <si>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</si>
  <si>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</si>
  <si>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</si>
  <si>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</si>
  <si>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</si>
  <si>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</si>
  <si>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</si>
  <si>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</si>
  <si>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</si>
  <si>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</si>
  <si>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</si>
  <si>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</si>
  <si>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</si>
  <si>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</si>
  <si>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</si>
  <si>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</si>
  <si>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</si>
  <si>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</si>
  <si>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</si>
  <si>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</si>
  <si>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</si>
  <si>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</si>
  <si>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</si>
  <si>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</si>
  <si>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</si>
  <si>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</si>
  <si>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</si>
  <si>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</si>
  <si>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</si>
  <si>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</si>
  <si>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</si>
  <si>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</si>
  <si>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</si>
  <si>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</si>
  <si>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</si>
  <si>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</si>
  <si>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</si>
  <si>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</si>
  <si>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</si>
  <si>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</si>
  <si>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</si>
  <si>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</si>
  <si>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</si>
  <si>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</si>
  <si>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</si>
  <si>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</si>
  <si>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</si>
  <si>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</si>
  <si>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</si>
  <si>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</si>
  <si>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</si>
  <si>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</si>
  <si>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</si>
  <si>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</si>
  <si>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</si>
  <si>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</si>
  <si>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</si>
  <si>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</si>
  <si>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</si>
  <si>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</si>
  <si>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</si>
  <si>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</si>
  <si>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</si>
  <si>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</si>
  <si>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</si>
  <si>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</si>
  <si>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</si>
  <si>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</si>
  <si>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</si>
  <si>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</si>
  <si>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</si>
  <si>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</si>
  <si>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</si>
  <si>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</si>
  <si>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</si>
  <si>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</si>
  <si>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</si>
  <si>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</si>
  <si>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</si>
  <si>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</si>
  <si>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</si>
  <si>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</si>
  <si>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</si>
  <si>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</si>
  <si>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</si>
  <si>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</si>
  <si>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</si>
  <si>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</si>
  <si>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</si>
  <si>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</si>
  <si>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</si>
  <si>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</si>
  <si>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</si>
  <si>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</si>
  <si>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</si>
  <si>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</si>
  <si>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</si>
  <si>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</si>
  <si>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</si>
  <si>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</si>
  <si>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</si>
  <si>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</si>
  <si>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</si>
  <si>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</si>
  <si>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</si>
  <si>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</si>
  <si>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</si>
  <si>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</si>
  <si>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</si>
  <si>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</si>
  <si>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</si>
  <si>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</si>
  <si>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</si>
  <si>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</si>
  <si>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</si>
  <si>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</si>
  <si>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</si>
  <si>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</si>
  <si>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</si>
  <si>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</si>
  <si>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</si>
  <si>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</si>
  <si>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</si>
  <si>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</si>
  <si>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</si>
  <si>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</si>
  <si>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</si>
  <si>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</si>
  <si>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</si>
  <si>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</si>
  <si>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</si>
  <si>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</si>
  <si>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</si>
  <si>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</si>
  <si>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</si>
  <si>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</si>
  <si>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</si>
  <si>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</si>
  <si>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</si>
  <si>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</si>
  <si>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</si>
  <si>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</si>
  <si>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</si>
  <si>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</si>
  <si>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</si>
  <si>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</si>
  <si>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</si>
  <si>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</si>
  <si>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</si>
  <si>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</si>
  <si>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</si>
  <si>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</si>
  <si>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</si>
  <si>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</si>
  <si>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</si>
  <si>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</si>
  <si>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</si>
  <si>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</si>
  <si>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</si>
  <si>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</si>
  <si>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</si>
  <si>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</si>
  <si>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</si>
  <si>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</si>
  <si>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</si>
  <si>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</si>
  <si>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</si>
  <si>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</si>
  <si>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</si>
  <si>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</si>
  <si>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</si>
  <si>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</si>
  <si>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</si>
  <si>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</si>
  <si>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</si>
  <si>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</si>
  <si>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</si>
  <si>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</si>
  <si>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</si>
  <si>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</si>
  <si>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</si>
  <si>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</si>
  <si>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</si>
  <si>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</si>
  <si>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</si>
  <si>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</si>
  <si>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</si>
  <si>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</si>
  <si>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</si>
  <si>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</si>
  <si>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</si>
  <si>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</si>
  <si>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</si>
  <si>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</si>
  <si>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</si>
  <si>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</si>
  <si>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</si>
  <si>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</si>
  <si>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</si>
  <si>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</si>
  <si>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</si>
  <si>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</si>
  <si>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</si>
  <si>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</si>
  <si>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</si>
  <si>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</si>
  <si>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</si>
  <si>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</si>
  <si>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</si>
  <si>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</si>
  <si>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</si>
  <si>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</si>
  <si>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</si>
  <si>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</si>
  <si>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</si>
  <si>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</si>
  <si>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</si>
  <si>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</si>
  <si>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</si>
  <si>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</si>
  <si>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</si>
  <si>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</si>
  <si>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</si>
  <si>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</si>
  <si>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</si>
  <si>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</si>
  <si>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</si>
  <si>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</si>
  <si>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</si>
  <si>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</si>
  <si>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</si>
  <si>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</si>
  <si>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</si>
  <si>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</si>
  <si>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</si>
  <si>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</si>
  <si>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</si>
  <si>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</si>
  <si>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</si>
  <si>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</si>
  <si>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</si>
  <si>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</si>
  <si>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</si>
  <si>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</si>
  <si>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</si>
  <si>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</si>
  <si>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</si>
  <si>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</si>
  <si>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</si>
  <si>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</si>
  <si>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</si>
  <si>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</si>
  <si>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</si>
  <si>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</si>
  <si>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</si>
  <si>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</si>
  <si>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</si>
  <si>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</si>
  <si>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</si>
  <si>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</si>
  <si>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</si>
  <si>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</si>
  <si>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</si>
  <si>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</si>
  <si>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</si>
  <si>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</si>
  <si>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</si>
  <si>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</si>
  <si>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</si>
  <si>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</si>
  <si>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</si>
  <si>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</si>
  <si>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</si>
  <si>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</si>
  <si>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</si>
  <si>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</si>
  <si>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</si>
  <si>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</si>
  <si>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</si>
  <si>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</si>
  <si>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</si>
  <si>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</si>
  <si>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</si>
  <si>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</si>
  <si>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</si>
  <si>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</si>
  <si>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</si>
  <si>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</si>
  <si>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</si>
  <si>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</si>
  <si>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</si>
  <si>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</si>
  <si>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</si>
  <si>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</si>
  <si>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</si>
  <si>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</si>
  <si>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</si>
  <si>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</si>
  <si>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</si>
  <si>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</si>
  <si>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</si>
  <si>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</si>
  <si>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</si>
  <si>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</si>
  <si>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</si>
  <si>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</si>
  <si>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</si>
  <si>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</si>
  <si>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</si>
  <si>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</si>
  <si>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</si>
  <si>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</si>
  <si>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</si>
  <si>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</si>
  <si>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</si>
  <si>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</si>
  <si>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</si>
  <si>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</si>
  <si>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</si>
  <si>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</si>
  <si>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</si>
  <si>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</si>
  <si>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</si>
  <si>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</si>
  <si>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</si>
  <si>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</si>
  <si>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</si>
  <si>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</si>
  <si>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</si>
  <si>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</si>
  <si>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</si>
  <si>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</si>
  <si>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</si>
  <si>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</si>
  <si>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</si>
  <si>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</si>
  <si>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</si>
  <si>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</si>
  <si>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</si>
  <si>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</si>
  <si>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</si>
  <si>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</si>
  <si>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</si>
  <si>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</si>
  <si>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</si>
  <si>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</si>
  <si>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</si>
  <si>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</si>
  <si>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</si>
  <si>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</si>
  <si>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</si>
  <si>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</si>
  <si>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</si>
  <si>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</si>
  <si>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</si>
  <si>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</si>
  <si>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</si>
  <si>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</si>
  <si>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</si>
  <si>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</si>
  <si>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</si>
  <si>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</si>
  <si>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</si>
  <si>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</si>
  <si>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</si>
  <si>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</si>
  <si>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</si>
  <si>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</si>
  <si>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</si>
  <si>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</si>
  <si>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</si>
  <si>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</si>
  <si>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</si>
  <si>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</si>
  <si>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</si>
  <si>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</si>
  <si>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</si>
  <si>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</si>
  <si>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</si>
  <si>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</si>
  <si>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</si>
  <si>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</si>
  <si>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</si>
  <si>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</si>
  <si>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</si>
  <si>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</si>
  <si>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</si>
  <si>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</si>
  <si>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</si>
  <si>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</si>
  <si>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</si>
  <si>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</si>
  <si>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</si>
  <si>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</si>
  <si>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</si>
  <si>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</si>
  <si>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</si>
  <si>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</si>
  <si>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</si>
  <si>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</si>
  <si>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</si>
  <si>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</si>
  <si>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</si>
  <si>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</si>
  <si>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</si>
  <si>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</si>
  <si>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</si>
  <si>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</si>
  <si>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</si>
  <si>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</si>
  <si>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</si>
  <si>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</si>
  <si>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</si>
  <si>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</si>
  <si>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</si>
  <si>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</si>
  <si>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</si>
  <si>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</si>
  <si>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</si>
  <si>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</si>
  <si>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</si>
  <si>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</si>
  <si>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</si>
  <si>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</si>
  <si>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</si>
  <si>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</si>
  <si>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</si>
  <si>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</si>
  <si>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</si>
  <si>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</si>
  <si>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</si>
  <si>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</si>
  <si>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</si>
  <si>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</si>
  <si>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</si>
  <si>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</si>
  <si>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</si>
  <si>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</si>
  <si>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</si>
  <si>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</si>
  <si>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</si>
  <si>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</si>
  <si>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</si>
  <si>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</si>
  <si>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</si>
  <si>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</si>
  <si>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</si>
  <si>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</si>
  <si>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</si>
  <si>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</si>
  <si>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</si>
  <si>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</si>
  <si>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</si>
  <si>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</si>
  <si>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</si>
  <si>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</si>
  <si>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</si>
  <si>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</si>
  <si>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</si>
  <si>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</si>
  <si>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</si>
  <si>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</si>
  <si>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</si>
  <si>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</si>
  <si>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</si>
  <si>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</si>
  <si>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</si>
  <si>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</si>
  <si>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</si>
  <si>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</si>
  <si>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</si>
  <si>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</si>
  <si>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</si>
  <si>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</si>
  <si>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</si>
  <si>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</si>
  <si>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</si>
  <si>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</si>
  <si>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</si>
  <si>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</si>
  <si>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</si>
  <si>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</si>
  <si>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</si>
  <si>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</si>
  <si>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</si>
  <si>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</si>
  <si>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</si>
  <si>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</si>
  <si>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</si>
  <si>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</si>
  <si>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</si>
  <si>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</si>
  <si>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</si>
  <si>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</si>
  <si>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</si>
  <si>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</si>
  <si>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</si>
  <si>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</si>
  <si>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</si>
  <si>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</si>
  <si>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</si>
  <si>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</si>
  <si>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</si>
  <si>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</si>
  <si>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</si>
  <si>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</si>
  <si>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</si>
  <si>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</si>
  <si>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</si>
  <si>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</si>
  <si>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</si>
  <si>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</si>
  <si>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</si>
  <si>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</si>
  <si>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</si>
  <si>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</si>
  <si>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</si>
  <si>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</si>
  <si>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</si>
  <si>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</si>
  <si>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</si>
  <si>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</si>
  <si>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</si>
  <si>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</si>
  <si>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</si>
  <si>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</si>
  <si>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</si>
  <si>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</si>
  <si>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</si>
  <si>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</si>
  <si>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</si>
  <si>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</si>
  <si>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</si>
  <si>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</si>
  <si>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</si>
  <si>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</si>
  <si>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</si>
  <si>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</si>
  <si>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</si>
  <si>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</si>
  <si>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</si>
  <si>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</si>
  <si>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</si>
  <si>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</si>
  <si>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</si>
  <si>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</si>
  <si>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</si>
  <si>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</si>
  <si>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</si>
  <si>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</si>
  <si>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</si>
  <si>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</si>
  <si>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</si>
  <si>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</si>
  <si>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</si>
  <si>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</si>
  <si>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</si>
  <si>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</si>
  <si>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</si>
  <si>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</si>
  <si>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</si>
  <si>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</si>
  <si>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</si>
  <si>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</si>
  <si>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</si>
  <si>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</si>
  <si>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</si>
  <si>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</si>
  <si>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</si>
  <si>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</si>
  <si>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</si>
  <si>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</si>
  <si>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</si>
  <si>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</si>
  <si>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</si>
  <si>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</si>
  <si>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</si>
  <si>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</si>
  <si>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</si>
  <si>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</si>
  <si>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</si>
  <si>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</si>
  <si>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</si>
  <si>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</si>
  <si>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</si>
  <si>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</si>
  <si>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</si>
  <si>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</si>
  <si>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</si>
  <si>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</si>
  <si>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</si>
  <si>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</si>
  <si>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</si>
  <si>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</si>
  <si>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</si>
  <si>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</si>
  <si>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</si>
  <si>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</si>
  <si>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</si>
  <si>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</si>
  <si>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</si>
  <si>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</si>
  <si>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</si>
  <si>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</si>
  <si>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</si>
  <si>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</si>
  <si>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</si>
  <si>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</si>
  <si>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</si>
  <si>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</si>
  <si>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</si>
  <si>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</si>
  <si>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</si>
  <si>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</si>
  <si>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</si>
  <si>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</si>
  <si>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</si>
  <si>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</si>
  <si>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</si>
  <si>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</si>
  <si>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</si>
  <si>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</si>
  <si>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</si>
  <si>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</si>
  <si>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</si>
  <si>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</si>
  <si>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</si>
  <si>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</si>
  <si>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</si>
  <si>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</si>
  <si>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</si>
  <si>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</si>
  <si>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</si>
  <si>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</si>
  <si>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</si>
  <si>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</si>
  <si>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</si>
  <si>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</si>
  <si>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</si>
  <si>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</si>
  <si>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</si>
  <si>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</si>
  <si>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</si>
  <si>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</si>
  <si>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</si>
  <si>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</si>
  <si>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</si>
  <si>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</si>
  <si>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</si>
  <si>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</si>
  <si>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</si>
  <si>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</si>
  <si>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</si>
  <si>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</si>
  <si>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</si>
  <si>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김희철</t>
    <phoneticPr fontId="2" type="noConversion"/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</si>
  <si>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</si>
  <si>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</si>
  <si>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</si>
  <si>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</si>
  <si>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</si>
  <si>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</si>
  <si>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</si>
  <si>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</si>
  <si>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</si>
  <si>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</si>
  <si>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</si>
  <si>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</si>
  <si>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</si>
  <si>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</si>
  <si>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</si>
  <si>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</si>
  <si>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</si>
  <si>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</si>
  <si>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</si>
  <si>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</si>
  <si>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</si>
  <si>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</si>
  <si>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</si>
  <si>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</si>
  <si>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</si>
  <si>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o</t>
    <phoneticPr fontId="2" type="noConversion"/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</si>
  <si>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</si>
  <si>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</si>
  <si>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</si>
  <si>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</si>
  <si>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</si>
  <si>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</si>
  <si>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</si>
  <si>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</si>
  <si>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</si>
  <si>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</si>
  <si>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</si>
  <si>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</si>
  <si>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</si>
  <si>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</si>
  <si>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</si>
  <si>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</si>
  <si>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</si>
  <si>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</si>
  <si>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</si>
  <si>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</si>
  <si>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</si>
  <si>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</si>
  <si>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</si>
  <si>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</si>
  <si>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</si>
  <si>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</si>
  <si>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</si>
  <si>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</si>
  <si>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</si>
  <si>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</si>
  <si>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</si>
  <si>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</si>
  <si>
    <t>박정수</t>
    <phoneticPr fontId="2" type="noConversion"/>
  </si>
  <si>
    <t>0B5_Repair_kit &amp; Solenoid</t>
  </si>
  <si>
    <t>0B5_Repair_kit</t>
  </si>
  <si>
    <t>농협 3520106511413</t>
    <phoneticPr fontId="2" type="noConversion"/>
  </si>
  <si>
    <t>2025-11-19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</si>
  <si>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</si>
  <si>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</si>
  <si>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</si>
  <si>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</si>
  <si>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</si>
  <si>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</si>
  <si>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</si>
  <si>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청주오토(청주)_251119_175518.xlsx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</si>
</sst>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2300000</c:v>
                </c:pt>
                <c:pt idx="1">
                  <c:v>2494000</c:v>
                </c:pt>
                <c:pt idx="2">
                  <c:v>400000</c:v>
                </c:pt>
                <c:pt idx="3">
                  <c:v>5650000</c:v>
                </c:pt>
                <c:pt idx="4">
                  <c:v>2035000</c:v>
                </c:pt>
                <c:pt idx="5">
                  <c:v>1100000</c:v>
                </c:pt>
                <c:pt idx="6">
                  <c:v>0</c:v>
                </c:pt>
                <c:pt idx="7">
                  <c:v>2850000</c:v>
                </c:pt>
                <c:pt idx="8">
                  <c:v>1760000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16</c:v>
                      </c:pt>
                      <c:pt idx="1">
                        <c:v>15</c:v>
                      </c:pt>
                      <c:pt idx="2">
                        <c:v>43</c:v>
                      </c:pt>
                      <c:pt idx="3">
                        <c:v>2</c:v>
                      </c:pt>
                      <c:pt idx="4">
                        <c:v>19</c:v>
                      </c:pt>
                      <c:pt idx="5">
                        <c:v>33</c:v>
                      </c:pt>
                      <c:pt idx="6">
                        <c:v>48</c:v>
                      </c:pt>
                      <c:pt idx="7">
                        <c:v>11</c:v>
                      </c:pt>
                      <c:pt idx="8">
                        <c:v>21</c:v>
                      </c:pt>
                      <c:pt idx="9">
                        <c:v>16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3582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1195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4380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45980</v>
      </c>
      <c r="U2" s="315"/>
    </row>
    <row r="3" spans="1:21" ht="24.95" customHeight="1" x14ac:dyDescent="0.3">
      <c r="A3" s="382" t="s">
        <v>1165</v>
      </c>
      <c r="B3" s="37" t="s">
        <v>59</v>
      </c>
      <c r="C3" s="385" t="s">
        <v>2465</v>
      </c>
      <c r="D3" s="386"/>
      <c r="E3" s="386"/>
      <c r="F3" s="386"/>
      <c r="G3" s="386"/>
      <c r="H3" s="386"/>
      <c r="I3" s="386"/>
      <c r="J3" s="387"/>
      <c r="K3" s="388" t="s">
        <v>1166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2942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2941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32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2248</v>
      </c>
      <c r="B8" s="424"/>
      <c r="C8" s="424"/>
      <c r="D8" s="424"/>
      <c r="E8" s="425"/>
      <c r="F8" s="426" t="s">
        <v>2247</v>
      </c>
      <c r="G8" s="427"/>
      <c r="H8" s="427"/>
      <c r="I8" s="428"/>
      <c r="J8" s="434">
        <v>1300000</v>
      </c>
      <c r="K8" s="434"/>
      <c r="L8" s="434"/>
      <c r="M8" s="434"/>
      <c r="N8" s="434"/>
      <c r="O8" s="435">
        <v>1</v>
      </c>
      <c r="P8" s="435"/>
      <c r="Q8" s="429"/>
      <c r="R8" s="430"/>
      <c r="S8" s="431"/>
      <c r="T8" s="432">
        <v>1300000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2310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0</v>
      </c>
      <c r="G20" s="318"/>
      <c r="H20" s="318"/>
      <c r="I20" s="319"/>
      <c r="J20" s="355">
        <f>SUM(J8:N19)</f>
        <v>1300000</v>
      </c>
      <c r="K20" s="356"/>
      <c r="L20" s="356"/>
      <c r="M20" s="356"/>
      <c r="N20" s="357"/>
      <c r="O20" s="320">
        <f>SUM(O8:P19)</f>
        <v>1</v>
      </c>
      <c r="P20" s="320"/>
      <c r="Q20" s="358">
        <f>SUM(Q8:S19)</f>
        <v>0</v>
      </c>
      <c r="R20" s="318"/>
      <c r="S20" s="319"/>
      <c r="T20" s="318">
        <f>SUM(T8:U15)</f>
        <v>1300000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1300000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청주오토(청주)</v>
      </c>
      <c r="R21" s="326"/>
      <c r="S21" s="326"/>
      <c r="T21" s="326"/>
      <c r="U21" s="378"/>
    </row>
    <row r="22" spans="1:21" ht="20.100000000000001" customHeight="1" x14ac:dyDescent="0.3">
      <c r="A22" s="305" t="s">
        <v>4389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1195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농협 3520106511413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45980</v>
      </c>
      <c r="U25" s="315"/>
    </row>
    <row r="26" spans="1:21" ht="24.95" customHeight="1" x14ac:dyDescent="0.3">
      <c r="A26" s="382" t="s">
        <v>1165</v>
      </c>
      <c r="B26" s="37" t="s">
        <v>59</v>
      </c>
      <c r="C26" s="385" t="str">
        <f>C3</f>
        <v>청주오토(청주)</v>
      </c>
      <c r="D26" s="386"/>
      <c r="E26" s="386"/>
      <c r="F26" s="386"/>
      <c r="G26" s="386"/>
      <c r="H26" s="386"/>
      <c r="I26" s="386"/>
      <c r="J26" s="387"/>
      <c r="K26" s="388" t="s">
        <v>1166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충북 청주시 청원구 사천동 194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010-5420-2735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경동(화물)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0CK_TCU</v>
      </c>
      <c r="B31" s="373"/>
      <c r="C31" s="373"/>
      <c r="D31" s="373"/>
      <c r="E31" s="373"/>
      <c r="F31" s="373" t="str">
        <f>F8</f>
        <v>927156AA</v>
      </c>
      <c r="G31" s="373"/>
      <c r="H31" s="373"/>
      <c r="I31" s="373"/>
      <c r="J31" s="377">
        <f>J8</f>
        <v>1300000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0</v>
      </c>
      <c r="R31" s="374"/>
      <c r="S31" s="374"/>
      <c r="T31" s="375">
        <f>T8</f>
        <v>1300000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2310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0</v>
      </c>
      <c r="G43" s="318"/>
      <c r="H43" s="318"/>
      <c r="I43" s="319"/>
      <c r="J43" s="355">
        <f>J20</f>
        <v>1300000</v>
      </c>
      <c r="K43" s="356"/>
      <c r="L43" s="356"/>
      <c r="M43" s="356"/>
      <c r="N43" s="357"/>
      <c r="O43" s="320">
        <f>O20</f>
        <v>1</v>
      </c>
      <c r="P43" s="320"/>
      <c r="Q43" s="358">
        <f>Q20</f>
        <v>0</v>
      </c>
      <c r="R43" s="318"/>
      <c r="S43" s="318"/>
      <c r="T43" s="318">
        <f>T20</f>
        <v>1300000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1300000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청주오토(청주)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1300000</v>
      </c>
      <c r="H1" s="107">
        <f>SUM(H2:H2)</f>
        <v>1</v>
      </c>
      <c r="I1" s="107">
        <f>SUM(I2:I2)</f>
        <v>0</v>
      </c>
      <c r="J1" s="107">
        <f>SUM(J2:J2)</f>
        <v>1300000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4381</v>
      </c>
      <c r="C2" s="47" t="s">
        <v>2312</v>
      </c>
      <c r="D2" s="290" t="s">
        <v>1199</v>
      </c>
      <c r="E2" t="s">
        <v>2173</v>
      </c>
      <c r="F2" s="290" t="s">
        <v>1199</v>
      </c>
      <c r="G2">
        <v>1300000</v>
      </c>
      <c r="H2">
        <v>1</v>
      </c>
      <c r="I2" s="226"/>
      <c r="J2" s="226">
        <v>1300000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1552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1553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313"/>
  <sheetViews>
    <sheetView workbookViewId="0">
      <pane xSplit="1" ySplit="1" topLeftCell="B98" activePane="bottomRight" state="frozen"/>
      <selection activeCell="N26" sqref="N26"/>
      <selection pane="topRight" activeCell="N26" sqref="N26"/>
      <selection pane="bottomLeft" activeCell="N26" sqref="N26"/>
      <selection pane="bottomRight" activeCell="E114" sqref="E11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2314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4378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4379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4378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4379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4379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4379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4379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3657</v>
      </c>
      <c r="E196" s="292" t="s">
        <v>1853</v>
      </c>
      <c r="F196" s="269" t="s">
        <v>3657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4379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4379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4379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3657</v>
      </c>
      <c r="E236" s="292" t="s">
        <v>1853</v>
      </c>
      <c r="F236" s="269" t="s">
        <v>3657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4379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4379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4379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4379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4379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4379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4379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4379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4024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4024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4024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4024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4024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3605</v>
      </c>
      <c r="E1490" s="292" t="s">
        <v>3606</v>
      </c>
      <c r="F1490" s="269" t="s">
        <v>3607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3605</v>
      </c>
      <c r="E1493" s="292" t="s">
        <v>3608</v>
      </c>
      <c r="G1493" s="265">
        <v>150000</v>
      </c>
      <c r="H1493" s="269">
        <v>1</v>
      </c>
      <c r="J1493" s="266" t="s">
        <v>3609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4024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3651</v>
      </c>
      <c r="E1578" s="292" t="s">
        <v>3653</v>
      </c>
      <c r="F1578" s="269" t="s">
        <v>3654</v>
      </c>
      <c r="G1578" s="265">
        <v>150000</v>
      </c>
      <c r="H1578" s="269">
        <v>1</v>
      </c>
      <c r="K1578" s="265">
        <v>150000</v>
      </c>
      <c r="M1578" s="292" t="s">
        <v>3655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3565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3575</v>
      </c>
      <c r="F1675" s="269" t="s">
        <v>3585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3587</v>
      </c>
      <c r="F1683" s="269" t="s">
        <v>3586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3584</v>
      </c>
      <c r="F1685" s="269" t="s">
        <v>3583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3575</v>
      </c>
      <c r="F1686" s="269" t="s">
        <v>3585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3581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3617</v>
      </c>
      <c r="E1692" s="292" t="s">
        <v>3618</v>
      </c>
      <c r="F1692" s="269" t="s">
        <v>3619</v>
      </c>
      <c r="G1692" s="265">
        <v>350000</v>
      </c>
      <c r="H1692" s="269">
        <v>2</v>
      </c>
      <c r="J1692" s="266" t="s">
        <v>3620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3565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3575</v>
      </c>
      <c r="F1701" s="269" t="s">
        <v>3585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3703</v>
      </c>
      <c r="E1714" s="292" t="s">
        <v>3704</v>
      </c>
      <c r="F1714" s="269" t="s">
        <v>3705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3639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3575</v>
      </c>
      <c r="F1732" s="269" t="s">
        <v>3585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3651</v>
      </c>
      <c r="E1746" s="292" t="s">
        <v>3652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3650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3575</v>
      </c>
      <c r="F1749" s="269" t="s">
        <v>3585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3713</v>
      </c>
      <c r="E1768" s="292">
        <v>2703900</v>
      </c>
      <c r="F1768" s="269" t="s">
        <v>3714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3713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3716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3716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3721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3722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3726</v>
      </c>
      <c r="H1775" s="269">
        <v>1</v>
      </c>
      <c r="K1775" s="265">
        <v>0</v>
      </c>
      <c r="M1775" s="292" t="s">
        <v>3727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3735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3740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3742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3744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4233</v>
      </c>
      <c r="D1791" s="295" t="s">
        <v>4093</v>
      </c>
      <c r="E1791" s="292" t="s">
        <v>4234</v>
      </c>
      <c r="F1791" s="269" t="s">
        <v>4235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4233</v>
      </c>
      <c r="D1792" s="295" t="s">
        <v>4093</v>
      </c>
      <c r="E1792" s="292" t="s">
        <v>4236</v>
      </c>
      <c r="F1792" s="269" t="s">
        <v>4237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4233</v>
      </c>
      <c r="D1793" s="295" t="s">
        <v>4093</v>
      </c>
      <c r="E1793" s="292" t="s">
        <v>4238</v>
      </c>
      <c r="F1793" s="269" t="s">
        <v>4239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3751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3762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3771</v>
      </c>
      <c r="E1810" s="292" t="s">
        <v>3772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3771</v>
      </c>
      <c r="E1811" s="292" t="s">
        <v>3773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3770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3776</v>
      </c>
      <c r="E1819" s="292" t="s">
        <v>3777</v>
      </c>
      <c r="F1819" s="269" t="s">
        <v>3778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3808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3808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3817</v>
      </c>
      <c r="F1834" s="269" t="s">
        <v>3816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3811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3821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3811</v>
      </c>
      <c r="E1838" s="292" t="s">
        <v>3825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3841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3622</v>
      </c>
      <c r="F1855" s="269" t="s">
        <v>3621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4092</v>
      </c>
      <c r="D1856" s="295" t="s">
        <v>4093</v>
      </c>
      <c r="E1856" s="292" t="s">
        <v>4094</v>
      </c>
      <c r="F1856" s="269" t="s">
        <v>4095</v>
      </c>
      <c r="G1856" s="265">
        <v>250000</v>
      </c>
      <c r="H1856" s="269">
        <v>1</v>
      </c>
      <c r="K1856" s="265">
        <v>0</v>
      </c>
      <c r="M1856" s="304" t="s">
        <v>3849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3808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3860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3808</v>
      </c>
      <c r="E1870" s="292" t="s">
        <v>3861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3862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3863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3872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3870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3874</v>
      </c>
    </row>
    <row r="1880" spans="1:15" x14ac:dyDescent="0.3">
      <c r="A1880" s="271">
        <v>1879</v>
      </c>
      <c r="B1880" s="264">
        <v>45943</v>
      </c>
      <c r="C1880" s="292" t="s">
        <v>3876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4223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4222</v>
      </c>
    </row>
    <row r="1884" spans="1:15" x14ac:dyDescent="0.3">
      <c r="A1884" s="271">
        <v>1883</v>
      </c>
      <c r="B1884" s="264">
        <v>45943</v>
      </c>
      <c r="C1884" s="292" t="s">
        <v>3882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3882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3886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3882</v>
      </c>
      <c r="E1888" s="292" t="s">
        <v>3888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3891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3892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3876</v>
      </c>
      <c r="E1892" s="292" t="s">
        <v>3894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4064</v>
      </c>
      <c r="E1894" s="292" t="s">
        <v>4065</v>
      </c>
      <c r="F1894" s="269" t="s">
        <v>4066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4064</v>
      </c>
      <c r="E1895" s="292" t="s">
        <v>4067</v>
      </c>
      <c r="F1895" s="269" t="s">
        <v>4068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3901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3909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3912</v>
      </c>
      <c r="F1909" s="269" t="s">
        <v>3911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3915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4222</v>
      </c>
    </row>
    <row r="1915" spans="1:15" x14ac:dyDescent="0.3">
      <c r="A1915" s="58">
        <v>1915</v>
      </c>
      <c r="B1915" s="264">
        <v>45945</v>
      </c>
      <c r="C1915" s="292" t="s">
        <v>4014</v>
      </c>
      <c r="E1915" s="292" t="s">
        <v>4015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4014</v>
      </c>
      <c r="E1916" s="292" t="s">
        <v>4016</v>
      </c>
      <c r="F1916" s="269" t="s">
        <v>4017</v>
      </c>
      <c r="G1916" s="265">
        <v>1000000</v>
      </c>
      <c r="H1916" s="269">
        <v>1</v>
      </c>
      <c r="J1916" s="266" t="s">
        <v>4018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3918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3930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3918</v>
      </c>
      <c r="E1929" s="292" t="s">
        <v>3931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3808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3860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3808</v>
      </c>
      <c r="E1938" s="292" t="s">
        <v>3947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3932</v>
      </c>
      <c r="E1939" s="292" t="s">
        <v>3948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3930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4019</v>
      </c>
      <c r="E1954" s="292" t="s">
        <v>4020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3962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3966</v>
      </c>
      <c r="E1960" s="292" t="s">
        <v>3965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3976</v>
      </c>
      <c r="F1970" s="269" t="s">
        <v>3975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3918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3918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3918</v>
      </c>
      <c r="E1974" s="292" t="s">
        <v>3981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4108</v>
      </c>
      <c r="E1976" s="292" t="s">
        <v>4109</v>
      </c>
      <c r="F1976" s="269" t="s">
        <v>4110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4002</v>
      </c>
      <c r="F1991" s="269" t="s">
        <v>4001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4222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4150</v>
      </c>
      <c r="D2026" s="295" t="s">
        <v>4093</v>
      </c>
      <c r="E2026" s="292" t="s">
        <v>4151</v>
      </c>
      <c r="F2026" s="269" t="s">
        <v>4152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4130</v>
      </c>
      <c r="D2027" s="295" t="s">
        <v>4093</v>
      </c>
      <c r="E2027" s="292" t="s">
        <v>4133</v>
      </c>
      <c r="F2027" s="269" t="s">
        <v>4134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4074</v>
      </c>
      <c r="E2030" s="292" t="s">
        <v>4075</v>
      </c>
      <c r="F2030" s="269" t="s">
        <v>4076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4041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4056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4052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3951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4048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4048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4048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4048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4048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4052</v>
      </c>
      <c r="E2049" s="292" t="s">
        <v>4070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4048</v>
      </c>
      <c r="E2050" s="292" t="s">
        <v>4071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4091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3951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3951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4077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4077</v>
      </c>
      <c r="E2072" s="292" t="s">
        <v>4090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3622</v>
      </c>
      <c r="F2077" s="269" t="s">
        <v>3621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4096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4130</v>
      </c>
      <c r="E2082" s="292" t="s">
        <v>4131</v>
      </c>
      <c r="F2082" s="269" t="s">
        <v>4132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4096</v>
      </c>
      <c r="E2087" s="292" t="s">
        <v>4107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4111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4162</v>
      </c>
      <c r="D2090" s="295" t="s">
        <v>4093</v>
      </c>
      <c r="E2090" s="292" t="s">
        <v>4151</v>
      </c>
      <c r="F2090" s="269" t="s">
        <v>4152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4116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4117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4121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4052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4052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4145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4140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4141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4052</v>
      </c>
      <c r="E2120" s="292" t="s">
        <v>4143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4197</v>
      </c>
      <c r="D2121" s="295" t="s">
        <v>4093</v>
      </c>
      <c r="E2121" s="292" t="s">
        <v>4198</v>
      </c>
      <c r="F2121" s="269" t="s">
        <v>4199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4154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4201</v>
      </c>
      <c r="D2128" s="295" t="s">
        <v>4093</v>
      </c>
      <c r="E2128" s="292" t="s">
        <v>4202</v>
      </c>
      <c r="F2128" s="269" t="s">
        <v>4203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4164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4165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3930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4166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4154</v>
      </c>
      <c r="E2134" s="292" t="s">
        <v>4167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4168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3775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3770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4169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4024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3899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3657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4180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4181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4182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4183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4186</v>
      </c>
      <c r="E2153" s="292" t="s">
        <v>4184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4187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4266</v>
      </c>
      <c r="E2161" s="292" t="s">
        <v>4267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4194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3966</v>
      </c>
      <c r="E2163" s="292" t="s">
        <v>4196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4200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4321</v>
      </c>
      <c r="E2165" s="292" t="s">
        <v>4322</v>
      </c>
      <c r="F2165" s="269" t="s">
        <v>4323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4246</v>
      </c>
      <c r="D2167" s="295" t="s">
        <v>4247</v>
      </c>
      <c r="E2167" s="292" t="s">
        <v>4248</v>
      </c>
      <c r="F2167" s="269" t="s">
        <v>4249</v>
      </c>
      <c r="G2167" s="265">
        <v>50000</v>
      </c>
      <c r="H2167" s="269">
        <v>1</v>
      </c>
      <c r="M2167" s="292" t="s">
        <v>4210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4211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4211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4218</v>
      </c>
      <c r="E2170" s="292" t="s">
        <v>4219</v>
      </c>
      <c r="F2170" s="269" t="s">
        <v>4220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4183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4217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4221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3774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3810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4226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4230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3951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4240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4164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4031</v>
      </c>
      <c r="E2192" s="292" t="s">
        <v>4241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4031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4250</v>
      </c>
      <c r="E2199" s="292" t="s">
        <v>4251</v>
      </c>
      <c r="F2199" s="269" t="s">
        <v>4252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4253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4129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4255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4258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4262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4263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3890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4268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4270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4196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4278</v>
      </c>
      <c r="E2218" s="292" t="s">
        <v>4279</v>
      </c>
      <c r="F2218" s="269" t="s">
        <v>4280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4277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4281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4282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3951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4290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4292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3587</v>
      </c>
      <c r="F2228" s="269" t="s">
        <v>3586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4298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4299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4300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4301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4183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4302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4303</v>
      </c>
      <c r="E2245" s="292" t="s">
        <v>1201</v>
      </c>
      <c r="F2245" s="269" t="s">
        <v>1746</v>
      </c>
      <c r="G2245" s="265">
        <v>1300000</v>
      </c>
      <c r="H2245" s="269">
        <v>1</v>
      </c>
      <c r="K2245" s="265">
        <v>1300000</v>
      </c>
    </row>
    <row r="2246" spans="1:12" x14ac:dyDescent="0.3">
      <c r="A2246" s="58">
        <v>2246</v>
      </c>
      <c r="B2246" s="264">
        <v>45974</v>
      </c>
      <c r="C2246" s="292" t="s">
        <v>4303</v>
      </c>
      <c r="E2246" s="292" t="s">
        <v>2377</v>
      </c>
      <c r="F2246" s="269" t="s">
        <v>2869</v>
      </c>
      <c r="G2246" s="265">
        <v>700000</v>
      </c>
      <c r="H2246" s="269">
        <v>1</v>
      </c>
      <c r="K2246" s="265">
        <v>700000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4310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3930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4320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4182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4317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4314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4204</v>
      </c>
      <c r="E2255" s="292" t="s">
        <v>4324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4325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4326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4329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4333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4335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3828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4341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4342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4343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4345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4373</v>
      </c>
      <c r="E2279" s="292" t="s">
        <v>4374</v>
      </c>
      <c r="F2279" s="269" t="s">
        <v>4375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4350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4355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4164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4357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4364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4377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4182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2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2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2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2" x14ac:dyDescent="0.3">
      <c r="A2308" s="58">
        <v>2308</v>
      </c>
      <c r="B2308" s="264">
        <v>45980</v>
      </c>
      <c r="C2308" s="292" t="s">
        <v>4369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2" x14ac:dyDescent="0.3">
      <c r="A2309" s="58">
        <v>2309</v>
      </c>
      <c r="B2309" s="264">
        <v>45980</v>
      </c>
      <c r="C2309" s="292" t="s">
        <v>4369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2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2" x14ac:dyDescent="0.3">
      <c r="A2311" s="58">
        <v>2311</v>
      </c>
      <c r="B2311" s="264">
        <v>45980</v>
      </c>
      <c r="C2311" s="292" t="s">
        <v>4369</v>
      </c>
      <c r="E2311" s="292" t="s">
        <v>4387</v>
      </c>
      <c r="L2311" s="265">
        <v>-1705000</v>
      </c>
    </row>
    <row r="2312" spans="1:12" x14ac:dyDescent="0.3">
      <c r="A2312" s="58">
        <v>2312</v>
      </c>
      <c r="B2312" s="264">
        <v>45980</v>
      </c>
      <c r="C2312" s="292" t="s">
        <v>2611</v>
      </c>
      <c r="E2312" s="292" t="s">
        <v>3886</v>
      </c>
      <c r="L2312" s="265">
        <v>-1760000</v>
      </c>
    </row>
    <row r="2313" spans="1:12" x14ac:dyDescent="0.3">
      <c r="A2313" s="58">
        <v>2313</v>
      </c>
      <c r="B2313" s="264">
        <v>45980</v>
      </c>
      <c r="C2313" s="292" t="s">
        <v>2312</v>
      </c>
      <c r="E2313" s="292" t="s">
        <v>2173</v>
      </c>
      <c r="F2313" s="269" t="s">
        <v>1199</v>
      </c>
      <c r="G2313" s="265">
        <v>1300000</v>
      </c>
      <c r="H2313" s="269">
        <v>1</v>
      </c>
      <c r="K2313" s="265">
        <v>1300000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D15" sqref="D15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45980</v>
      </c>
      <c r="B3" s="235" t="s">
        <v>1126</v>
      </c>
      <c r="C3" s="286">
        <f>SUMIF($B:$B,A3,I:I)</f>
        <v>5355000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4349001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94313000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1535</v>
      </c>
      <c r="D9" s="112" t="s">
        <v>3775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1393</v>
      </c>
      <c r="D10" s="112" t="s">
        <v>3770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1571</v>
      </c>
      <c r="D11" s="112" t="s">
        <v>4169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1716</v>
      </c>
      <c r="D12" s="112" t="s">
        <v>1201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1799</v>
      </c>
      <c r="D13" s="112" t="s">
        <v>4024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1799</v>
      </c>
      <c r="D14" s="112" t="s">
        <v>2174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3899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2084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2189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1438</v>
      </c>
      <c r="D19" s="112" t="s">
        <v>1555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1389</v>
      </c>
      <c r="D20" s="112" t="s">
        <v>1203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1393</v>
      </c>
      <c r="D21" s="112" t="s">
        <v>2031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1438</v>
      </c>
      <c r="D22" s="112" t="s">
        <v>4180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1389</v>
      </c>
      <c r="D23" s="112" t="s">
        <v>4181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3194</v>
      </c>
      <c r="D24" s="112" t="s">
        <v>4182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4183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2251</v>
      </c>
      <c r="D26" s="112" t="s">
        <v>4184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2460</v>
      </c>
      <c r="D27" s="112" t="s">
        <v>1711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1438</v>
      </c>
      <c r="D28" s="112" t="s">
        <v>2179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1438</v>
      </c>
      <c r="D29" s="112" t="s">
        <v>2833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3966</v>
      </c>
      <c r="D30" s="112" t="s">
        <v>2311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3966</v>
      </c>
      <c r="D31" s="112" t="s">
        <v>1499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1535</v>
      </c>
      <c r="D32" s="112" t="s">
        <v>1737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2460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1925</v>
      </c>
      <c r="D34" s="113" t="s">
        <v>3117</v>
      </c>
      <c r="F34" s="120">
        <v>1600000</v>
      </c>
      <c r="G34" s="85">
        <v>1</v>
      </c>
      <c r="H34" s="126" t="s">
        <v>2993</v>
      </c>
      <c r="I34" s="80">
        <v>1760000</v>
      </c>
    </row>
    <row r="35" spans="1:10" ht="18" customHeight="1" x14ac:dyDescent="0.3">
      <c r="A35" s="82">
        <v>2162</v>
      </c>
      <c r="B35" s="93">
        <v>45965</v>
      </c>
      <c r="C35" s="83" t="s">
        <v>1171</v>
      </c>
      <c r="D35" s="113" t="s">
        <v>4194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3966</v>
      </c>
      <c r="D36" s="113" t="s">
        <v>4196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1372</v>
      </c>
      <c r="D37" s="113" t="s">
        <v>4200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4204</v>
      </c>
      <c r="D38" s="113" t="s">
        <v>2173</v>
      </c>
      <c r="F38" s="120">
        <v>1500000</v>
      </c>
      <c r="G38" s="85">
        <v>1</v>
      </c>
      <c r="H38" s="126" t="s">
        <v>2900</v>
      </c>
      <c r="I38" s="80">
        <v>1650000</v>
      </c>
    </row>
    <row r="39" spans="1:10" ht="18" customHeight="1" x14ac:dyDescent="0.3">
      <c r="A39" s="82">
        <v>2166</v>
      </c>
      <c r="B39" s="93">
        <v>45966</v>
      </c>
      <c r="C39" s="83" t="s">
        <v>1574</v>
      </c>
      <c r="D39" s="113" t="s">
        <v>2173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1574</v>
      </c>
      <c r="D40" s="113" t="s">
        <v>2174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1300</v>
      </c>
      <c r="D41" s="113" t="s">
        <v>4211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1716</v>
      </c>
      <c r="D42" s="112" t="s">
        <v>4211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2862</v>
      </c>
      <c r="D43" s="112" t="s">
        <v>1201</v>
      </c>
      <c r="E43" s="79"/>
      <c r="F43" s="224">
        <v>1200000</v>
      </c>
      <c r="G43" s="85">
        <v>1</v>
      </c>
      <c r="H43" s="128" t="s">
        <v>2965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2195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2673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2176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2171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4183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1888</v>
      </c>
      <c r="D49" s="113" t="s">
        <v>4217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2862</v>
      </c>
      <c r="D50" s="113" t="s">
        <v>4221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1741</v>
      </c>
      <c r="D51" s="113" t="s">
        <v>3774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3810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1716</v>
      </c>
      <c r="D53" s="113" t="s">
        <v>2283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1665</v>
      </c>
      <c r="D54" s="113" t="s">
        <v>1203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2009</v>
      </c>
      <c r="D55" s="113" t="s">
        <v>4226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2403</v>
      </c>
      <c r="D56" s="113" t="s">
        <v>2190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2595</v>
      </c>
      <c r="D57" s="113" t="s">
        <v>1711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2009</v>
      </c>
      <c r="D58" s="113" t="s">
        <v>4230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1741</v>
      </c>
      <c r="D59" s="113" t="s">
        <v>3951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1741</v>
      </c>
      <c r="D60" s="113" t="s">
        <v>2181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1741</v>
      </c>
      <c r="D61" s="113" t="s">
        <v>2183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1799</v>
      </c>
      <c r="D62" s="113" t="s">
        <v>2185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1716</v>
      </c>
      <c r="D63" s="113" t="s">
        <v>4240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1300</v>
      </c>
      <c r="D64" s="113" t="s">
        <v>4164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4031</v>
      </c>
      <c r="D65" s="113" t="s">
        <v>4241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2018</v>
      </c>
      <c r="D66" s="113" t="s">
        <v>2283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4031</v>
      </c>
      <c r="D67" s="113" t="s">
        <v>1794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2018</v>
      </c>
      <c r="D68" s="113" t="s">
        <v>1794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1665</v>
      </c>
      <c r="D69" s="113" t="s">
        <v>1794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1574</v>
      </c>
      <c r="D70" s="113" t="s">
        <v>1201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1574</v>
      </c>
      <c r="D71" s="113" t="s">
        <v>1699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2285</v>
      </c>
      <c r="D72" s="113" t="s">
        <v>2021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2285</v>
      </c>
      <c r="D73" s="113" t="s">
        <v>4253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1784</v>
      </c>
      <c r="D74" s="113" t="s">
        <v>4129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1535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2489</v>
      </c>
      <c r="D76" s="113" t="s">
        <v>1913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2283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4258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1438</v>
      </c>
      <c r="D79" s="113" t="s">
        <v>3457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1438</v>
      </c>
      <c r="D80" s="113" t="s">
        <v>2183</v>
      </c>
      <c r="F80" s="120">
        <v>70000</v>
      </c>
      <c r="G80" s="85">
        <v>2</v>
      </c>
      <c r="I80" s="80">
        <v>140000</v>
      </c>
    </row>
    <row r="81" spans="1:10" ht="18" customHeight="1" x14ac:dyDescent="0.3">
      <c r="A81" s="82">
        <v>2208</v>
      </c>
      <c r="B81" s="93">
        <v>45971</v>
      </c>
      <c r="C81" s="83" t="s">
        <v>1716</v>
      </c>
      <c r="D81" s="113" t="s">
        <v>1543</v>
      </c>
      <c r="F81" s="120">
        <v>50000</v>
      </c>
      <c r="G81" s="85">
        <v>2</v>
      </c>
      <c r="I81" s="80">
        <v>100000</v>
      </c>
    </row>
    <row r="82" spans="1:10" ht="18" customHeight="1" x14ac:dyDescent="0.3">
      <c r="A82" s="82">
        <v>2209</v>
      </c>
      <c r="B82" s="93">
        <v>45971</v>
      </c>
      <c r="C82" s="83" t="s">
        <v>2358</v>
      </c>
      <c r="D82" s="113" t="s">
        <v>4262</v>
      </c>
      <c r="F82" s="120">
        <v>1000000</v>
      </c>
      <c r="G82" s="85">
        <v>1</v>
      </c>
      <c r="I82" s="80">
        <v>1000000</v>
      </c>
    </row>
    <row r="83" spans="1:10" ht="18" customHeight="1" x14ac:dyDescent="0.3">
      <c r="A83" s="82">
        <v>2210</v>
      </c>
      <c r="B83" s="93">
        <v>45971</v>
      </c>
      <c r="C83" s="83" t="s">
        <v>2358</v>
      </c>
      <c r="D83" s="113" t="s">
        <v>4263</v>
      </c>
      <c r="F83" s="120">
        <v>200000</v>
      </c>
      <c r="G83" s="85">
        <v>1</v>
      </c>
      <c r="I83" s="80">
        <v>200000</v>
      </c>
    </row>
    <row r="84" spans="1:10" ht="18" customHeight="1" x14ac:dyDescent="0.3">
      <c r="A84" s="82">
        <v>2211</v>
      </c>
      <c r="B84" s="93">
        <v>45971</v>
      </c>
      <c r="C84" s="83" t="s">
        <v>1018</v>
      </c>
      <c r="D84" s="113" t="s">
        <v>3890</v>
      </c>
      <c r="J84" s="80">
        <v>-80000</v>
      </c>
    </row>
    <row r="85" spans="1:10" ht="18" customHeight="1" x14ac:dyDescent="0.3">
      <c r="A85" s="82">
        <v>2212</v>
      </c>
      <c r="B85" s="93">
        <v>45971</v>
      </c>
      <c r="C85" s="83" t="s">
        <v>1925</v>
      </c>
      <c r="D85" s="113" t="s">
        <v>4268</v>
      </c>
      <c r="F85" s="120">
        <v>734000</v>
      </c>
      <c r="G85" s="85">
        <v>1</v>
      </c>
      <c r="I85" s="80">
        <v>734000</v>
      </c>
    </row>
    <row r="86" spans="1:10" ht="18" customHeight="1" x14ac:dyDescent="0.3">
      <c r="A86" s="82">
        <v>2213</v>
      </c>
      <c r="B86" s="93">
        <v>45971</v>
      </c>
      <c r="C86" s="83" t="s">
        <v>1925</v>
      </c>
      <c r="D86" s="113" t="s">
        <v>3930</v>
      </c>
      <c r="F86" s="80"/>
      <c r="J86" s="80">
        <v>-734000</v>
      </c>
    </row>
    <row r="87" spans="1:10" ht="18" customHeight="1" x14ac:dyDescent="0.3">
      <c r="A87" s="82">
        <v>2214</v>
      </c>
      <c r="B87" s="93">
        <v>45971</v>
      </c>
      <c r="C87" s="83" t="s">
        <v>1864</v>
      </c>
      <c r="D87" s="113" t="s">
        <v>2292</v>
      </c>
      <c r="F87" s="120">
        <v>650000</v>
      </c>
      <c r="G87" s="85">
        <v>1</v>
      </c>
      <c r="H87" s="126">
        <v>65000</v>
      </c>
      <c r="I87" s="80">
        <v>715000</v>
      </c>
    </row>
    <row r="88" spans="1:10" ht="18" customHeight="1" x14ac:dyDescent="0.3">
      <c r="A88" s="82">
        <v>2215</v>
      </c>
      <c r="B88" s="93">
        <v>45971</v>
      </c>
      <c r="C88" s="83" t="s">
        <v>1864</v>
      </c>
      <c r="D88" s="113" t="s">
        <v>4196</v>
      </c>
      <c r="F88" s="80"/>
      <c r="J88" s="80">
        <v>-715000</v>
      </c>
    </row>
    <row r="89" spans="1:10" ht="18" customHeight="1" x14ac:dyDescent="0.3">
      <c r="A89" s="82">
        <v>2216</v>
      </c>
      <c r="B89" s="93">
        <v>45972</v>
      </c>
      <c r="C89" s="83" t="s">
        <v>2403</v>
      </c>
      <c r="D89" s="113" t="s">
        <v>1794</v>
      </c>
      <c r="J89" s="80">
        <v>-1210000</v>
      </c>
    </row>
    <row r="90" spans="1:10" ht="18" customHeight="1" x14ac:dyDescent="0.3">
      <c r="A90" s="82">
        <v>2217</v>
      </c>
      <c r="B90" s="93">
        <v>45972</v>
      </c>
      <c r="C90" s="83" t="s">
        <v>3194</v>
      </c>
      <c r="D90" s="113" t="s">
        <v>2283</v>
      </c>
      <c r="F90" s="80">
        <v>1700000</v>
      </c>
      <c r="G90" s="85">
        <v>1</v>
      </c>
      <c r="I90" s="80">
        <v>1700000</v>
      </c>
    </row>
    <row r="91" spans="1:10" ht="18" customHeight="1" x14ac:dyDescent="0.3">
      <c r="A91" s="82">
        <v>2218</v>
      </c>
      <c r="B91" s="93">
        <v>45972</v>
      </c>
      <c r="C91" s="83" t="s">
        <v>1232</v>
      </c>
      <c r="D91" s="113" t="s">
        <v>1203</v>
      </c>
      <c r="F91" s="120">
        <v>1200000</v>
      </c>
      <c r="G91" s="85">
        <v>1</v>
      </c>
      <c r="H91" s="126" t="s">
        <v>2965</v>
      </c>
      <c r="I91" s="80">
        <v>1320000</v>
      </c>
    </row>
    <row r="92" spans="1:10" ht="18" customHeight="1" x14ac:dyDescent="0.3">
      <c r="A92" s="82">
        <v>2219</v>
      </c>
      <c r="B92" s="93">
        <v>45972</v>
      </c>
      <c r="C92" s="83" t="s">
        <v>1841</v>
      </c>
      <c r="D92" s="113" t="s">
        <v>2792</v>
      </c>
      <c r="F92" s="80">
        <v>330000</v>
      </c>
      <c r="G92" s="120">
        <v>1</v>
      </c>
      <c r="I92" s="80">
        <v>330000</v>
      </c>
    </row>
    <row r="93" spans="1:10" ht="18" customHeight="1" x14ac:dyDescent="0.3">
      <c r="A93" s="82">
        <v>2220</v>
      </c>
      <c r="B93" s="93">
        <v>45972</v>
      </c>
      <c r="C93" s="83" t="s">
        <v>978</v>
      </c>
      <c r="D93" s="113" t="s">
        <v>1201</v>
      </c>
      <c r="F93" s="80">
        <v>1250000</v>
      </c>
      <c r="G93" s="120">
        <v>2</v>
      </c>
      <c r="H93" s="126">
        <v>250000</v>
      </c>
      <c r="I93" s="80">
        <v>2750000</v>
      </c>
    </row>
    <row r="94" spans="1:10" ht="18" customHeight="1" x14ac:dyDescent="0.3">
      <c r="A94" s="82">
        <v>2221</v>
      </c>
      <c r="B94" s="93">
        <v>45972</v>
      </c>
      <c r="C94" s="83" t="s">
        <v>978</v>
      </c>
      <c r="D94" s="113" t="s">
        <v>4277</v>
      </c>
      <c r="F94" s="80"/>
      <c r="G94" s="120"/>
      <c r="J94" s="80">
        <v>-2750000</v>
      </c>
    </row>
    <row r="95" spans="1:10" ht="18" customHeight="1" x14ac:dyDescent="0.3">
      <c r="A95" s="82">
        <v>2222</v>
      </c>
      <c r="B95" s="93">
        <v>45972</v>
      </c>
      <c r="C95" s="83" t="s">
        <v>1232</v>
      </c>
      <c r="D95" s="113" t="s">
        <v>4281</v>
      </c>
      <c r="F95" s="80"/>
      <c r="G95" s="120"/>
      <c r="J95" s="80">
        <v>-1320000</v>
      </c>
    </row>
    <row r="96" spans="1:10" ht="18" customHeight="1" x14ac:dyDescent="0.3">
      <c r="A96" s="82">
        <v>2223</v>
      </c>
      <c r="B96" s="93">
        <v>45973</v>
      </c>
      <c r="C96" s="83" t="s">
        <v>2489</v>
      </c>
      <c r="D96" s="113" t="s">
        <v>4282</v>
      </c>
      <c r="F96" s="80"/>
      <c r="G96" s="120"/>
      <c r="J96" s="80">
        <v>-2500000</v>
      </c>
    </row>
    <row r="97" spans="1:10" ht="18" customHeight="1" x14ac:dyDescent="0.3">
      <c r="A97" s="82">
        <v>2224</v>
      </c>
      <c r="B97" s="93">
        <v>45973</v>
      </c>
      <c r="C97" s="83" t="s">
        <v>1784</v>
      </c>
      <c r="D97" s="113" t="s">
        <v>3951</v>
      </c>
      <c r="F97" s="80">
        <v>400000</v>
      </c>
      <c r="G97" s="120">
        <v>1</v>
      </c>
      <c r="I97" s="80">
        <v>400000</v>
      </c>
    </row>
    <row r="98" spans="1:10" ht="18" customHeight="1" x14ac:dyDescent="0.3">
      <c r="A98" s="82">
        <v>2225</v>
      </c>
      <c r="B98" s="93">
        <v>45973</v>
      </c>
      <c r="C98" s="83" t="s">
        <v>1716</v>
      </c>
      <c r="D98" s="113" t="s">
        <v>1260</v>
      </c>
      <c r="F98" s="80">
        <v>50000</v>
      </c>
      <c r="G98" s="120">
        <v>5</v>
      </c>
      <c r="I98" s="80">
        <v>250000</v>
      </c>
    </row>
    <row r="99" spans="1:10" ht="18" customHeight="1" x14ac:dyDescent="0.3">
      <c r="A99" s="82">
        <v>2226</v>
      </c>
      <c r="B99" s="93">
        <v>45973</v>
      </c>
      <c r="C99" s="83" t="s">
        <v>1225</v>
      </c>
      <c r="D99" s="113" t="s">
        <v>2173</v>
      </c>
      <c r="F99" s="80">
        <v>1500000</v>
      </c>
      <c r="G99" s="120">
        <v>1</v>
      </c>
      <c r="H99" s="126">
        <v>150000</v>
      </c>
      <c r="I99" s="80">
        <v>1650000</v>
      </c>
    </row>
    <row r="100" spans="1:10" ht="18" customHeight="1" x14ac:dyDescent="0.3">
      <c r="A100" s="82">
        <v>2227</v>
      </c>
      <c r="B100" s="93">
        <v>45973</v>
      </c>
      <c r="C100" s="83" t="s">
        <v>3282</v>
      </c>
      <c r="D100" s="113" t="s">
        <v>2173</v>
      </c>
      <c r="F100" s="80">
        <v>1500000</v>
      </c>
      <c r="G100" s="120">
        <v>2</v>
      </c>
      <c r="I100" s="80">
        <v>3000000</v>
      </c>
    </row>
    <row r="101" spans="1:10" ht="18" customHeight="1" x14ac:dyDescent="0.3">
      <c r="A101" s="82">
        <v>2228</v>
      </c>
      <c r="B101" s="93">
        <v>45973</v>
      </c>
      <c r="C101" s="83" t="s">
        <v>987</v>
      </c>
      <c r="D101" s="113" t="s">
        <v>3587</v>
      </c>
      <c r="F101" s="80">
        <v>300000</v>
      </c>
      <c r="G101" s="120">
        <v>1</v>
      </c>
      <c r="H101" s="126">
        <v>30000</v>
      </c>
      <c r="I101" s="80">
        <v>330000</v>
      </c>
    </row>
    <row r="102" spans="1:10" ht="18" customHeight="1" x14ac:dyDescent="0.3">
      <c r="A102" s="82">
        <v>2229</v>
      </c>
      <c r="B102" s="93">
        <v>45973</v>
      </c>
      <c r="C102" s="83" t="s">
        <v>2603</v>
      </c>
      <c r="D102" s="113" t="s">
        <v>1699</v>
      </c>
      <c r="F102" s="80">
        <v>50000</v>
      </c>
      <c r="G102" s="120">
        <v>10</v>
      </c>
      <c r="H102" s="126">
        <v>50000</v>
      </c>
      <c r="I102" s="80">
        <v>550000</v>
      </c>
    </row>
    <row r="103" spans="1:10" ht="18" customHeight="1" x14ac:dyDescent="0.3">
      <c r="A103" s="82">
        <v>2230</v>
      </c>
      <c r="B103" s="93">
        <v>45973</v>
      </c>
      <c r="C103" s="83" t="s">
        <v>2765</v>
      </c>
      <c r="D103" s="113" t="s">
        <v>1737</v>
      </c>
      <c r="F103" s="80">
        <v>650000</v>
      </c>
      <c r="G103" s="120">
        <v>1</v>
      </c>
      <c r="H103" s="126">
        <v>65000</v>
      </c>
      <c r="I103" s="80">
        <v>715000</v>
      </c>
    </row>
    <row r="104" spans="1:10" ht="18" customHeight="1" x14ac:dyDescent="0.3">
      <c r="A104" s="82">
        <v>2231</v>
      </c>
      <c r="B104" s="93">
        <v>45973</v>
      </c>
      <c r="C104" s="83" t="s">
        <v>1385</v>
      </c>
      <c r="D104" s="113" t="s">
        <v>2189</v>
      </c>
      <c r="F104" s="80">
        <v>1600000</v>
      </c>
      <c r="G104" s="120">
        <v>1</v>
      </c>
      <c r="I104" s="80">
        <v>1600000</v>
      </c>
    </row>
    <row r="105" spans="1:10" ht="18" customHeight="1" x14ac:dyDescent="0.3">
      <c r="A105" s="82">
        <v>2232</v>
      </c>
      <c r="B105" s="93">
        <v>45973</v>
      </c>
      <c r="C105" s="83" t="s">
        <v>2603</v>
      </c>
      <c r="D105" s="113" t="s">
        <v>4298</v>
      </c>
      <c r="F105" s="80"/>
      <c r="G105" s="120"/>
      <c r="J105" s="80">
        <v>-550000</v>
      </c>
    </row>
    <row r="106" spans="1:10" ht="18" customHeight="1" x14ac:dyDescent="0.3">
      <c r="A106" s="82">
        <v>2233</v>
      </c>
      <c r="B106" s="93">
        <v>45973</v>
      </c>
      <c r="C106" s="83" t="s">
        <v>2765</v>
      </c>
      <c r="D106" s="113" t="s">
        <v>4299</v>
      </c>
      <c r="F106" s="80"/>
      <c r="G106" s="120"/>
      <c r="J106" s="80">
        <v>-715000</v>
      </c>
    </row>
    <row r="107" spans="1:10" ht="18" customHeight="1" x14ac:dyDescent="0.3">
      <c r="A107" s="82">
        <v>2234</v>
      </c>
      <c r="B107" s="93">
        <v>45973</v>
      </c>
      <c r="C107" s="83" t="s">
        <v>3282</v>
      </c>
      <c r="D107" s="113" t="s">
        <v>4300</v>
      </c>
      <c r="F107" s="80"/>
      <c r="G107" s="120"/>
      <c r="J107" s="80">
        <v>-3000000</v>
      </c>
    </row>
    <row r="108" spans="1:10" ht="18" customHeight="1" x14ac:dyDescent="0.3">
      <c r="A108" s="82">
        <v>2235</v>
      </c>
      <c r="B108" s="93">
        <v>45973</v>
      </c>
      <c r="C108" s="83" t="s">
        <v>1225</v>
      </c>
      <c r="D108" s="113" t="s">
        <v>4301</v>
      </c>
      <c r="F108" s="80"/>
      <c r="G108" s="120"/>
      <c r="J108" s="80">
        <v>-1650000</v>
      </c>
    </row>
    <row r="109" spans="1:10" ht="18" customHeight="1" x14ac:dyDescent="0.3">
      <c r="A109" s="82">
        <v>2236</v>
      </c>
      <c r="B109" s="93">
        <v>45973</v>
      </c>
      <c r="C109" s="83" t="s">
        <v>987</v>
      </c>
      <c r="D109" s="113" t="s">
        <v>4183</v>
      </c>
      <c r="F109" s="80"/>
      <c r="G109" s="120"/>
      <c r="J109" s="80">
        <v>-330000</v>
      </c>
    </row>
    <row r="110" spans="1:10" ht="18" customHeight="1" x14ac:dyDescent="0.3">
      <c r="A110" s="82">
        <v>2237</v>
      </c>
      <c r="B110" s="93">
        <v>45972</v>
      </c>
      <c r="C110" s="83" t="s">
        <v>2358</v>
      </c>
      <c r="D110" s="113" t="s">
        <v>4302</v>
      </c>
      <c r="F110" s="80"/>
      <c r="G110" s="120"/>
      <c r="J110" s="80">
        <v>-1200000</v>
      </c>
    </row>
    <row r="111" spans="1:10" ht="18" customHeight="1" x14ac:dyDescent="0.3">
      <c r="A111" s="82">
        <v>2238</v>
      </c>
      <c r="B111" s="93">
        <v>45974</v>
      </c>
      <c r="C111" s="83" t="s">
        <v>2909</v>
      </c>
      <c r="D111" s="113" t="s">
        <v>2130</v>
      </c>
      <c r="F111" s="80">
        <v>1600000</v>
      </c>
      <c r="G111" s="120">
        <v>1</v>
      </c>
      <c r="I111" s="80">
        <v>1600000</v>
      </c>
    </row>
    <row r="112" spans="1:10" ht="18" customHeight="1" x14ac:dyDescent="0.3">
      <c r="A112" s="82">
        <v>2239</v>
      </c>
      <c r="B112" s="93">
        <v>45974</v>
      </c>
      <c r="C112" s="83" t="s">
        <v>2254</v>
      </c>
      <c r="D112" s="113" t="s">
        <v>2084</v>
      </c>
      <c r="F112" s="80">
        <v>500000</v>
      </c>
      <c r="G112" s="120">
        <v>1</v>
      </c>
      <c r="I112" s="80">
        <v>500000</v>
      </c>
    </row>
    <row r="113" spans="1:10" ht="18" customHeight="1" x14ac:dyDescent="0.3">
      <c r="A113" s="82">
        <v>2240</v>
      </c>
      <c r="B113" s="93">
        <v>45974</v>
      </c>
      <c r="C113" s="83" t="s">
        <v>1018</v>
      </c>
      <c r="D113" s="113" t="s">
        <v>3457</v>
      </c>
      <c r="F113" s="80">
        <v>530000</v>
      </c>
      <c r="G113" s="120">
        <v>1</v>
      </c>
      <c r="I113" s="80">
        <v>530000</v>
      </c>
    </row>
    <row r="114" spans="1:10" ht="18" customHeight="1" x14ac:dyDescent="0.3">
      <c r="A114" s="82">
        <v>2241</v>
      </c>
      <c r="B114" s="93">
        <v>45974</v>
      </c>
      <c r="C114" s="83" t="s">
        <v>1018</v>
      </c>
      <c r="D114" s="113" t="s">
        <v>2181</v>
      </c>
      <c r="F114" s="80">
        <v>130000</v>
      </c>
      <c r="G114" s="120">
        <v>1</v>
      </c>
      <c r="I114" s="80">
        <v>130000</v>
      </c>
    </row>
    <row r="115" spans="1:10" ht="18" customHeight="1" x14ac:dyDescent="0.3">
      <c r="A115" s="82">
        <v>2242</v>
      </c>
      <c r="B115" s="93">
        <v>45974</v>
      </c>
      <c r="C115" s="83" t="s">
        <v>1018</v>
      </c>
      <c r="D115" s="113" t="s">
        <v>2185</v>
      </c>
      <c r="F115" s="80">
        <v>10000</v>
      </c>
      <c r="G115" s="120">
        <v>2</v>
      </c>
      <c r="I115" s="80">
        <v>20000</v>
      </c>
    </row>
    <row r="116" spans="1:10" ht="18" customHeight="1" x14ac:dyDescent="0.3">
      <c r="A116" s="82">
        <v>2243</v>
      </c>
      <c r="B116" s="93">
        <v>45974</v>
      </c>
      <c r="C116" s="83" t="s">
        <v>1018</v>
      </c>
      <c r="D116" s="113" t="s">
        <v>2184</v>
      </c>
      <c r="F116" s="80">
        <v>35000</v>
      </c>
      <c r="G116" s="120">
        <v>1</v>
      </c>
      <c r="I116" s="80">
        <v>35000</v>
      </c>
    </row>
    <row r="117" spans="1:10" ht="18" customHeight="1" x14ac:dyDescent="0.3">
      <c r="A117" s="82">
        <v>2244</v>
      </c>
      <c r="B117" s="93">
        <v>45974</v>
      </c>
      <c r="C117" s="83" t="s">
        <v>1018</v>
      </c>
      <c r="D117" s="113" t="s">
        <v>2183</v>
      </c>
      <c r="F117" s="80">
        <v>70000</v>
      </c>
      <c r="G117" s="120">
        <v>1</v>
      </c>
      <c r="I117" s="80">
        <v>70000</v>
      </c>
    </row>
    <row r="118" spans="1:10" ht="18" customHeight="1" x14ac:dyDescent="0.3">
      <c r="A118" s="82">
        <v>2245</v>
      </c>
      <c r="B118" s="93">
        <v>45974</v>
      </c>
      <c r="C118" s="83" t="s">
        <v>4303</v>
      </c>
      <c r="D118" s="113" t="s">
        <v>1201</v>
      </c>
      <c r="F118" s="80">
        <v>1300000</v>
      </c>
      <c r="G118" s="120">
        <v>1</v>
      </c>
      <c r="I118" s="80">
        <v>1300000</v>
      </c>
    </row>
    <row r="119" spans="1:10" ht="18" customHeight="1" x14ac:dyDescent="0.3">
      <c r="A119" s="82">
        <v>2246</v>
      </c>
      <c r="B119" s="93">
        <v>45974</v>
      </c>
      <c r="C119" s="83" t="s">
        <v>4303</v>
      </c>
      <c r="D119" s="113" t="s">
        <v>2377</v>
      </c>
      <c r="F119" s="80">
        <v>700000</v>
      </c>
      <c r="G119" s="120">
        <v>1</v>
      </c>
      <c r="I119" s="80">
        <v>700000</v>
      </c>
    </row>
    <row r="120" spans="1:10" ht="18" customHeight="1" x14ac:dyDescent="0.3">
      <c r="A120" s="82">
        <v>2247</v>
      </c>
      <c r="B120" s="93">
        <v>45974</v>
      </c>
      <c r="C120" s="83" t="s">
        <v>1015</v>
      </c>
      <c r="D120" s="113" t="s">
        <v>4310</v>
      </c>
      <c r="F120" s="80">
        <v>1090910</v>
      </c>
      <c r="G120" s="120">
        <v>1</v>
      </c>
      <c r="H120" s="126">
        <v>109091</v>
      </c>
      <c r="I120" s="80">
        <v>1200001</v>
      </c>
    </row>
    <row r="121" spans="1:10" ht="18" customHeight="1" x14ac:dyDescent="0.3">
      <c r="A121" s="82">
        <v>2248</v>
      </c>
      <c r="B121" s="93">
        <v>45974</v>
      </c>
      <c r="C121" s="83" t="s">
        <v>1015</v>
      </c>
      <c r="D121" s="113">
        <v>-1</v>
      </c>
      <c r="F121" s="80">
        <v>-1</v>
      </c>
      <c r="G121" s="120">
        <v>1</v>
      </c>
      <c r="I121" s="80">
        <v>-1</v>
      </c>
    </row>
    <row r="122" spans="1:10" ht="18" customHeight="1" x14ac:dyDescent="0.3">
      <c r="A122" s="82">
        <v>2249</v>
      </c>
      <c r="B122" s="93">
        <v>45974</v>
      </c>
      <c r="C122" s="83" t="s">
        <v>1053</v>
      </c>
      <c r="D122" s="113" t="s">
        <v>1203</v>
      </c>
      <c r="F122" s="120">
        <v>1900000</v>
      </c>
      <c r="G122" s="85">
        <v>1</v>
      </c>
      <c r="I122" s="80">
        <v>1900000</v>
      </c>
    </row>
    <row r="123" spans="1:10" ht="18" customHeight="1" x14ac:dyDescent="0.3">
      <c r="A123" s="82">
        <v>2250</v>
      </c>
      <c r="B123" s="93">
        <v>45974</v>
      </c>
      <c r="C123" s="83" t="s">
        <v>1925</v>
      </c>
      <c r="D123" s="113" t="s">
        <v>3930</v>
      </c>
      <c r="J123" s="80">
        <v>-1760000</v>
      </c>
    </row>
    <row r="124" spans="1:10" ht="18" customHeight="1" x14ac:dyDescent="0.3">
      <c r="A124" s="82">
        <v>2251</v>
      </c>
      <c r="B124" s="93">
        <v>45974</v>
      </c>
      <c r="C124" s="83" t="s">
        <v>1461</v>
      </c>
      <c r="D124" s="113" t="s">
        <v>4320</v>
      </c>
      <c r="J124" s="80">
        <v>-4075000</v>
      </c>
    </row>
    <row r="125" spans="1:10" ht="18" customHeight="1" x14ac:dyDescent="0.3">
      <c r="A125" s="82">
        <v>2252</v>
      </c>
      <c r="B125" s="93">
        <v>45974</v>
      </c>
      <c r="C125" s="83" t="s">
        <v>3194</v>
      </c>
      <c r="D125" s="113" t="s">
        <v>4182</v>
      </c>
      <c r="J125" s="80">
        <v>-1700000</v>
      </c>
    </row>
    <row r="126" spans="1:10" ht="18" customHeight="1" x14ac:dyDescent="0.3">
      <c r="A126" s="82">
        <v>2253</v>
      </c>
      <c r="B126" s="93">
        <v>45974</v>
      </c>
      <c r="C126" s="83" t="s">
        <v>1385</v>
      </c>
      <c r="D126" s="113" t="s">
        <v>4317</v>
      </c>
      <c r="J126" s="80">
        <v>-1600000</v>
      </c>
    </row>
    <row r="127" spans="1:10" ht="18" customHeight="1" x14ac:dyDescent="0.3">
      <c r="A127" s="82">
        <v>2254</v>
      </c>
      <c r="B127" s="93">
        <v>45974</v>
      </c>
      <c r="C127" s="83" t="s">
        <v>2909</v>
      </c>
      <c r="D127" s="113" t="s">
        <v>4314</v>
      </c>
      <c r="J127" s="80">
        <v>-1600000</v>
      </c>
    </row>
    <row r="128" spans="1:10" ht="18" customHeight="1" x14ac:dyDescent="0.3">
      <c r="A128" s="82">
        <v>2255</v>
      </c>
      <c r="B128" s="93">
        <v>45974</v>
      </c>
      <c r="C128" s="83" t="s">
        <v>4204</v>
      </c>
      <c r="D128" s="113" t="s">
        <v>4324</v>
      </c>
      <c r="J128" s="80">
        <v>-1650000</v>
      </c>
    </row>
    <row r="129" spans="1:10" ht="18" customHeight="1" x14ac:dyDescent="0.3">
      <c r="A129" s="82">
        <v>2256</v>
      </c>
      <c r="B129" s="93">
        <v>45974</v>
      </c>
      <c r="C129" s="83" t="s">
        <v>2254</v>
      </c>
      <c r="D129" s="113" t="s">
        <v>4325</v>
      </c>
      <c r="J129" s="80">
        <v>-500000</v>
      </c>
    </row>
    <row r="130" spans="1:10" ht="18" customHeight="1" x14ac:dyDescent="0.3">
      <c r="A130" s="82">
        <v>2257</v>
      </c>
      <c r="B130" s="93">
        <v>45974</v>
      </c>
      <c r="C130" s="83" t="s">
        <v>1463</v>
      </c>
      <c r="D130" s="113" t="s">
        <v>4326</v>
      </c>
      <c r="F130" s="120">
        <v>150000</v>
      </c>
      <c r="G130" s="85">
        <v>1</v>
      </c>
      <c r="I130" s="80">
        <v>150000</v>
      </c>
    </row>
    <row r="131" spans="1:10" ht="18" customHeight="1" x14ac:dyDescent="0.3">
      <c r="A131" s="82">
        <v>2258</v>
      </c>
      <c r="B131" s="93">
        <v>45975</v>
      </c>
      <c r="C131" s="83" t="s">
        <v>1574</v>
      </c>
      <c r="D131" s="113" t="s">
        <v>1260</v>
      </c>
      <c r="F131" s="120">
        <v>50000</v>
      </c>
      <c r="G131" s="85">
        <v>1</v>
      </c>
      <c r="H131" s="126">
        <v>5000</v>
      </c>
      <c r="I131" s="80">
        <v>55000</v>
      </c>
    </row>
    <row r="132" spans="1:10" ht="18" customHeight="1" x14ac:dyDescent="0.3">
      <c r="A132" s="82">
        <v>2259</v>
      </c>
      <c r="B132" s="93">
        <v>45975</v>
      </c>
      <c r="C132" s="83" t="s">
        <v>1716</v>
      </c>
      <c r="D132" s="113" t="s">
        <v>2173</v>
      </c>
      <c r="F132" s="120">
        <v>1500000</v>
      </c>
      <c r="G132" s="85">
        <v>1</v>
      </c>
      <c r="I132" s="80">
        <v>1500000</v>
      </c>
    </row>
    <row r="133" spans="1:10" ht="18" customHeight="1" x14ac:dyDescent="0.3">
      <c r="A133" s="82">
        <v>2260</v>
      </c>
      <c r="B133" s="93">
        <v>45975</v>
      </c>
      <c r="C133" s="83" t="s">
        <v>1590</v>
      </c>
      <c r="D133" s="113" t="s">
        <v>3457</v>
      </c>
      <c r="F133" s="120">
        <v>550000</v>
      </c>
      <c r="G133" s="85">
        <v>1</v>
      </c>
      <c r="I133" s="80">
        <v>550000</v>
      </c>
    </row>
    <row r="134" spans="1:10" ht="18" customHeight="1" x14ac:dyDescent="0.3">
      <c r="A134" s="82">
        <v>2261</v>
      </c>
      <c r="B134" s="93">
        <v>45975</v>
      </c>
      <c r="C134" s="83" t="s">
        <v>1590</v>
      </c>
      <c r="D134" s="113" t="s">
        <v>2183</v>
      </c>
      <c r="F134" s="120">
        <v>75000</v>
      </c>
      <c r="G134" s="85">
        <v>1</v>
      </c>
      <c r="I134" s="80">
        <v>75000</v>
      </c>
    </row>
    <row r="135" spans="1:10" ht="18" customHeight="1" x14ac:dyDescent="0.3">
      <c r="A135" s="82">
        <v>2262</v>
      </c>
      <c r="B135" s="93">
        <v>45975</v>
      </c>
      <c r="C135" s="83" t="s">
        <v>1590</v>
      </c>
      <c r="D135" s="113" t="s">
        <v>2184</v>
      </c>
      <c r="F135" s="120">
        <v>35000</v>
      </c>
      <c r="G135" s="85">
        <v>1</v>
      </c>
      <c r="I135" s="80">
        <v>35000</v>
      </c>
    </row>
    <row r="136" spans="1:10" ht="18" customHeight="1" x14ac:dyDescent="0.3">
      <c r="A136" s="82">
        <v>2263</v>
      </c>
      <c r="B136" s="93">
        <v>45975</v>
      </c>
      <c r="C136" s="83" t="s">
        <v>3282</v>
      </c>
      <c r="D136" s="113" t="s">
        <v>2194</v>
      </c>
      <c r="F136" s="120">
        <v>200000</v>
      </c>
      <c r="G136" s="85">
        <v>1</v>
      </c>
      <c r="I136" s="80">
        <v>200000</v>
      </c>
    </row>
    <row r="137" spans="1:10" ht="18" customHeight="1" x14ac:dyDescent="0.3">
      <c r="A137" s="82">
        <v>2264</v>
      </c>
      <c r="B137" s="93">
        <v>45975</v>
      </c>
      <c r="C137" s="83" t="s">
        <v>1448</v>
      </c>
      <c r="D137" s="113" t="s">
        <v>1490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2265</v>
      </c>
      <c r="B138" s="93">
        <v>45975</v>
      </c>
      <c r="C138" s="83" t="s">
        <v>1018</v>
      </c>
      <c r="D138" s="113" t="s">
        <v>4258</v>
      </c>
      <c r="F138" s="120">
        <v>374000</v>
      </c>
      <c r="G138" s="85">
        <v>1</v>
      </c>
      <c r="I138" s="80">
        <v>374000</v>
      </c>
    </row>
    <row r="139" spans="1:10" ht="18" customHeight="1" x14ac:dyDescent="0.3">
      <c r="A139" s="82">
        <v>2266</v>
      </c>
      <c r="B139" s="93">
        <v>45975</v>
      </c>
      <c r="C139" s="83" t="s">
        <v>1300</v>
      </c>
      <c r="D139" s="113" t="s">
        <v>2912</v>
      </c>
      <c r="F139" s="120">
        <v>550000</v>
      </c>
      <c r="G139" s="85">
        <v>1</v>
      </c>
      <c r="I139" s="80">
        <v>550000</v>
      </c>
    </row>
    <row r="140" spans="1:10" ht="18" customHeight="1" x14ac:dyDescent="0.3">
      <c r="A140" s="82">
        <v>2267</v>
      </c>
      <c r="B140" s="93">
        <v>45975</v>
      </c>
      <c r="C140" s="83" t="s">
        <v>3194</v>
      </c>
      <c r="D140" s="113" t="s">
        <v>2084</v>
      </c>
      <c r="F140" s="120">
        <v>400000</v>
      </c>
      <c r="G140" s="85">
        <v>1</v>
      </c>
      <c r="I140" s="80">
        <v>400000</v>
      </c>
    </row>
    <row r="141" spans="1:10" ht="18" customHeight="1" x14ac:dyDescent="0.3">
      <c r="A141" s="82">
        <v>2268</v>
      </c>
      <c r="B141" s="93">
        <v>45975</v>
      </c>
      <c r="C141" s="83" t="s">
        <v>1864</v>
      </c>
      <c r="D141" s="113" t="s">
        <v>2798</v>
      </c>
      <c r="F141" s="120">
        <v>400000</v>
      </c>
      <c r="G141" s="85">
        <v>1</v>
      </c>
      <c r="H141" s="126">
        <v>40000</v>
      </c>
      <c r="I141" s="80">
        <v>440000</v>
      </c>
    </row>
    <row r="142" spans="1:10" ht="18" customHeight="1" x14ac:dyDescent="0.3">
      <c r="A142" s="82">
        <v>2269</v>
      </c>
      <c r="B142" s="93">
        <v>45975</v>
      </c>
      <c r="C142" s="83" t="s">
        <v>1864</v>
      </c>
      <c r="D142" s="113" t="s">
        <v>2174</v>
      </c>
      <c r="F142" s="120">
        <v>70000</v>
      </c>
      <c r="G142" s="85">
        <v>1</v>
      </c>
      <c r="H142" s="126">
        <v>7000</v>
      </c>
      <c r="I142" s="80">
        <v>77000</v>
      </c>
    </row>
    <row r="143" spans="1:10" ht="18" customHeight="1" x14ac:dyDescent="0.3">
      <c r="A143" s="82">
        <v>2270</v>
      </c>
      <c r="B143" s="93">
        <v>45975</v>
      </c>
      <c r="C143" s="83" t="s">
        <v>1461</v>
      </c>
      <c r="D143" s="113" t="s">
        <v>2190</v>
      </c>
      <c r="F143" s="120">
        <v>1000000</v>
      </c>
      <c r="G143" s="85">
        <v>1</v>
      </c>
      <c r="H143" s="126">
        <v>100000</v>
      </c>
      <c r="I143" s="80">
        <v>1100000</v>
      </c>
    </row>
    <row r="144" spans="1:10" ht="18" customHeight="1" x14ac:dyDescent="0.3">
      <c r="A144" s="82">
        <v>2271</v>
      </c>
      <c r="B144" s="93">
        <v>45975</v>
      </c>
      <c r="C144" s="83" t="s">
        <v>1864</v>
      </c>
      <c r="D144" s="113" t="s">
        <v>3828</v>
      </c>
      <c r="J144" s="80">
        <v>-517000</v>
      </c>
    </row>
    <row r="145" spans="1:10" ht="18" customHeight="1" x14ac:dyDescent="0.3">
      <c r="A145" s="82">
        <v>2272</v>
      </c>
      <c r="B145" s="93">
        <v>45975</v>
      </c>
      <c r="C145" s="83" t="s">
        <v>3282</v>
      </c>
      <c r="D145" s="113" t="s">
        <v>4341</v>
      </c>
      <c r="J145" s="80">
        <v>-200000</v>
      </c>
    </row>
    <row r="146" spans="1:10" ht="18" customHeight="1" x14ac:dyDescent="0.3">
      <c r="A146" s="82">
        <v>2273</v>
      </c>
      <c r="B146" s="93">
        <v>45975</v>
      </c>
      <c r="C146" s="83" t="s">
        <v>1448</v>
      </c>
      <c r="D146" s="113" t="s">
        <v>4342</v>
      </c>
      <c r="J146" s="80">
        <v>-200000</v>
      </c>
    </row>
    <row r="147" spans="1:10" ht="18" customHeight="1" x14ac:dyDescent="0.3">
      <c r="A147" s="82">
        <v>2274</v>
      </c>
      <c r="B147" s="93">
        <v>45975</v>
      </c>
      <c r="C147" s="83" t="s">
        <v>2595</v>
      </c>
      <c r="D147" s="113" t="s">
        <v>4343</v>
      </c>
      <c r="J147" s="80">
        <v>-300000</v>
      </c>
    </row>
    <row r="148" spans="1:10" ht="18" customHeight="1" x14ac:dyDescent="0.3">
      <c r="A148" s="82">
        <v>2275</v>
      </c>
      <c r="B148" s="93">
        <v>45975</v>
      </c>
      <c r="C148" s="83" t="s">
        <v>1300</v>
      </c>
      <c r="D148" s="113" t="s">
        <v>4345</v>
      </c>
      <c r="J148" s="80">
        <v>-550000</v>
      </c>
    </row>
    <row r="149" spans="1:10" ht="18" customHeight="1" x14ac:dyDescent="0.3">
      <c r="A149" s="82">
        <v>2276</v>
      </c>
      <c r="B149" s="93">
        <v>45978</v>
      </c>
      <c r="C149" s="83" t="s">
        <v>1841</v>
      </c>
      <c r="D149" s="113" t="s">
        <v>3457</v>
      </c>
      <c r="F149" s="120">
        <v>540000</v>
      </c>
      <c r="G149" s="85">
        <v>1</v>
      </c>
      <c r="I149" s="80">
        <v>540000</v>
      </c>
    </row>
    <row r="150" spans="1:10" ht="18" customHeight="1" x14ac:dyDescent="0.3">
      <c r="A150" s="82">
        <v>2277</v>
      </c>
      <c r="B150" s="93">
        <v>45978</v>
      </c>
      <c r="C150" s="83" t="s">
        <v>1841</v>
      </c>
      <c r="D150" s="113" t="s">
        <v>2181</v>
      </c>
      <c r="F150" s="120">
        <v>130000</v>
      </c>
      <c r="G150" s="85">
        <v>1</v>
      </c>
      <c r="I150" s="80">
        <v>130000</v>
      </c>
    </row>
    <row r="151" spans="1:10" ht="18" customHeight="1" x14ac:dyDescent="0.3">
      <c r="A151" s="82">
        <v>2278</v>
      </c>
      <c r="B151" s="93">
        <v>45978</v>
      </c>
      <c r="C151" s="83" t="s">
        <v>1841</v>
      </c>
      <c r="D151" s="113" t="s">
        <v>2184</v>
      </c>
      <c r="F151" s="120">
        <v>35000</v>
      </c>
      <c r="G151" s="85">
        <v>1</v>
      </c>
      <c r="I151" s="80">
        <v>35000</v>
      </c>
    </row>
    <row r="152" spans="1:10" ht="18" customHeight="1" x14ac:dyDescent="0.3">
      <c r="A152" s="82">
        <v>2279</v>
      </c>
      <c r="B152" s="93">
        <v>45978</v>
      </c>
      <c r="C152" s="83" t="s">
        <v>1841</v>
      </c>
      <c r="D152" s="113" t="s">
        <v>2179</v>
      </c>
      <c r="F152" s="120">
        <v>1000000</v>
      </c>
      <c r="G152" s="85">
        <v>1</v>
      </c>
      <c r="I152" s="80">
        <v>1000000</v>
      </c>
    </row>
    <row r="153" spans="1:10" ht="18" customHeight="1" x14ac:dyDescent="0.3">
      <c r="A153" s="82">
        <v>2280</v>
      </c>
      <c r="B153" s="93">
        <v>45978</v>
      </c>
      <c r="C153" s="83" t="s">
        <v>1841</v>
      </c>
      <c r="D153" s="113" t="s">
        <v>2185</v>
      </c>
      <c r="F153" s="120">
        <v>10000</v>
      </c>
      <c r="G153" s="85">
        <v>1</v>
      </c>
      <c r="H153" s="126">
        <v>1000</v>
      </c>
      <c r="I153" s="80">
        <v>11000</v>
      </c>
    </row>
    <row r="154" spans="1:10" ht="18" customHeight="1" x14ac:dyDescent="0.3">
      <c r="A154" s="82">
        <v>2281</v>
      </c>
      <c r="B154" s="93">
        <v>45978</v>
      </c>
      <c r="C154" s="83" t="s">
        <v>1799</v>
      </c>
      <c r="D154" s="113" t="s">
        <v>3457</v>
      </c>
      <c r="F154" s="120">
        <v>535455</v>
      </c>
      <c r="G154" s="85">
        <v>1</v>
      </c>
      <c r="H154" s="126">
        <v>53546</v>
      </c>
      <c r="I154" s="80">
        <v>589001</v>
      </c>
    </row>
    <row r="155" spans="1:10" ht="18" customHeight="1" x14ac:dyDescent="0.3">
      <c r="A155" s="82">
        <v>2282</v>
      </c>
      <c r="B155" s="93">
        <v>45978</v>
      </c>
      <c r="C155" s="83" t="s">
        <v>1799</v>
      </c>
      <c r="D155" s="113">
        <v>-1</v>
      </c>
      <c r="F155" s="120">
        <v>-1</v>
      </c>
      <c r="G155" s="85">
        <v>1</v>
      </c>
      <c r="I155" s="80">
        <v>-1</v>
      </c>
    </row>
    <row r="156" spans="1:10" ht="18" customHeight="1" x14ac:dyDescent="0.3">
      <c r="A156" s="82">
        <v>2283</v>
      </c>
      <c r="B156" s="93">
        <v>45978</v>
      </c>
      <c r="C156" s="83" t="s">
        <v>1300</v>
      </c>
      <c r="D156" s="113" t="s">
        <v>1203</v>
      </c>
      <c r="F156" s="120">
        <v>1200000</v>
      </c>
      <c r="G156" s="85">
        <v>1</v>
      </c>
      <c r="I156" s="80">
        <v>1200000</v>
      </c>
    </row>
    <row r="157" spans="1:10" ht="18" customHeight="1" x14ac:dyDescent="0.3">
      <c r="A157" s="82">
        <v>2284</v>
      </c>
      <c r="B157" s="93">
        <v>45978</v>
      </c>
      <c r="C157" s="83" t="s">
        <v>1716</v>
      </c>
      <c r="D157" s="113" t="s">
        <v>1711</v>
      </c>
      <c r="F157" s="120">
        <v>150000</v>
      </c>
      <c r="G157" s="85">
        <v>1</v>
      </c>
      <c r="I157" s="80">
        <v>150000</v>
      </c>
    </row>
    <row r="158" spans="1:10" ht="18" customHeight="1" x14ac:dyDescent="0.3">
      <c r="A158" s="82">
        <v>2285</v>
      </c>
      <c r="B158" s="93">
        <v>45978</v>
      </c>
      <c r="C158" s="83" t="s">
        <v>3282</v>
      </c>
      <c r="D158" s="113" t="s">
        <v>4350</v>
      </c>
      <c r="F158" s="120">
        <v>200000</v>
      </c>
      <c r="G158" s="85">
        <v>1</v>
      </c>
      <c r="I158" s="80">
        <v>200000</v>
      </c>
    </row>
    <row r="159" spans="1:10" ht="18" customHeight="1" x14ac:dyDescent="0.3">
      <c r="A159" s="82">
        <v>2286</v>
      </c>
      <c r="B159" s="93">
        <v>45978</v>
      </c>
      <c r="C159" s="83" t="s">
        <v>1393</v>
      </c>
      <c r="D159" s="113" t="s">
        <v>1737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2287</v>
      </c>
      <c r="B160" s="93">
        <v>45978</v>
      </c>
      <c r="C160" s="83" t="s">
        <v>1147</v>
      </c>
      <c r="D160" s="113" t="s">
        <v>1711</v>
      </c>
      <c r="F160" s="120">
        <v>150000</v>
      </c>
      <c r="G160" s="85">
        <v>1</v>
      </c>
      <c r="I160" s="80">
        <v>150000</v>
      </c>
    </row>
    <row r="161" spans="1:10" ht="18" customHeight="1" x14ac:dyDescent="0.3">
      <c r="A161" s="82">
        <v>2288</v>
      </c>
      <c r="B161" s="93">
        <v>45978</v>
      </c>
      <c r="C161" s="83" t="s">
        <v>1841</v>
      </c>
      <c r="D161" s="113" t="s">
        <v>1125</v>
      </c>
      <c r="J161" s="80">
        <v>-1846000</v>
      </c>
    </row>
    <row r="162" spans="1:10" ht="18" customHeight="1" x14ac:dyDescent="0.3">
      <c r="A162" s="82">
        <v>2289</v>
      </c>
      <c r="B162" s="93">
        <v>45979</v>
      </c>
      <c r="C162" s="83" t="s">
        <v>3194</v>
      </c>
      <c r="D162" s="113" t="s">
        <v>4182</v>
      </c>
      <c r="J162" s="80">
        <v>-400000</v>
      </c>
    </row>
    <row r="163" spans="1:10" ht="18" customHeight="1" x14ac:dyDescent="0.3">
      <c r="A163" s="82">
        <v>2290</v>
      </c>
      <c r="B163" s="93">
        <v>45979</v>
      </c>
      <c r="C163" s="83" t="s">
        <v>1300</v>
      </c>
      <c r="D163" s="113" t="s">
        <v>4164</v>
      </c>
      <c r="J163" s="80">
        <v>-1200000</v>
      </c>
    </row>
    <row r="164" spans="1:10" ht="18" customHeight="1" x14ac:dyDescent="0.3">
      <c r="A164" s="82">
        <v>2291</v>
      </c>
      <c r="B164" s="93">
        <v>45979</v>
      </c>
      <c r="C164" s="83" t="s">
        <v>2697</v>
      </c>
      <c r="D164" s="113" t="s">
        <v>2037</v>
      </c>
      <c r="F164" s="120">
        <v>800000</v>
      </c>
      <c r="G164" s="85">
        <v>1</v>
      </c>
      <c r="H164" s="126">
        <v>80000</v>
      </c>
      <c r="I164" s="80">
        <v>880000</v>
      </c>
    </row>
    <row r="165" spans="1:10" ht="18" customHeight="1" x14ac:dyDescent="0.3">
      <c r="A165" s="82">
        <v>2292</v>
      </c>
      <c r="B165" s="93">
        <v>45979</v>
      </c>
      <c r="C165" s="83" t="s">
        <v>1438</v>
      </c>
      <c r="D165" s="113" t="s">
        <v>4357</v>
      </c>
      <c r="F165" s="120">
        <v>1700000</v>
      </c>
      <c r="G165" s="85">
        <v>1</v>
      </c>
      <c r="I165" s="80">
        <v>1700000</v>
      </c>
    </row>
    <row r="166" spans="1:10" ht="18" customHeight="1" x14ac:dyDescent="0.3">
      <c r="A166" s="82">
        <v>2293</v>
      </c>
      <c r="B166" s="93">
        <v>45979</v>
      </c>
      <c r="C166" s="83" t="s">
        <v>3397</v>
      </c>
      <c r="D166" s="113" t="s">
        <v>3044</v>
      </c>
      <c r="F166" s="120">
        <v>1000000</v>
      </c>
      <c r="G166" s="85">
        <v>1</v>
      </c>
      <c r="I166" s="80">
        <v>1000000</v>
      </c>
    </row>
    <row r="167" spans="1:10" ht="18" customHeight="1" x14ac:dyDescent="0.3">
      <c r="A167" s="82">
        <v>2294</v>
      </c>
      <c r="B167" s="93">
        <v>45979</v>
      </c>
      <c r="C167" s="83" t="s">
        <v>3194</v>
      </c>
      <c r="D167" s="113" t="s">
        <v>2283</v>
      </c>
      <c r="F167" s="120">
        <v>1700000</v>
      </c>
      <c r="G167" s="85">
        <v>1</v>
      </c>
      <c r="I167" s="80">
        <v>1700000</v>
      </c>
    </row>
    <row r="168" spans="1:10" ht="18" customHeight="1" x14ac:dyDescent="0.3">
      <c r="A168" s="82">
        <v>2295</v>
      </c>
      <c r="B168" s="93">
        <v>45979</v>
      </c>
      <c r="C168" s="83" t="s">
        <v>2018</v>
      </c>
      <c r="D168" s="113" t="s">
        <v>3044</v>
      </c>
      <c r="F168" s="120">
        <v>1200000</v>
      </c>
      <c r="G168" s="85">
        <v>1</v>
      </c>
      <c r="I168" s="80">
        <v>1200000</v>
      </c>
    </row>
    <row r="169" spans="1:10" ht="18" customHeight="1" x14ac:dyDescent="0.3">
      <c r="A169" s="82">
        <v>2296</v>
      </c>
      <c r="B169" s="93">
        <v>45979</v>
      </c>
      <c r="C169" s="83" t="s">
        <v>2460</v>
      </c>
      <c r="D169" s="113" t="s">
        <v>1711</v>
      </c>
      <c r="F169" s="120">
        <v>200000</v>
      </c>
      <c r="G169" s="85">
        <v>1</v>
      </c>
      <c r="H169" s="126">
        <v>20000</v>
      </c>
      <c r="I169" s="80">
        <v>220000</v>
      </c>
    </row>
    <row r="170" spans="1:10" ht="18" customHeight="1" x14ac:dyDescent="0.3">
      <c r="A170" s="82">
        <v>2297</v>
      </c>
      <c r="B170" s="93">
        <v>45979</v>
      </c>
      <c r="C170" s="83" t="s">
        <v>1741</v>
      </c>
      <c r="D170" s="113" t="s">
        <v>1201</v>
      </c>
      <c r="F170" s="120">
        <v>1200000</v>
      </c>
      <c r="G170" s="85">
        <v>1</v>
      </c>
      <c r="H170" s="126">
        <v>120000</v>
      </c>
      <c r="I170" s="80">
        <v>1320000</v>
      </c>
    </row>
    <row r="171" spans="1:10" ht="18" customHeight="1" x14ac:dyDescent="0.3">
      <c r="A171" s="82">
        <v>2298</v>
      </c>
      <c r="B171" s="93">
        <v>45979</v>
      </c>
      <c r="C171" s="83" t="s">
        <v>1741</v>
      </c>
      <c r="D171" s="113" t="s">
        <v>1513</v>
      </c>
      <c r="F171" s="120">
        <v>20000</v>
      </c>
      <c r="G171" s="85">
        <v>1</v>
      </c>
      <c r="H171" s="126">
        <v>2000</v>
      </c>
      <c r="I171" s="80">
        <v>22000</v>
      </c>
    </row>
    <row r="172" spans="1:10" ht="18" customHeight="1" x14ac:dyDescent="0.3">
      <c r="A172" s="82">
        <v>2299</v>
      </c>
      <c r="B172" s="93">
        <v>45979</v>
      </c>
      <c r="C172" s="83" t="s">
        <v>4364</v>
      </c>
      <c r="D172" s="113" t="s">
        <v>1203</v>
      </c>
      <c r="F172" s="120">
        <v>1300000</v>
      </c>
      <c r="G172" s="85">
        <v>1</v>
      </c>
      <c r="I172" s="80">
        <v>1300000</v>
      </c>
    </row>
    <row r="173" spans="1:10" ht="18" customHeight="1" x14ac:dyDescent="0.3">
      <c r="A173" s="82">
        <v>2300</v>
      </c>
      <c r="B173" s="93">
        <v>45979</v>
      </c>
      <c r="C173" s="83" t="s">
        <v>2460</v>
      </c>
      <c r="D173" s="113" t="s">
        <v>1125</v>
      </c>
      <c r="J173" s="80">
        <v>-220000</v>
      </c>
    </row>
    <row r="174" spans="1:10" ht="18" customHeight="1" x14ac:dyDescent="0.3">
      <c r="A174" s="82">
        <v>2301</v>
      </c>
      <c r="B174" s="93">
        <v>45979</v>
      </c>
      <c r="C174" s="83" t="s">
        <v>3282</v>
      </c>
      <c r="D174" s="113" t="s">
        <v>1125</v>
      </c>
      <c r="J174" s="80">
        <v>-200000</v>
      </c>
    </row>
    <row r="175" spans="1:10" ht="18" customHeight="1" x14ac:dyDescent="0.3">
      <c r="A175" s="82">
        <v>2302</v>
      </c>
      <c r="B175" s="93">
        <v>45980</v>
      </c>
      <c r="C175" s="83" t="s">
        <v>2018</v>
      </c>
      <c r="D175" s="113" t="s">
        <v>4376</v>
      </c>
      <c r="J175" s="80">
        <v>-1200000</v>
      </c>
    </row>
    <row r="176" spans="1:10" ht="18" customHeight="1" x14ac:dyDescent="0.3">
      <c r="A176" s="82">
        <v>2303</v>
      </c>
      <c r="B176" s="93">
        <v>45980</v>
      </c>
      <c r="C176" s="83" t="s">
        <v>3194</v>
      </c>
      <c r="D176" s="113" t="s">
        <v>4182</v>
      </c>
      <c r="J176" s="80">
        <v>-1700000</v>
      </c>
    </row>
    <row r="177" spans="1:9" ht="18" customHeight="1" x14ac:dyDescent="0.3">
      <c r="A177" s="82">
        <v>2304</v>
      </c>
      <c r="B177" s="93">
        <v>45980</v>
      </c>
      <c r="C177" s="83" t="s">
        <v>2611</v>
      </c>
      <c r="D177" s="113" t="s">
        <v>1555</v>
      </c>
      <c r="F177" s="120">
        <v>1600000</v>
      </c>
      <c r="G177" s="85">
        <v>1</v>
      </c>
      <c r="H177" s="126">
        <v>160000</v>
      </c>
      <c r="I177" s="80">
        <v>1760000</v>
      </c>
    </row>
    <row r="178" spans="1:9" ht="18" customHeight="1" x14ac:dyDescent="0.3">
      <c r="A178" s="82">
        <v>2305</v>
      </c>
      <c r="B178" s="93">
        <v>45980</v>
      </c>
      <c r="C178" s="83" t="s">
        <v>1590</v>
      </c>
      <c r="D178" s="113" t="s">
        <v>2181</v>
      </c>
      <c r="F178" s="120">
        <v>130000</v>
      </c>
      <c r="G178" s="85">
        <v>1</v>
      </c>
      <c r="I178" s="80">
        <v>130000</v>
      </c>
    </row>
    <row r="179" spans="1:9" ht="18" customHeight="1" x14ac:dyDescent="0.3">
      <c r="A179" s="82">
        <v>2306</v>
      </c>
      <c r="B179" s="93">
        <v>45980</v>
      </c>
      <c r="C179" s="83" t="s">
        <v>1590</v>
      </c>
      <c r="D179" s="113" t="s">
        <v>2185</v>
      </c>
      <c r="F179" s="120">
        <v>10000</v>
      </c>
      <c r="G179" s="85">
        <v>1</v>
      </c>
      <c r="I179" s="80">
        <v>10000</v>
      </c>
    </row>
    <row r="180" spans="1:9" ht="18" customHeight="1" x14ac:dyDescent="0.3">
      <c r="A180" s="82">
        <v>2307</v>
      </c>
      <c r="B180" s="93">
        <v>45980</v>
      </c>
      <c r="C180" s="83" t="s">
        <v>2489</v>
      </c>
      <c r="D180" s="113" t="s">
        <v>3457</v>
      </c>
      <c r="F180" s="120">
        <v>550000</v>
      </c>
      <c r="G180" s="85">
        <v>1</v>
      </c>
      <c r="I180" s="80">
        <v>550000</v>
      </c>
    </row>
    <row r="181" spans="1:9" ht="18" customHeight="1" x14ac:dyDescent="0.3">
      <c r="A181" s="82">
        <v>2308</v>
      </c>
      <c r="B181" s="93">
        <v>45980</v>
      </c>
      <c r="C181" s="83" t="s">
        <v>4369</v>
      </c>
      <c r="D181" s="113" t="s">
        <v>1201</v>
      </c>
      <c r="F181" s="120">
        <v>1200000</v>
      </c>
      <c r="G181" s="85">
        <v>1</v>
      </c>
      <c r="H181" s="126">
        <v>120000</v>
      </c>
      <c r="I181" s="80">
        <v>1320000</v>
      </c>
    </row>
    <row r="182" spans="1:9" ht="18" customHeight="1" x14ac:dyDescent="0.3">
      <c r="A182" s="82">
        <v>2309</v>
      </c>
      <c r="B182" s="93">
        <v>45980</v>
      </c>
      <c r="C182" s="83" t="s">
        <v>4369</v>
      </c>
      <c r="D182" s="113" t="s">
        <v>1490</v>
      </c>
      <c r="F182" s="120">
        <v>350000</v>
      </c>
      <c r="G182" s="85">
        <v>1</v>
      </c>
      <c r="H182" s="126">
        <v>35000</v>
      </c>
      <c r="I182" s="80">
        <v>385000</v>
      </c>
    </row>
    <row r="183" spans="1:9" ht="18" customHeight="1" x14ac:dyDescent="0.3">
      <c r="A183" s="82">
        <v>2310</v>
      </c>
      <c r="B183" s="93">
        <v>45980</v>
      </c>
      <c r="C183" s="83" t="s">
        <v>1053</v>
      </c>
      <c r="D183" s="113" t="s">
        <v>1203</v>
      </c>
      <c r="F183" s="120">
        <v>1200000</v>
      </c>
      <c r="G183" s="85">
        <v>1</v>
      </c>
      <c r="I183" s="80">
        <v>1200000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2315</v>
      </c>
      <c r="C1" s="453" t="s">
        <v>2517</v>
      </c>
      <c r="D1" s="450" t="s">
        <v>2546</v>
      </c>
      <c r="E1" s="450" t="s">
        <v>36</v>
      </c>
      <c r="F1" s="450" t="s">
        <v>2701</v>
      </c>
      <c r="G1" s="450"/>
      <c r="H1" s="450" t="s">
        <v>2702</v>
      </c>
      <c r="I1" s="450"/>
      <c r="J1" s="450" t="s">
        <v>2703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2545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3662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2300000</v>
      </c>
      <c r="D2" s="58">
        <f t="shared" ref="D2:D65" si="0">RANK(C2,C:C,0)</f>
        <v>16</v>
      </c>
    </row>
    <row r="3" spans="1:6" x14ac:dyDescent="0.3">
      <c r="B3" s="269" t="s">
        <v>1346</v>
      </c>
      <c r="C3" s="268">
        <f>SUMIF(BTS_매출관리!C:C,B3,BTS_매출관리!I:I)</f>
        <v>2494000</v>
      </c>
      <c r="D3" s="269">
        <f t="shared" si="0"/>
        <v>15</v>
      </c>
    </row>
    <row r="4" spans="1:6" x14ac:dyDescent="0.3">
      <c r="B4" s="58" t="s">
        <v>1273</v>
      </c>
      <c r="C4" s="301">
        <f>SUMIF(BTS_매출관리!C:C,B4,BTS_매출관리!I:I)</f>
        <v>400000</v>
      </c>
      <c r="D4" s="58">
        <f t="shared" si="0"/>
        <v>43</v>
      </c>
    </row>
    <row r="5" spans="1:6" x14ac:dyDescent="0.3">
      <c r="B5" s="58" t="s">
        <v>1330</v>
      </c>
      <c r="C5" s="301">
        <f>SUMIF(BTS_매출관리!C:C,B5,BTS_매출관리!I:I)</f>
        <v>5650000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2035000</v>
      </c>
      <c r="D6" s="58">
        <f t="shared" si="0"/>
        <v>19</v>
      </c>
    </row>
    <row r="7" spans="1:6" x14ac:dyDescent="0.3">
      <c r="B7" s="58" t="s">
        <v>1284</v>
      </c>
      <c r="C7" s="301">
        <f>SUMIF(BTS_매출관리!C:C,B7,BTS_매출관리!I:I)</f>
        <v>1100000</v>
      </c>
      <c r="D7" s="58">
        <f t="shared" si="0"/>
        <v>33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48</v>
      </c>
    </row>
    <row r="9" spans="1:6" x14ac:dyDescent="0.3">
      <c r="B9" s="58" t="s">
        <v>2208</v>
      </c>
      <c r="C9" s="301">
        <f>SUMIF(BTS_매출관리!C:C,B9,BTS_매출관리!I:I)</f>
        <v>2850000</v>
      </c>
      <c r="D9" s="58">
        <f t="shared" si="0"/>
        <v>11</v>
      </c>
    </row>
    <row r="10" spans="1:6" x14ac:dyDescent="0.3">
      <c r="B10" s="269" t="s">
        <v>1318</v>
      </c>
      <c r="C10" s="268">
        <f>SUMIF(BTS_매출관리!C:C,B10,BTS_매출관리!I:I)</f>
        <v>1760000</v>
      </c>
      <c r="D10" s="269">
        <f t="shared" si="0"/>
        <v>21</v>
      </c>
    </row>
    <row r="11" spans="1:6" x14ac:dyDescent="0.3">
      <c r="B11" s="58" t="s">
        <v>1327</v>
      </c>
      <c r="C11" s="301">
        <f>SUMIF(BTS_매출관리!C:C,B11,BTS_매출관리!I:I)</f>
        <v>2300000</v>
      </c>
      <c r="D11" s="58">
        <f t="shared" si="0"/>
        <v>16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48</v>
      </c>
      <c r="F12" t="str">
        <f>IF(D12 &lt; 10,,"")</f>
        <v/>
      </c>
    </row>
    <row r="13" spans="1:6" x14ac:dyDescent="0.3">
      <c r="B13" s="269" t="s">
        <v>3394</v>
      </c>
      <c r="C13" s="268">
        <f>SUMIF(BTS_매출관리!C:C,B13,BTS_매출관리!I:I)</f>
        <v>0</v>
      </c>
      <c r="D13" s="269">
        <f t="shared" si="0"/>
        <v>48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31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48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48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48</v>
      </c>
    </row>
    <row r="18" spans="2:18" x14ac:dyDescent="0.3">
      <c r="B18" s="58" t="s">
        <v>1665</v>
      </c>
      <c r="C18" s="301">
        <f>SUMIF(BTS_매출관리!C:C,B18,BTS_매출관리!I:I)</f>
        <v>1340000</v>
      </c>
      <c r="D18" s="58">
        <f t="shared" si="0"/>
        <v>26</v>
      </c>
    </row>
    <row r="19" spans="2:18" x14ac:dyDescent="0.3">
      <c r="B19" s="58" t="s">
        <v>1148</v>
      </c>
      <c r="C19" s="301">
        <f>SUMIF(BTS_매출관리!C:C,B19,BTS_매출관리!I:I)</f>
        <v>150000</v>
      </c>
      <c r="D19" s="58">
        <f t="shared" si="0"/>
        <v>46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48</v>
      </c>
    </row>
    <row r="21" spans="2:18" x14ac:dyDescent="0.3">
      <c r="B21" s="58" t="s">
        <v>1335</v>
      </c>
      <c r="C21" s="301">
        <f>SUMIF(BTS_매출관리!C:C,B21,BTS_매출관리!I:I)</f>
        <v>0</v>
      </c>
      <c r="D21" s="58">
        <f t="shared" si="0"/>
        <v>48</v>
      </c>
      <c r="F21" t="s">
        <v>3688</v>
      </c>
    </row>
    <row r="22" spans="2:18" x14ac:dyDescent="0.3">
      <c r="B22" s="58" t="s">
        <v>1157</v>
      </c>
      <c r="C22" s="301">
        <f>SUMIF(BTS_매출관리!C:C,B22,BTS_매출관리!I:I)</f>
        <v>1232000</v>
      </c>
      <c r="D22" s="58">
        <f t="shared" si="0"/>
        <v>30</v>
      </c>
      <c r="F22" t="s">
        <v>3663</v>
      </c>
      <c r="G22" t="s">
        <v>3793</v>
      </c>
      <c r="I22" t="s">
        <v>3666</v>
      </c>
      <c r="J22" s="303" t="s">
        <v>3706</v>
      </c>
      <c r="O22" t="s">
        <v>3689</v>
      </c>
      <c r="P22">
        <v>2</v>
      </c>
      <c r="Q22" t="s">
        <v>3794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48</v>
      </c>
      <c r="F23" t="s">
        <v>3664</v>
      </c>
      <c r="G23" t="s">
        <v>3793</v>
      </c>
      <c r="I23" t="s">
        <v>3668</v>
      </c>
      <c r="J23" s="303" t="s">
        <v>3706</v>
      </c>
      <c r="O23" t="s">
        <v>3690</v>
      </c>
      <c r="P23">
        <v>3</v>
      </c>
      <c r="Q23" t="s">
        <v>3794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48</v>
      </c>
      <c r="F24" t="s">
        <v>3665</v>
      </c>
      <c r="G24" t="s">
        <v>3793</v>
      </c>
      <c r="I24" t="s">
        <v>3670</v>
      </c>
      <c r="J24" s="303" t="s">
        <v>3706</v>
      </c>
      <c r="O24" t="s">
        <v>3691</v>
      </c>
      <c r="P24">
        <v>2</v>
      </c>
      <c r="Q24" t="s">
        <v>3794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48</v>
      </c>
      <c r="F25" t="s">
        <v>3667</v>
      </c>
      <c r="G25" t="s">
        <v>3706</v>
      </c>
      <c r="I25" t="s">
        <v>3673</v>
      </c>
      <c r="J25" s="303" t="s">
        <v>3793</v>
      </c>
      <c r="O25" t="s">
        <v>3692</v>
      </c>
      <c r="P25">
        <v>1</v>
      </c>
      <c r="R25" t="s">
        <v>3793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48</v>
      </c>
      <c r="F26" t="s">
        <v>3669</v>
      </c>
      <c r="G26" t="s">
        <v>3793</v>
      </c>
      <c r="I26" t="s">
        <v>3686</v>
      </c>
      <c r="J26" s="303" t="s">
        <v>3725</v>
      </c>
      <c r="O26" t="s">
        <v>3693</v>
      </c>
      <c r="P26">
        <v>2</v>
      </c>
      <c r="Q26" t="s">
        <v>3707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48</v>
      </c>
      <c r="F27" t="s">
        <v>3779</v>
      </c>
      <c r="G27" t="s">
        <v>3801</v>
      </c>
      <c r="I27" t="s">
        <v>2853</v>
      </c>
      <c r="J27" s="303" t="s">
        <v>3725</v>
      </c>
      <c r="O27" t="s">
        <v>3694</v>
      </c>
      <c r="P27">
        <v>1</v>
      </c>
      <c r="Q27" t="s">
        <v>3706</v>
      </c>
    </row>
    <row r="28" spans="2:18" x14ac:dyDescent="0.3">
      <c r="B28" s="58" t="s">
        <v>2354</v>
      </c>
      <c r="C28" s="301">
        <f>SUMIF(BTS_매출관리!C:C,B28,BTS_매출관리!I:I)</f>
        <v>4466000</v>
      </c>
      <c r="D28" s="58">
        <f t="shared" si="0"/>
        <v>3</v>
      </c>
      <c r="F28" t="s">
        <v>3672</v>
      </c>
      <c r="G28" t="s">
        <v>3799</v>
      </c>
      <c r="I28" t="s">
        <v>2251</v>
      </c>
      <c r="J28" s="303" t="s">
        <v>3725</v>
      </c>
      <c r="O28" t="s">
        <v>3695</v>
      </c>
      <c r="P28">
        <v>2</v>
      </c>
      <c r="R28" t="s">
        <v>3800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48</v>
      </c>
      <c r="F29" t="s">
        <v>3674</v>
      </c>
      <c r="G29" t="s">
        <v>3793</v>
      </c>
      <c r="O29" t="s">
        <v>3696</v>
      </c>
      <c r="P29">
        <v>2</v>
      </c>
      <c r="Q29" t="s">
        <v>3794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48</v>
      </c>
      <c r="F30" t="s">
        <v>3675</v>
      </c>
      <c r="G30" t="s">
        <v>3799</v>
      </c>
      <c r="O30" t="s">
        <v>3697</v>
      </c>
      <c r="P30">
        <v>2</v>
      </c>
      <c r="Q30" t="s">
        <v>3724</v>
      </c>
    </row>
    <row r="31" spans="2:18" x14ac:dyDescent="0.3">
      <c r="B31" s="58" t="s">
        <v>1324</v>
      </c>
      <c r="C31" s="301">
        <f>SUMIF(BTS_매출관리!C:C,B31,BTS_매출관리!I:I)</f>
        <v>150000</v>
      </c>
      <c r="D31" s="58">
        <f t="shared" si="0"/>
        <v>46</v>
      </c>
      <c r="F31" t="s">
        <v>3676</v>
      </c>
      <c r="G31" t="s">
        <v>3793</v>
      </c>
      <c r="O31" t="s">
        <v>3698</v>
      </c>
      <c r="P31">
        <v>1</v>
      </c>
      <c r="R31" t="s">
        <v>3799</v>
      </c>
    </row>
    <row r="32" spans="2:18" x14ac:dyDescent="0.3">
      <c r="B32" s="58" t="s">
        <v>2554</v>
      </c>
      <c r="C32" s="301">
        <f>SUMIF(BTS_매출관리!C:C,B32,BTS_매출관리!I:I)</f>
        <v>0</v>
      </c>
      <c r="D32" s="58">
        <f t="shared" si="0"/>
        <v>48</v>
      </c>
      <c r="F32" t="s">
        <v>3677</v>
      </c>
      <c r="G32" t="s">
        <v>3793</v>
      </c>
      <c r="O32" t="s">
        <v>3699</v>
      </c>
      <c r="P32">
        <v>1</v>
      </c>
      <c r="R32" t="s">
        <v>3793</v>
      </c>
    </row>
    <row r="33" spans="2:17" x14ac:dyDescent="0.3">
      <c r="B33" s="269" t="s">
        <v>3625</v>
      </c>
      <c r="C33" s="268">
        <f>SUMIF(BTS_매출관리!C:C,B33,BTS_매출관리!I:I)</f>
        <v>0</v>
      </c>
      <c r="D33" s="269">
        <f t="shared" si="0"/>
        <v>48</v>
      </c>
      <c r="F33" t="s">
        <v>3678</v>
      </c>
      <c r="G33" t="s">
        <v>3793</v>
      </c>
      <c r="O33" t="s">
        <v>3700</v>
      </c>
      <c r="P33">
        <v>1</v>
      </c>
      <c r="Q33" t="s">
        <v>3708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48</v>
      </c>
      <c r="F34" t="s">
        <v>3679</v>
      </c>
      <c r="G34" t="s">
        <v>3799</v>
      </c>
      <c r="O34" t="s">
        <v>3671</v>
      </c>
      <c r="P34">
        <v>2</v>
      </c>
      <c r="Q34" t="s">
        <v>3794</v>
      </c>
    </row>
    <row r="35" spans="2:17" x14ac:dyDescent="0.3">
      <c r="B35" s="58" t="s">
        <v>1283</v>
      </c>
      <c r="C35" s="301">
        <f>SUMIF(BTS_매출관리!C:C,B35,BTS_매출관리!I:I)</f>
        <v>6138000</v>
      </c>
      <c r="D35" s="58">
        <f t="shared" si="0"/>
        <v>1</v>
      </c>
      <c r="F35" t="s">
        <v>3680</v>
      </c>
      <c r="G35" t="s">
        <v>3799</v>
      </c>
      <c r="O35" t="s">
        <v>3701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974000</v>
      </c>
      <c r="D36" s="58">
        <f t="shared" si="0"/>
        <v>35</v>
      </c>
      <c r="F36" t="s">
        <v>3681</v>
      </c>
      <c r="G36" t="s">
        <v>3793</v>
      </c>
      <c r="O36" t="s">
        <v>3702</v>
      </c>
      <c r="P36">
        <v>1</v>
      </c>
      <c r="Q36" t="s">
        <v>3794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48</v>
      </c>
      <c r="F37" t="s">
        <v>3682</v>
      </c>
      <c r="G37" t="s">
        <v>3793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48</v>
      </c>
      <c r="F38" t="s">
        <v>3683</v>
      </c>
      <c r="G38" t="s">
        <v>3799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48</v>
      </c>
      <c r="F39" t="s">
        <v>3684</v>
      </c>
      <c r="G39" t="s">
        <v>3799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48</v>
      </c>
      <c r="F40" t="s">
        <v>3685</v>
      </c>
      <c r="G40" t="s">
        <v>3799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48</v>
      </c>
      <c r="F41" t="s">
        <v>3687</v>
      </c>
      <c r="G41" t="s">
        <v>3793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48</v>
      </c>
      <c r="F42" t="s">
        <v>1322</v>
      </c>
      <c r="G42" t="s">
        <v>3799</v>
      </c>
    </row>
    <row r="43" spans="2:17" x14ac:dyDescent="0.3">
      <c r="B43" s="269" t="s">
        <v>1228</v>
      </c>
      <c r="C43" s="268">
        <f>SUMIF(BTS_매출관리!C:C,B43,BTS_매출관리!I:I)</f>
        <v>3800000</v>
      </c>
      <c r="D43" s="269">
        <f t="shared" si="0"/>
        <v>4</v>
      </c>
      <c r="F43" t="s">
        <v>3780</v>
      </c>
      <c r="G43" t="s">
        <v>3793</v>
      </c>
    </row>
    <row r="44" spans="2:17" x14ac:dyDescent="0.3">
      <c r="B44" s="58" t="s">
        <v>1281</v>
      </c>
      <c r="C44" s="301">
        <f>SUMIF(BTS_매출관리!C:C,B44,BTS_매출관리!I:I)</f>
        <v>3080000</v>
      </c>
      <c r="D44" s="58">
        <f t="shared" si="0"/>
        <v>8</v>
      </c>
      <c r="F44" t="s">
        <v>3781</v>
      </c>
      <c r="G44" t="s">
        <v>3793</v>
      </c>
    </row>
    <row r="45" spans="2:17" x14ac:dyDescent="0.3">
      <c r="B45" s="269" t="s">
        <v>1314</v>
      </c>
      <c r="C45" s="268">
        <f>SUMIF(BTS_매출관리!C:C,B45,BTS_매출관리!I:I)</f>
        <v>2530000</v>
      </c>
      <c r="D45" s="269">
        <f t="shared" si="0"/>
        <v>14</v>
      </c>
      <c r="F45" t="s">
        <v>3782</v>
      </c>
      <c r="G45" t="s">
        <v>3793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48</v>
      </c>
      <c r="F46" t="s">
        <v>3795</v>
      </c>
      <c r="G46" t="s">
        <v>3793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48</v>
      </c>
      <c r="F47" s="58" t="s">
        <v>1035</v>
      </c>
      <c r="G47" t="s">
        <v>3793</v>
      </c>
      <c r="K47" t="s">
        <v>3793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48</v>
      </c>
      <c r="F48" s="58" t="s">
        <v>1351</v>
      </c>
      <c r="G48" t="s">
        <v>3799</v>
      </c>
      <c r="K48" t="s">
        <v>3799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48</v>
      </c>
      <c r="F49" t="s">
        <v>1315</v>
      </c>
      <c r="G49" t="s">
        <v>3799</v>
      </c>
    </row>
    <row r="50" spans="2:7" x14ac:dyDescent="0.3">
      <c r="B50" s="269" t="s">
        <v>1289</v>
      </c>
      <c r="C50" s="268">
        <f>SUMIF(BTS_매출관리!C:C,B50,BTS_매출관리!I:I)</f>
        <v>2046000</v>
      </c>
      <c r="D50" s="269">
        <f t="shared" si="0"/>
        <v>18</v>
      </c>
    </row>
    <row r="51" spans="2:7" x14ac:dyDescent="0.3">
      <c r="B51" s="269" t="s">
        <v>1313</v>
      </c>
      <c r="C51" s="268">
        <f>SUMIF(BTS_매출관리!C:C,B51,BTS_매출관리!I:I)</f>
        <v>550000</v>
      </c>
      <c r="D51" s="269">
        <f t="shared" si="0"/>
        <v>39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48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48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48</v>
      </c>
    </row>
    <row r="55" spans="2:7" x14ac:dyDescent="0.3">
      <c r="B55" t="s">
        <v>2697</v>
      </c>
      <c r="C55" s="52">
        <f>SUMIF(BTS_매출관리!C:C,B55,BTS_매출관리!I:I)</f>
        <v>880000</v>
      </c>
      <c r="D55">
        <f t="shared" si="0"/>
        <v>36</v>
      </c>
    </row>
    <row r="56" spans="2:7" x14ac:dyDescent="0.3">
      <c r="B56" s="47" t="s">
        <v>1018</v>
      </c>
      <c r="C56" s="302">
        <f>SUMIF(BTS_매출관리!C:C,B56,BTS_매출관리!I:I)</f>
        <v>3713000</v>
      </c>
      <c r="D56" s="47">
        <f t="shared" si="0"/>
        <v>5</v>
      </c>
    </row>
    <row r="57" spans="2:7" x14ac:dyDescent="0.3">
      <c r="B57" s="47" t="s">
        <v>1778</v>
      </c>
      <c r="C57" s="302">
        <f>SUMIF(BTS_매출관리!C:C,B57,BTS_매출관리!I:I)</f>
        <v>3100000</v>
      </c>
      <c r="D57" s="47">
        <f t="shared" si="0"/>
        <v>7</v>
      </c>
    </row>
    <row r="58" spans="2:7" x14ac:dyDescent="0.3">
      <c r="B58" s="47" t="s">
        <v>2465</v>
      </c>
      <c r="C58" s="302">
        <f>SUMIF(BTS_매출관리!C:C,B58,BTS_매출관리!I:I)</f>
        <v>0</v>
      </c>
      <c r="D58" s="47">
        <f t="shared" si="0"/>
        <v>48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48</v>
      </c>
    </row>
    <row r="60" spans="2:7" x14ac:dyDescent="0.3">
      <c r="B60" s="47" t="s">
        <v>1301</v>
      </c>
      <c r="C60" s="302">
        <f>SUMIF(BTS_매출관리!C:C,B60,BTS_매출관리!I:I)</f>
        <v>2600000</v>
      </c>
      <c r="D60" s="47">
        <f t="shared" si="0"/>
        <v>13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48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48</v>
      </c>
    </row>
    <row r="63" spans="2:7" x14ac:dyDescent="0.3">
      <c r="B63" s="47" t="s">
        <v>2909</v>
      </c>
      <c r="C63" s="302">
        <f>SUMIF(BTS_매출관리!C:C,B63,BTS_매출관리!I:I)</f>
        <v>1600000</v>
      </c>
      <c r="D63" s="47">
        <f t="shared" si="0"/>
        <v>23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48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48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48</v>
      </c>
    </row>
    <row r="67" spans="2:4" x14ac:dyDescent="0.3">
      <c r="B67" s="47" t="s">
        <v>1351</v>
      </c>
      <c r="C67" s="302">
        <f>SUMIF(BTS_매출관리!C:C,B67,BTS_매출관리!I:I)</f>
        <v>1500000</v>
      </c>
      <c r="D67" s="47">
        <f t="shared" si="1"/>
        <v>25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48</v>
      </c>
    </row>
    <row r="69" spans="2:4" x14ac:dyDescent="0.3">
      <c r="B69" s="47" t="s">
        <v>1297</v>
      </c>
      <c r="C69" s="302">
        <f>SUMIF(BTS_매출관리!C:C,B69,BTS_매출관리!I:I)</f>
        <v>1600000</v>
      </c>
      <c r="D69" s="47">
        <f t="shared" si="1"/>
        <v>23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48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48</v>
      </c>
    </row>
    <row r="72" spans="2:4" x14ac:dyDescent="0.3">
      <c r="B72" s="47" t="s">
        <v>2858</v>
      </c>
      <c r="C72" s="302">
        <f>SUMIF(BTS_매출관리!C:C,B72,BTS_매출관리!I:I)</f>
        <v>0</v>
      </c>
      <c r="D72" s="47">
        <f t="shared" si="1"/>
        <v>48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48</v>
      </c>
    </row>
    <row r="74" spans="2:4" x14ac:dyDescent="0.3">
      <c r="B74" s="47" t="s">
        <v>1353</v>
      </c>
      <c r="C74" s="302">
        <f>SUMIF(BTS_매출관리!C:C,B74,BTS_매출관리!I:I)</f>
        <v>200000</v>
      </c>
      <c r="D74" s="47">
        <f t="shared" si="1"/>
        <v>45</v>
      </c>
    </row>
    <row r="75" spans="2:4" x14ac:dyDescent="0.3">
      <c r="B75" s="47" t="s">
        <v>3282</v>
      </c>
      <c r="C75" s="302">
        <f>SUMIF(BTS_매출관리!C:C,B75,BTS_매출관리!I:I)</f>
        <v>3400000</v>
      </c>
      <c r="D75" s="47">
        <f t="shared" si="1"/>
        <v>6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48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48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48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48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48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48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48</v>
      </c>
    </row>
    <row r="83" spans="2:4" x14ac:dyDescent="0.3">
      <c r="B83" t="s">
        <v>2750</v>
      </c>
      <c r="C83" s="52">
        <f>SUMIF(BTS_매출관리!C:C,B83,BTS_매출관리!I:I)</f>
        <v>500000</v>
      </c>
      <c r="D83">
        <f t="shared" si="1"/>
        <v>40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48</v>
      </c>
    </row>
    <row r="85" spans="2:4" x14ac:dyDescent="0.3">
      <c r="B85" t="s">
        <v>3535</v>
      </c>
      <c r="C85" s="52">
        <f>SUMIF(BTS_매출관리!C:C,B85,BTS_매출관리!I:I)</f>
        <v>0</v>
      </c>
      <c r="D85">
        <f t="shared" si="1"/>
        <v>48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48</v>
      </c>
    </row>
    <row r="87" spans="2:4" x14ac:dyDescent="0.3">
      <c r="B87" t="s">
        <v>1898</v>
      </c>
      <c r="C87" s="300">
        <f>SUMIF(BTS_매출관리!C:C,B87,BTS_매출관리!I:I)</f>
        <v>2750000</v>
      </c>
      <c r="D87">
        <f t="shared" si="1"/>
        <v>12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48</v>
      </c>
    </row>
    <row r="89" spans="2:4" x14ac:dyDescent="0.3">
      <c r="B89" t="s">
        <v>1277</v>
      </c>
      <c r="C89" s="300">
        <f>SUMIF(BTS_매출관리!C:C,B89,BTS_매출관리!I:I)</f>
        <v>800000</v>
      </c>
      <c r="D89">
        <f t="shared" si="1"/>
        <v>37</v>
      </c>
    </row>
    <row r="90" spans="2:4" x14ac:dyDescent="0.3">
      <c r="B90" t="s">
        <v>2862</v>
      </c>
      <c r="C90" s="52">
        <f>SUMIF(BTS_매출관리!C:C,B90,BTS_매출관리!I:I)</f>
        <v>1320000</v>
      </c>
      <c r="D90">
        <f t="shared" si="1"/>
        <v>27</v>
      </c>
    </row>
    <row r="91" spans="2:4" x14ac:dyDescent="0.3">
      <c r="B91" t="s">
        <v>2358</v>
      </c>
      <c r="C91" s="52">
        <f>SUMIF(BTS_매출관리!C:C,B91,BTS_매출관리!I:I)</f>
        <v>1200000</v>
      </c>
      <c r="D91">
        <f t="shared" si="1"/>
        <v>32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48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48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48</v>
      </c>
    </row>
    <row r="95" spans="2:4" x14ac:dyDescent="0.3">
      <c r="B95" t="s">
        <v>1225</v>
      </c>
      <c r="C95" s="52">
        <f>SUMIF(BTS_매출관리!C:C,B95,BTS_매출관리!I:I)</f>
        <v>1650000</v>
      </c>
      <c r="D95">
        <f t="shared" si="1"/>
        <v>22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48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48</v>
      </c>
    </row>
    <row r="98" spans="2:4" x14ac:dyDescent="0.3">
      <c r="B98" t="s">
        <v>2011</v>
      </c>
      <c r="C98" s="52">
        <f>SUMIF(BTS_매출관리!C:C,B98,BTS_매출관리!I:I)</f>
        <v>450000</v>
      </c>
      <c r="D98">
        <f t="shared" si="1"/>
        <v>41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48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48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48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48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48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48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48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48</v>
      </c>
    </row>
    <row r="107" spans="2:4" x14ac:dyDescent="0.3">
      <c r="B107" t="s">
        <v>2762</v>
      </c>
      <c r="C107" s="52">
        <f>SUMIF(BTS_매출관리!C:C,B107,BTS_매출관리!I:I)</f>
        <v>715000</v>
      </c>
      <c r="D107">
        <f t="shared" si="1"/>
        <v>38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48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48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48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48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48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48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27</v>
      </c>
    </row>
    <row r="115" spans="2:4" x14ac:dyDescent="0.3">
      <c r="B115" t="s">
        <v>1323</v>
      </c>
      <c r="C115" s="52">
        <f>SUMIF(BTS_매출관리!C:C,B115,BTS_매출관리!I:I)</f>
        <v>3050000</v>
      </c>
      <c r="D115">
        <f t="shared" si="1"/>
        <v>9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48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48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48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48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48</v>
      </c>
    </row>
    <row r="121" spans="2:4" x14ac:dyDescent="0.3">
      <c r="B121" t="s">
        <v>2585</v>
      </c>
      <c r="C121" s="300">
        <f>SUMIF(BTS_매출관리!C:C,B121,BTS_매출관리!I:I)</f>
        <v>300000</v>
      </c>
      <c r="D121">
        <f t="shared" si="1"/>
        <v>44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48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48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48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48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48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48</v>
      </c>
    </row>
    <row r="128" spans="2:4" x14ac:dyDescent="0.3">
      <c r="B128" t="s">
        <v>3454</v>
      </c>
      <c r="C128" s="52">
        <f>SUMIF(BTS_매출관리!C:C,B128,BTS_매출관리!I:I)</f>
        <v>0</v>
      </c>
      <c r="D128">
        <f t="shared" si="1"/>
        <v>48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48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48</v>
      </c>
    </row>
    <row r="131" spans="2:4" x14ac:dyDescent="0.3">
      <c r="B131" t="s">
        <v>3566</v>
      </c>
      <c r="C131" s="52">
        <f>SUMIF(BTS_매출관리!C:C,B131,BTS_매출관리!I:I)</f>
        <v>0</v>
      </c>
      <c r="D131">
        <f t="shared" si="2"/>
        <v>48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48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48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48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48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48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48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48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48</v>
      </c>
    </row>
    <row r="140" spans="2:4" x14ac:dyDescent="0.3">
      <c r="B140" t="s">
        <v>2461</v>
      </c>
      <c r="C140" s="52">
        <f>SUMIF(BTS_매출관리!C:C,B140,BTS_매출관리!I:I)</f>
        <v>440000</v>
      </c>
      <c r="D140">
        <f t="shared" si="2"/>
        <v>42</v>
      </c>
    </row>
    <row r="141" spans="2:4" x14ac:dyDescent="0.3">
      <c r="B141" t="s">
        <v>1308</v>
      </c>
      <c r="C141" s="300">
        <f>SUMIF(BTS_매출관리!C:C,B141,BTS_매출관리!I:I)</f>
        <v>1900000</v>
      </c>
      <c r="D141">
        <f t="shared" si="2"/>
        <v>20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48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48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48</v>
      </c>
    </row>
    <row r="145" spans="2:4" x14ac:dyDescent="0.3">
      <c r="B145" t="s">
        <v>3450</v>
      </c>
      <c r="C145" s="52">
        <f>SUMIF(BTS_매출관리!C:C,B145,BTS_매출관리!I:I)</f>
        <v>0</v>
      </c>
      <c r="D145">
        <f t="shared" si="2"/>
        <v>48</v>
      </c>
    </row>
    <row r="146" spans="2:4" x14ac:dyDescent="0.3">
      <c r="B146" t="s">
        <v>2047</v>
      </c>
      <c r="C146" s="52">
        <f>SUMIF(BTS_매출관리!C:C,B146,BTS_매출관리!I:I)</f>
        <v>2950000</v>
      </c>
      <c r="D146">
        <f t="shared" si="2"/>
        <v>10</v>
      </c>
    </row>
    <row r="147" spans="2:4" x14ac:dyDescent="0.3">
      <c r="B147" t="s">
        <v>3443</v>
      </c>
      <c r="C147" s="52">
        <f>SUMIF(BTS_매출관리!C:C,B147,BTS_매출관리!I:I)</f>
        <v>0</v>
      </c>
      <c r="D147">
        <f t="shared" si="2"/>
        <v>48</v>
      </c>
    </row>
    <row r="148" spans="2:4" x14ac:dyDescent="0.3">
      <c r="B148" t="s">
        <v>3494</v>
      </c>
      <c r="C148" s="52">
        <f>SUMIF(BTS_매출관리!C:C,B148,BTS_매출관리!I:I)</f>
        <v>0</v>
      </c>
      <c r="D148">
        <f t="shared" si="2"/>
        <v>48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48</v>
      </c>
    </row>
    <row r="150" spans="2:4" x14ac:dyDescent="0.3">
      <c r="B150" t="s">
        <v>3716</v>
      </c>
      <c r="C150" s="52">
        <f>SUMIF(BTS_매출관리!C:C,B150,BTS_매출관리!I:I)</f>
        <v>0</v>
      </c>
      <c r="D150">
        <f t="shared" si="2"/>
        <v>48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48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48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48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48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48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48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48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48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48</v>
      </c>
    </row>
    <row r="160" spans="2:4" x14ac:dyDescent="0.3">
      <c r="B160" t="s">
        <v>1329</v>
      </c>
      <c r="C160" s="52">
        <f>SUMIF(BTS_매출관리!C:C,B160,BTS_매출관리!I:I)</f>
        <v>1000000</v>
      </c>
      <c r="D160">
        <f t="shared" si="2"/>
        <v>34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48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48</v>
      </c>
    </row>
    <row r="163" spans="2:4" x14ac:dyDescent="0.3">
      <c r="B163" t="s">
        <v>1280</v>
      </c>
      <c r="C163" s="52">
        <f>SUMIF(BTS_매출관리!C:C,B163,BTS_매출관리!I:I)</f>
        <v>1300000</v>
      </c>
      <c r="D163">
        <f t="shared" si="2"/>
        <v>29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48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48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48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48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48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48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48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48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48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48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48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48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48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48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48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48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48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48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48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48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48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48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48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48</v>
      </c>
    </row>
    <row r="188" spans="2:4" x14ac:dyDescent="0.3">
      <c r="C188" s="52">
        <f>SUMIF(BTS_매출관리!C:C,B188,BTS_매출관리!I:I)</f>
        <v>0</v>
      </c>
      <c r="D188">
        <f t="shared" si="2"/>
        <v>48</v>
      </c>
    </row>
    <row r="189" spans="2:4" x14ac:dyDescent="0.3">
      <c r="C189" s="52">
        <f>SUMIF(BTS_매출관리!C:C,B189,BTS_매출관리!I:I)</f>
        <v>0</v>
      </c>
      <c r="D189">
        <f t="shared" si="2"/>
        <v>48</v>
      </c>
    </row>
    <row r="190" spans="2:4" x14ac:dyDescent="0.3">
      <c r="C190" s="52">
        <f>SUMIF(BTS_매출관리!C:C,B190,BTS_매출관리!I:I)</f>
        <v>0</v>
      </c>
      <c r="D190">
        <f t="shared" si="2"/>
        <v>48</v>
      </c>
    </row>
    <row r="191" spans="2:4" x14ac:dyDescent="0.3">
      <c r="C191" s="52">
        <f>SUMIF(BTS_매출관리!C:C,B191,BTS_매출관리!I:I)</f>
        <v>0</v>
      </c>
      <c r="D191">
        <f t="shared" si="2"/>
        <v>48</v>
      </c>
    </row>
    <row r="192" spans="2:4" x14ac:dyDescent="0.3">
      <c r="C192" s="52">
        <f>SUMIF(BTS_매출관리!C:C,B192,BTS_매출관리!I:I)</f>
        <v>0</v>
      </c>
      <c r="D192">
        <f t="shared" si="2"/>
        <v>48</v>
      </c>
    </row>
    <row r="193" spans="3:4" x14ac:dyDescent="0.3">
      <c r="C193" s="52">
        <f>SUMIF(BTS_매출관리!C:C,B193,BTS_매출관리!I:I)</f>
        <v>0</v>
      </c>
      <c r="D193">
        <f t="shared" si="2"/>
        <v>48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48</v>
      </c>
    </row>
    <row r="195" spans="3:4" x14ac:dyDescent="0.3">
      <c r="C195" s="52">
        <f>SUMIF(BTS_매출관리!C:C,B195,BTS_매출관리!I:I)</f>
        <v>0</v>
      </c>
      <c r="D195">
        <f t="shared" si="3"/>
        <v>48</v>
      </c>
    </row>
    <row r="196" spans="3:4" x14ac:dyDescent="0.3">
      <c r="C196" s="52">
        <f>SUMIF(BTS_매출관리!C:C,B196,BTS_매출관리!I:I)</f>
        <v>0</v>
      </c>
      <c r="D196">
        <f t="shared" si="3"/>
        <v>48</v>
      </c>
    </row>
    <row r="197" spans="3:4" x14ac:dyDescent="0.3">
      <c r="C197" s="52">
        <f>SUMIF(BTS_매출관리!C:C,B197,BTS_매출관리!I:I)</f>
        <v>0</v>
      </c>
      <c r="D197">
        <f t="shared" si="3"/>
        <v>48</v>
      </c>
    </row>
    <row r="198" spans="3:4" x14ac:dyDescent="0.3">
      <c r="C198" s="52">
        <f>SUMIF(BTS_매출관리!C:C,B198,BTS_매출관리!I:I)</f>
        <v>0</v>
      </c>
      <c r="D198">
        <f t="shared" si="3"/>
        <v>48</v>
      </c>
    </row>
    <row r="199" spans="3:4" x14ac:dyDescent="0.3">
      <c r="C199" s="52">
        <f>SUMIF(BTS_매출관리!C:C,B199,BTS_매출관리!I:I)</f>
        <v>0</v>
      </c>
      <c r="D199">
        <f t="shared" si="3"/>
        <v>48</v>
      </c>
    </row>
    <row r="200" spans="3:4" x14ac:dyDescent="0.3">
      <c r="C200" s="52">
        <f>SUMIF(BTS_매출관리!C:C,B200,BTS_매출관리!I:I)</f>
        <v>0</v>
      </c>
      <c r="D200">
        <f t="shared" si="3"/>
        <v>48</v>
      </c>
    </row>
    <row r="201" spans="3:4" x14ac:dyDescent="0.3">
      <c r="C201" s="52">
        <f>SUMIF(BTS_매출관리!C:C,B201,BTS_매출관리!I:I)</f>
        <v>0</v>
      </c>
      <c r="D201">
        <f t="shared" si="3"/>
        <v>48</v>
      </c>
    </row>
    <row r="202" spans="3:4" x14ac:dyDescent="0.3">
      <c r="C202" s="52">
        <f>SUMIF(BTS_매출관리!C:C,B202,BTS_매출관리!I:I)</f>
        <v>0</v>
      </c>
      <c r="D202">
        <f t="shared" si="3"/>
        <v>48</v>
      </c>
    </row>
    <row r="203" spans="3:4" x14ac:dyDescent="0.3">
      <c r="C203" s="52">
        <f>SUMIF(BTS_매출관리!C:C,B203,BTS_매출관리!I:I)</f>
        <v>0</v>
      </c>
      <c r="D203">
        <f t="shared" si="3"/>
        <v>48</v>
      </c>
    </row>
    <row r="204" spans="3:4" x14ac:dyDescent="0.3">
      <c r="C204" s="52">
        <f>SUMIF(BTS_매출관리!C:C,B204,BTS_매출관리!I:I)</f>
        <v>0</v>
      </c>
      <c r="D204">
        <f t="shared" si="3"/>
        <v>48</v>
      </c>
    </row>
    <row r="205" spans="3:4" x14ac:dyDescent="0.3">
      <c r="C205" s="52">
        <f>SUMIF(BTS_매출관리!C:C,B205,BTS_매출관리!I:I)</f>
        <v>0</v>
      </c>
      <c r="D205">
        <f t="shared" si="3"/>
        <v>48</v>
      </c>
    </row>
    <row r="206" spans="3:4" x14ac:dyDescent="0.3">
      <c r="C206" s="52">
        <f>SUMIF(BTS_매출관리!C:C,B206,BTS_매출관리!I:I)</f>
        <v>0</v>
      </c>
      <c r="D206">
        <f t="shared" si="3"/>
        <v>48</v>
      </c>
    </row>
    <row r="207" spans="3:4" x14ac:dyDescent="0.3">
      <c r="C207" s="52">
        <f>SUMIF(BTS_매출관리!C:C,B207,BTS_매출관리!I:I)</f>
        <v>0</v>
      </c>
      <c r="D207">
        <f t="shared" si="3"/>
        <v>48</v>
      </c>
    </row>
    <row r="208" spans="3:4" x14ac:dyDescent="0.3">
      <c r="C208" s="52">
        <f>SUMIF(BTS_매출관리!C:C,B208,BTS_매출관리!I:I)</f>
        <v>0</v>
      </c>
      <c r="D208">
        <f t="shared" si="3"/>
        <v>48</v>
      </c>
    </row>
    <row r="209" spans="3:4" x14ac:dyDescent="0.3">
      <c r="C209" s="52">
        <f>SUMIF(BTS_매출관리!C:C,B209,BTS_매출관리!I:I)</f>
        <v>0</v>
      </c>
      <c r="D209">
        <f t="shared" si="3"/>
        <v>48</v>
      </c>
    </row>
    <row r="210" spans="3:4" x14ac:dyDescent="0.3">
      <c r="C210" s="52">
        <f>SUMIF(BTS_매출관리!C:C,B210,BTS_매출관리!I:I)</f>
        <v>0</v>
      </c>
      <c r="D210">
        <f t="shared" si="3"/>
        <v>48</v>
      </c>
    </row>
    <row r="211" spans="3:4" x14ac:dyDescent="0.3">
      <c r="C211" s="52">
        <f>SUMIF(BTS_매출관리!C:C,B211,BTS_매출관리!I:I)</f>
        <v>0</v>
      </c>
      <c r="D211">
        <f t="shared" si="3"/>
        <v>48</v>
      </c>
    </row>
    <row r="212" spans="3:4" x14ac:dyDescent="0.3">
      <c r="C212" s="52">
        <f>SUMIF(BTS_매출관리!C:C,B212,BTS_매출관리!I:I)</f>
        <v>0</v>
      </c>
      <c r="D212">
        <f t="shared" si="3"/>
        <v>48</v>
      </c>
    </row>
    <row r="213" spans="3:4" x14ac:dyDescent="0.3">
      <c r="C213" s="52">
        <f>SUMIF(BTS_매출관리!C:C,B213,BTS_매출관리!I:I)</f>
        <v>0</v>
      </c>
      <c r="D213">
        <f t="shared" si="3"/>
        <v>48</v>
      </c>
    </row>
    <row r="214" spans="3:4" x14ac:dyDescent="0.3">
      <c r="C214" s="52">
        <f>SUMIF(BTS_매출관리!C:C,B214,BTS_매출관리!I:I)</f>
        <v>0</v>
      </c>
      <c r="D214">
        <f t="shared" si="3"/>
        <v>48</v>
      </c>
    </row>
    <row r="215" spans="3:4" x14ac:dyDescent="0.3">
      <c r="C215" s="52">
        <f>SUMIF(BTS_매출관리!C:C,B215,BTS_매출관리!I:I)</f>
        <v>0</v>
      </c>
      <c r="D215">
        <f t="shared" si="3"/>
        <v>48</v>
      </c>
    </row>
    <row r="216" spans="3:4" x14ac:dyDescent="0.3">
      <c r="C216" s="52">
        <f>SUMIF(BTS_매출관리!C:C,B216,BTS_매출관리!I:I)</f>
        <v>0</v>
      </c>
      <c r="D216">
        <f t="shared" si="3"/>
        <v>48</v>
      </c>
    </row>
    <row r="217" spans="3:4" x14ac:dyDescent="0.3">
      <c r="C217" s="52">
        <f>SUMIF(BTS_매출관리!C:C,B217,BTS_매출관리!I:I)</f>
        <v>0</v>
      </c>
      <c r="D217">
        <f t="shared" si="3"/>
        <v>48</v>
      </c>
    </row>
    <row r="218" spans="3:4" x14ac:dyDescent="0.3">
      <c r="C218" s="52">
        <f>SUMIF(BTS_매출관리!C:C,B218,BTS_매출관리!I:I)</f>
        <v>0</v>
      </c>
      <c r="D218">
        <f t="shared" si="3"/>
        <v>48</v>
      </c>
    </row>
    <row r="219" spans="3:4" x14ac:dyDescent="0.3">
      <c r="C219" s="52">
        <f>SUMIF(BTS_매출관리!C:C,B219,BTS_매출관리!I:I)</f>
        <v>0</v>
      </c>
      <c r="D219">
        <f t="shared" si="3"/>
        <v>48</v>
      </c>
    </row>
    <row r="220" spans="3:4" x14ac:dyDescent="0.3">
      <c r="C220" s="52">
        <f>SUMIF(BTS_매출관리!C:C,B220,BTS_매출관리!I:I)</f>
        <v>0</v>
      </c>
      <c r="D220">
        <f t="shared" si="3"/>
        <v>48</v>
      </c>
    </row>
    <row r="221" spans="3:4" x14ac:dyDescent="0.3">
      <c r="C221" s="52">
        <f>SUMIF(BTS_매출관리!C:C,B221,BTS_매출관리!I:I)</f>
        <v>0</v>
      </c>
      <c r="D221">
        <f t="shared" si="3"/>
        <v>48</v>
      </c>
    </row>
    <row r="222" spans="3:4" x14ac:dyDescent="0.3">
      <c r="C222" s="52">
        <f>SUMIF(BTS_매출관리!C:C,B222,BTS_매출관리!I:I)</f>
        <v>0</v>
      </c>
      <c r="D222">
        <f t="shared" si="3"/>
        <v>48</v>
      </c>
    </row>
    <row r="223" spans="3:4" x14ac:dyDescent="0.3">
      <c r="C223" s="52">
        <f>SUMIF(BTS_매출관리!C:C,B223,BTS_매출관리!I:I)</f>
        <v>0</v>
      </c>
      <c r="D223">
        <f t="shared" si="3"/>
        <v>48</v>
      </c>
    </row>
    <row r="224" spans="3:4" x14ac:dyDescent="0.3">
      <c r="C224" s="52">
        <f>SUMIF(BTS_매출관리!C:C,B224,BTS_매출관리!I:I)</f>
        <v>0</v>
      </c>
      <c r="D224">
        <f t="shared" si="3"/>
        <v>48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1195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2216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1165</v>
      </c>
      <c r="B3" s="37" t="s">
        <v>59</v>
      </c>
      <c r="C3" s="506" t="s">
        <v>1535</v>
      </c>
      <c r="D3" s="507"/>
      <c r="E3" s="507"/>
      <c r="F3" s="507"/>
      <c r="G3" s="507"/>
      <c r="H3" s="507"/>
      <c r="I3" s="507"/>
      <c r="J3" s="508"/>
      <c r="K3" s="388" t="s">
        <v>1166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1165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1166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0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1230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3565</v>
      </c>
      <c r="D887" t="s">
        <v>3572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3573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3574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3576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3577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3578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3579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3591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3592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3593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3594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3596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3597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3598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3599</v>
      </c>
    </row>
    <row r="902" spans="1:4" x14ac:dyDescent="0.3">
      <c r="A902">
        <v>926</v>
      </c>
      <c r="B902" s="13">
        <v>45918</v>
      </c>
      <c r="C902" t="s">
        <v>1741</v>
      </c>
      <c r="D902" t="s">
        <v>3600</v>
      </c>
    </row>
    <row r="903" spans="1:4" x14ac:dyDescent="0.3">
      <c r="A903">
        <v>927</v>
      </c>
      <c r="B903" s="13">
        <v>45918</v>
      </c>
      <c r="C903" t="s">
        <v>2802</v>
      </c>
      <c r="D903" t="s">
        <v>3601</v>
      </c>
    </row>
    <row r="904" spans="1:4" x14ac:dyDescent="0.3">
      <c r="A904">
        <v>928</v>
      </c>
      <c r="B904" s="13">
        <v>45918</v>
      </c>
      <c r="C904" t="s">
        <v>3108</v>
      </c>
      <c r="D904" t="s">
        <v>3602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3603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3611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3612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3613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3615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3623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3628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3629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3630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3631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3632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3641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3642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3643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3647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3649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3658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3659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3660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3661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3709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3710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3711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3712</v>
      </c>
    </row>
    <row r="937" spans="1:4" x14ac:dyDescent="0.3">
      <c r="A937">
        <v>961</v>
      </c>
      <c r="B937" s="13">
        <v>45926</v>
      </c>
      <c r="C937" t="s">
        <v>3713</v>
      </c>
      <c r="D937" t="s">
        <v>3715</v>
      </c>
    </row>
    <row r="938" spans="1:4" x14ac:dyDescent="0.3">
      <c r="A938">
        <v>962</v>
      </c>
      <c r="B938" s="13">
        <v>45927</v>
      </c>
      <c r="C938" t="s">
        <v>3716</v>
      </c>
      <c r="D938" t="s">
        <v>3720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3723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3728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3734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3736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3737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3738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3739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3741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3743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3745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3746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3747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3748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3749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3750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3760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3761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3763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3764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3765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3766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3767</v>
      </c>
    </row>
    <row r="961" spans="1:4" x14ac:dyDescent="0.3">
      <c r="A961">
        <v>985</v>
      </c>
      <c r="B961" s="13">
        <v>45930</v>
      </c>
      <c r="C961" t="s">
        <v>3753</v>
      </c>
      <c r="D961" t="s">
        <v>3768</v>
      </c>
    </row>
    <row r="962" spans="1:4" x14ac:dyDescent="0.3">
      <c r="A962">
        <v>986</v>
      </c>
      <c r="B962" s="13">
        <v>45931</v>
      </c>
      <c r="C962" t="s">
        <v>1841</v>
      </c>
      <c r="D962" t="s">
        <v>3802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3803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3804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3805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3807</v>
      </c>
    </row>
    <row r="967" spans="1:4" x14ac:dyDescent="0.3">
      <c r="A967">
        <v>991</v>
      </c>
      <c r="B967" s="13">
        <v>45931</v>
      </c>
      <c r="C967" t="s">
        <v>3808</v>
      </c>
      <c r="D967" t="s">
        <v>3809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3814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3815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3820</v>
      </c>
    </row>
    <row r="971" spans="1:4" x14ac:dyDescent="0.3">
      <c r="A971">
        <v>995</v>
      </c>
      <c r="B971" s="13">
        <v>45932</v>
      </c>
      <c r="C971" t="s">
        <v>3811</v>
      </c>
      <c r="D971" t="s">
        <v>3822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3823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3829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3832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3833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3835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3836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3840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3846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3847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3848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3850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3851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3852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3853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3854</v>
      </c>
    </row>
    <row r="987" spans="1:4" x14ac:dyDescent="0.3">
      <c r="A987">
        <v>1011</v>
      </c>
      <c r="B987" s="13">
        <v>45940</v>
      </c>
      <c r="C987" t="s">
        <v>3808</v>
      </c>
      <c r="D987" t="s">
        <v>3855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3856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3857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3864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3865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3866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3867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3871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3873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3875</v>
      </c>
    </row>
    <row r="997" spans="1:4" x14ac:dyDescent="0.3">
      <c r="A997">
        <v>1021</v>
      </c>
      <c r="B997" s="13">
        <v>45943</v>
      </c>
      <c r="C997" t="s">
        <v>3876</v>
      </c>
      <c r="D997" t="s">
        <v>3879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3880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3881</v>
      </c>
    </row>
    <row r="1000" spans="1:4" x14ac:dyDescent="0.3">
      <c r="A1000">
        <v>1024</v>
      </c>
      <c r="B1000" s="13">
        <v>45943</v>
      </c>
      <c r="C1000" t="s">
        <v>3882</v>
      </c>
      <c r="D1000" t="s">
        <v>3883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3884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3896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3897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3898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3900</v>
      </c>
    </row>
    <row r="1006" spans="1:4" x14ac:dyDescent="0.3">
      <c r="A1006">
        <v>1030</v>
      </c>
      <c r="B1006" s="13">
        <v>45944</v>
      </c>
      <c r="C1006" t="s">
        <v>3901</v>
      </c>
      <c r="D1006" t="s">
        <v>3904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3905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3906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3907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3908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3910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3913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3914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3916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3917</v>
      </c>
    </row>
    <row r="1016" spans="1:4" x14ac:dyDescent="0.3">
      <c r="A1016">
        <v>1040</v>
      </c>
      <c r="B1016" s="13">
        <v>45945</v>
      </c>
      <c r="C1016" t="s">
        <v>3918</v>
      </c>
      <c r="D1016" t="s">
        <v>3922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3924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3925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3927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3940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3941</v>
      </c>
    </row>
    <row r="1025" spans="1:4" x14ac:dyDescent="0.3">
      <c r="A1025">
        <v>1049</v>
      </c>
      <c r="B1025" s="13">
        <v>45946</v>
      </c>
      <c r="C1025" t="s">
        <v>3932</v>
      </c>
      <c r="D1025" t="s">
        <v>3942</v>
      </c>
    </row>
    <row r="1026" spans="1:4" x14ac:dyDescent="0.3">
      <c r="A1026">
        <v>1050</v>
      </c>
      <c r="B1026" s="13">
        <v>45946</v>
      </c>
      <c r="C1026" t="s">
        <v>3808</v>
      </c>
      <c r="D1026" t="s">
        <v>3943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3950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3956</v>
      </c>
    </row>
    <row r="1033" spans="1:4" x14ac:dyDescent="0.3">
      <c r="A1033">
        <v>1057</v>
      </c>
      <c r="B1033" s="13">
        <v>45950</v>
      </c>
      <c r="C1033" t="s">
        <v>3957</v>
      </c>
      <c r="D1033" t="s">
        <v>3960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3961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3964</v>
      </c>
    </row>
    <row r="1037" spans="1:4" x14ac:dyDescent="0.3">
      <c r="A1037">
        <v>1061</v>
      </c>
      <c r="B1037" s="13">
        <v>45950</v>
      </c>
      <c r="C1037" t="s">
        <v>3966</v>
      </c>
      <c r="D1037" t="s">
        <v>3967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3970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3971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3979</v>
      </c>
    </row>
    <row r="1046" spans="1:4" x14ac:dyDescent="0.3">
      <c r="A1046">
        <v>1070</v>
      </c>
      <c r="B1046" s="13">
        <v>45951</v>
      </c>
      <c r="C1046" t="s">
        <v>3918</v>
      </c>
      <c r="D1046" t="s">
        <v>3980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3985</v>
      </c>
    </row>
    <row r="1049" spans="1:4" x14ac:dyDescent="0.3">
      <c r="A1049">
        <v>1073</v>
      </c>
      <c r="B1049" s="13">
        <v>45951</v>
      </c>
      <c r="C1049" t="s">
        <v>3986</v>
      </c>
      <c r="D1049" t="s">
        <v>3987</v>
      </c>
    </row>
    <row r="1050" spans="1:4" x14ac:dyDescent="0.3">
      <c r="A1050">
        <v>1074</v>
      </c>
      <c r="B1050" s="13">
        <v>45952</v>
      </c>
      <c r="C1050" t="s">
        <v>3988</v>
      </c>
      <c r="D1050" t="s">
        <v>3994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4012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4021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4027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4028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4029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4030</v>
      </c>
    </row>
    <row r="1070" spans="1:4" x14ac:dyDescent="0.3">
      <c r="A1070">
        <v>1094</v>
      </c>
      <c r="B1070" s="13">
        <v>45955</v>
      </c>
      <c r="C1070" t="s">
        <v>4031</v>
      </c>
      <c r="D1070" t="s">
        <v>4035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4036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4037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4038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4042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4057</v>
      </c>
    </row>
    <row r="1076" spans="1:4" x14ac:dyDescent="0.3">
      <c r="A1076">
        <v>1100</v>
      </c>
      <c r="B1076" s="13">
        <v>45957</v>
      </c>
      <c r="C1076" t="s">
        <v>4052</v>
      </c>
      <c r="D1076" t="s">
        <v>4058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4059</v>
      </c>
    </row>
    <row r="1078" spans="1:4" x14ac:dyDescent="0.3">
      <c r="A1078">
        <v>1102</v>
      </c>
      <c r="B1078" s="13">
        <v>45957</v>
      </c>
      <c r="C1078" t="s">
        <v>4048</v>
      </c>
      <c r="D1078" t="s">
        <v>4060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4061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4062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4072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4073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4083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4085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4086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4087</v>
      </c>
    </row>
    <row r="1088" spans="1:4" x14ac:dyDescent="0.3">
      <c r="A1088">
        <v>1112</v>
      </c>
      <c r="B1088" s="13">
        <v>45958</v>
      </c>
      <c r="C1088" t="s">
        <v>4077</v>
      </c>
      <c r="D1088" t="s">
        <v>4088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4089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4099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4100</v>
      </c>
    </row>
    <row r="1092" spans="1:4" x14ac:dyDescent="0.3">
      <c r="A1092">
        <v>1116</v>
      </c>
      <c r="B1092" s="13">
        <v>45959</v>
      </c>
      <c r="C1092" t="s">
        <v>4096</v>
      </c>
      <c r="D1092" t="s">
        <v>4102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4103</v>
      </c>
    </row>
    <row r="1094" spans="1:4" x14ac:dyDescent="0.3">
      <c r="A1094">
        <v>1118</v>
      </c>
      <c r="B1094" s="13">
        <v>45959</v>
      </c>
      <c r="C1094" t="s">
        <v>4031</v>
      </c>
      <c r="D1094" t="s">
        <v>4104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4105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4106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4114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4115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4118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4119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4120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4122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4123</v>
      </c>
    </row>
    <row r="1104" spans="1:4" x14ac:dyDescent="0.3">
      <c r="A1104">
        <v>1128</v>
      </c>
      <c r="B1104" s="13">
        <v>45960</v>
      </c>
      <c r="C1104" t="s">
        <v>4052</v>
      </c>
      <c r="D1104" t="s">
        <v>4124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4125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4126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4127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4128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4153</v>
      </c>
    </row>
    <row r="1110" spans="1:4" x14ac:dyDescent="0.3">
      <c r="A1110">
        <v>1134</v>
      </c>
      <c r="B1110" s="13">
        <v>45961</v>
      </c>
      <c r="C1110" t="s">
        <v>4154</v>
      </c>
      <c r="D1110" t="s">
        <v>4157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4158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4159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4160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4161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4163</v>
      </c>
    </row>
    <row r="1116" spans="1:4" x14ac:dyDescent="0.3">
      <c r="A1116">
        <v>1140</v>
      </c>
      <c r="B1116" t="s">
        <v>4170</v>
      </c>
      <c r="C1116" t="s">
        <v>1716</v>
      </c>
      <c r="D1116" t="s">
        <v>4171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4174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4175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4176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4177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4178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4179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4185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4188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4189</v>
      </c>
    </row>
    <row r="1126" spans="1:4" x14ac:dyDescent="0.3">
      <c r="A1126">
        <v>1150</v>
      </c>
      <c r="B1126" s="13">
        <v>45965</v>
      </c>
      <c r="C1126" t="s">
        <v>3966</v>
      </c>
      <c r="D1126" t="s">
        <v>4190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4191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4193</v>
      </c>
    </row>
    <row r="1129" spans="1:4" x14ac:dyDescent="0.3">
      <c r="A1129">
        <v>1153</v>
      </c>
      <c r="B1129" s="13">
        <v>45966</v>
      </c>
      <c r="C1129" t="s">
        <v>4204</v>
      </c>
      <c r="D1129" t="s">
        <v>4208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4212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4213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4227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4228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4231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4232</v>
      </c>
    </row>
    <row r="1143" spans="1:4" x14ac:dyDescent="0.3">
      <c r="A1143">
        <v>1167</v>
      </c>
      <c r="B1143" s="13">
        <v>45968</v>
      </c>
      <c r="C1143" t="s">
        <v>4031</v>
      </c>
      <c r="D1143" t="s">
        <v>4242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4243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4254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4260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4261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4271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4273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4291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4293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4294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4295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4297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4308</v>
      </c>
    </row>
    <row r="1170" spans="1:4" x14ac:dyDescent="0.3">
      <c r="A1170">
        <v>1194</v>
      </c>
      <c r="B1170" s="13">
        <v>45974</v>
      </c>
      <c r="C1170" t="s">
        <v>4303</v>
      </c>
      <c r="D1170" t="s">
        <v>4309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4327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4328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4330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4331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4332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4334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4336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4337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4338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4339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4340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4346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4347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4348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4349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4351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4352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4353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4354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4356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4358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4359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4360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4361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4362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4363</v>
      </c>
    </row>
    <row r="1199" spans="1:4" x14ac:dyDescent="0.3">
      <c r="A1199">
        <v>1223</v>
      </c>
      <c r="B1199" s="13">
        <v>45979</v>
      </c>
      <c r="C1199" t="s">
        <v>4364</v>
      </c>
      <c r="D1199" t="s">
        <v>4365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4382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4383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4384</v>
      </c>
    </row>
    <row r="1203" spans="1:4" x14ac:dyDescent="0.3">
      <c r="A1203">
        <v>1227</v>
      </c>
      <c r="B1203" s="13">
        <v>45980</v>
      </c>
      <c r="C1203" t="s">
        <v>4369</v>
      </c>
      <c r="D1203" t="s">
        <v>4385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4386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4388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2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D21" sqref="D21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203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3635</v>
      </c>
      <c r="E4" t="s">
        <v>3636</v>
      </c>
      <c r="F4" t="s">
        <v>963</v>
      </c>
      <c r="G4" t="s">
        <v>3637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400000</v>
      </c>
      <c r="I10" s="52" t="s">
        <v>4368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800000</v>
      </c>
      <c r="I13" s="52" t="s">
        <v>4368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3789</v>
      </c>
      <c r="F14" t="s">
        <v>3784</v>
      </c>
      <c r="G14" t="s">
        <v>3790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1300000</v>
      </c>
      <c r="I16" s="52" t="s">
        <v>4368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18068000.199999999</v>
      </c>
      <c r="I17" s="52" t="s">
        <v>4368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8683000</v>
      </c>
      <c r="I19" s="52" t="s">
        <v>4368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  <c r="I20" s="52" t="s">
        <v>4368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4368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200000</v>
      </c>
      <c r="I25" s="52" t="s">
        <v>4344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3610</v>
      </c>
      <c r="J33" t="s">
        <v>3610</v>
      </c>
    </row>
    <row r="34" spans="1:10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2300000</v>
      </c>
      <c r="I37" s="52" t="s">
        <v>4368</v>
      </c>
    </row>
    <row r="38" spans="1:10" x14ac:dyDescent="0.3">
      <c r="A38" s="47">
        <v>37</v>
      </c>
      <c r="B38" t="s">
        <v>1035</v>
      </c>
      <c r="C38" t="s">
        <v>966</v>
      </c>
      <c r="E38" t="s">
        <v>3798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J39" t="s">
        <v>4318</v>
      </c>
    </row>
    <row r="40" spans="1:10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3858</v>
      </c>
    </row>
    <row r="51" spans="1:1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150000</v>
      </c>
      <c r="I54" s="52" t="s">
        <v>4368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4013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3868</v>
      </c>
      <c r="H65" s="194">
        <f>SUMIF(주문_리스트!C:C,거래처!B65,주문_리스트!K:K)+SUMIF(주문_리스트!C:C,거래처!B65,주문_리스트!L:L)</f>
        <v>0</v>
      </c>
      <c r="J65" t="s">
        <v>3887</v>
      </c>
    </row>
    <row r="66" spans="1:10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4137</v>
      </c>
    </row>
    <row r="69" spans="1:10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550000</v>
      </c>
      <c r="I71" s="52" t="s">
        <v>4265</v>
      </c>
    </row>
    <row r="72" spans="1:10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4368</v>
      </c>
    </row>
    <row r="73" spans="1:10" x14ac:dyDescent="0.3">
      <c r="A73" s="47">
        <v>72</v>
      </c>
      <c r="B73" t="s">
        <v>1482</v>
      </c>
      <c r="C73" t="s">
        <v>1483</v>
      </c>
      <c r="E73" t="s">
        <v>3783</v>
      </c>
      <c r="F73" t="s">
        <v>3784</v>
      </c>
      <c r="G73" t="s">
        <v>3785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3843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  <c r="I76" s="52" t="s">
        <v>4368</v>
      </c>
    </row>
    <row r="77" spans="1:10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1000000</v>
      </c>
      <c r="I78" s="52" t="s">
        <v>4368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4450000</v>
      </c>
      <c r="I79" s="52" t="s">
        <v>4368</v>
      </c>
    </row>
    <row r="80" spans="1:10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4013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3796</v>
      </c>
      <c r="F84" t="s">
        <v>3784</v>
      </c>
      <c r="G84" t="s">
        <v>3797</v>
      </c>
      <c r="H84" s="194">
        <f>SUMIF(주문_리스트!C:C,거래처!B84,주문_리스트!K:K)+SUMIF(주문_리스트!C:C,거래처!B84,주문_리스트!L:L)-1100000</f>
        <v>3150000</v>
      </c>
      <c r="I84" s="52" t="s">
        <v>4368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4368</v>
      </c>
    </row>
    <row r="86" spans="1:1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3752</v>
      </c>
    </row>
    <row r="89" spans="1:1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974000.09999999963</v>
      </c>
      <c r="I92" s="52" t="s">
        <v>4368</v>
      </c>
    </row>
    <row r="93" spans="1:1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1200000</v>
      </c>
      <c r="I94" s="52" t="s">
        <v>4368</v>
      </c>
    </row>
    <row r="95" spans="1:11" x14ac:dyDescent="0.3">
      <c r="A95" s="47">
        <v>94</v>
      </c>
      <c r="B95" t="s">
        <v>1345</v>
      </c>
      <c r="C95" t="s">
        <v>1807</v>
      </c>
      <c r="E95" t="s">
        <v>3791</v>
      </c>
      <c r="F95" t="s">
        <v>3784</v>
      </c>
      <c r="G95" t="s">
        <v>3792</v>
      </c>
      <c r="H95" s="194">
        <f>SUMIF(주문_리스트!C:C,거래처!B95,주문_리스트!K:K)+SUMIF(주문_리스트!C:C,거래처!B95,주문_리스트!L:L)-715000</f>
        <v>0</v>
      </c>
      <c r="J95" t="s">
        <v>4138</v>
      </c>
    </row>
    <row r="96" spans="1:11" x14ac:dyDescent="0.3">
      <c r="A96" s="47">
        <v>95</v>
      </c>
      <c r="B96" t="s">
        <v>1346</v>
      </c>
      <c r="C96" t="s">
        <v>3588</v>
      </c>
      <c r="E96" t="s">
        <v>3589</v>
      </c>
      <c r="F96" t="s">
        <v>963</v>
      </c>
      <c r="G96" t="s">
        <v>3590</v>
      </c>
      <c r="H96" s="194">
        <f>SUMIF(주문_리스트!C:C,거래처!B96,주문_리스트!K:K)+SUMIF(주문_리스트!C:C,거래처!B96,주문_리스트!L:L)</f>
        <v>0</v>
      </c>
      <c r="J96" t="s">
        <v>4319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2035000</v>
      </c>
      <c r="I97" s="52" t="s">
        <v>4368</v>
      </c>
    </row>
    <row r="98" spans="1:1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4265</v>
      </c>
    </row>
    <row r="100" spans="1:1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4013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3937</v>
      </c>
      <c r="H102" s="194">
        <f>SUMIF(주문_리스트!C:C,거래처!B102,주문_리스트!K:K)+SUMIF(주문_리스트!C:C,거래처!B102,주문_리스트!L:L)</f>
        <v>0</v>
      </c>
      <c r="J102" t="s">
        <v>3889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3839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3885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3713000</v>
      </c>
      <c r="I109" s="52" t="s">
        <v>4368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3100000</v>
      </c>
      <c r="I113" s="52" t="s">
        <v>4368</v>
      </c>
    </row>
    <row r="114" spans="1:10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4032</v>
      </c>
      <c r="C115" t="s">
        <v>4033</v>
      </c>
      <c r="E115" t="s">
        <v>4034</v>
      </c>
      <c r="F115" t="s">
        <v>4043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J116" t="s">
        <v>4195</v>
      </c>
    </row>
    <row r="117" spans="1:10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3928</v>
      </c>
    </row>
    <row r="119" spans="1:10" x14ac:dyDescent="0.3">
      <c r="A119" s="47">
        <v>118</v>
      </c>
      <c r="B119" t="s">
        <v>4283</v>
      </c>
      <c r="C119" t="s">
        <v>4284</v>
      </c>
      <c r="E119" t="s">
        <v>4285</v>
      </c>
      <c r="F119" t="s">
        <v>4286</v>
      </c>
      <c r="G119" t="s">
        <v>4287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4366</v>
      </c>
      <c r="G129" t="s">
        <v>4367</v>
      </c>
      <c r="H129" s="194">
        <f>SUMIF(주문_리스트!C:C,거래처!B129,주문_리스트!K:K)+SUMIF(주문_리스트!C:C,거래처!B129,주문_리스트!L:L)</f>
        <v>0</v>
      </c>
      <c r="I129" s="52" t="s">
        <v>4368</v>
      </c>
    </row>
    <row r="130" spans="1:10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3610</v>
      </c>
      <c r="J136">
        <v>45</v>
      </c>
    </row>
    <row r="137" spans="1:10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4313</v>
      </c>
    </row>
    <row r="139" spans="1:10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1300000</v>
      </c>
    </row>
    <row r="146" spans="1:1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2554</v>
      </c>
      <c r="C148" t="s">
        <v>2555</v>
      </c>
      <c r="E148" t="s">
        <v>3786</v>
      </c>
      <c r="F148" t="s">
        <v>3787</v>
      </c>
      <c r="G148" t="s">
        <v>3788</v>
      </c>
      <c r="H148" s="194">
        <f>SUMIF(주문_리스트!C:C,거래처!B148,주문_리스트!K:K)+SUMIF(주문_리스트!C:C,거래처!B148,주문_리스트!L:L)</f>
        <v>0</v>
      </c>
      <c r="K148" t="s">
        <v>4013</v>
      </c>
    </row>
    <row r="149" spans="1:1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880000</v>
      </c>
      <c r="I150" s="52" t="s">
        <v>4368</v>
      </c>
    </row>
    <row r="151" spans="1:1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3752</v>
      </c>
    </row>
    <row r="158" spans="1:1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4315</v>
      </c>
    </row>
    <row r="163" spans="1:1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4142</v>
      </c>
    </row>
    <row r="167" spans="1:1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4013</v>
      </c>
    </row>
    <row r="172" spans="1:1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3729</v>
      </c>
      <c r="C176" t="s">
        <v>3730</v>
      </c>
      <c r="E176" t="s">
        <v>3731</v>
      </c>
      <c r="F176" t="s">
        <v>3732</v>
      </c>
      <c r="G176" t="s">
        <v>3731</v>
      </c>
      <c r="H176" s="194">
        <f>SUMIF(주문_리스트!C:C,거래처!B176,주문_리스트!K:K)+SUMIF(주문_리스트!C:C,거래처!B176,주문_리스트!L:L)</f>
        <v>0</v>
      </c>
      <c r="J176" t="s">
        <v>3893</v>
      </c>
    </row>
    <row r="177" spans="1:1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4013</v>
      </c>
    </row>
    <row r="180" spans="1:1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3610</v>
      </c>
    </row>
    <row r="181" spans="1:1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3752</v>
      </c>
    </row>
    <row r="183" spans="1:11" x14ac:dyDescent="0.3">
      <c r="A183" s="47">
        <v>182</v>
      </c>
      <c r="B183" t="s">
        <v>3754</v>
      </c>
      <c r="C183" t="s">
        <v>3755</v>
      </c>
      <c r="E183" t="s">
        <v>3756</v>
      </c>
      <c r="F183" t="s">
        <v>3757</v>
      </c>
      <c r="G183" t="s">
        <v>3758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x14ac:dyDescent="0.3">
      <c r="A185" s="47">
        <v>184</v>
      </c>
      <c r="B185" t="s">
        <v>3566</v>
      </c>
      <c r="C185" t="s">
        <v>3567</v>
      </c>
      <c r="E185" t="s">
        <v>3568</v>
      </c>
      <c r="F185" t="s">
        <v>963</v>
      </c>
      <c r="G185" t="s">
        <v>3569</v>
      </c>
      <c r="H185" s="194">
        <f>SUMIF(주문_리스트!C:C,거래처!B185,주문_리스트!K:K)+SUMIF(주문_리스트!C:C,거래처!B185,주문_리스트!L:L)</f>
        <v>0</v>
      </c>
      <c r="J185" t="s">
        <v>3610</v>
      </c>
    </row>
    <row r="186" spans="1:11" x14ac:dyDescent="0.3">
      <c r="A186" s="47">
        <v>185</v>
      </c>
      <c r="B186" t="s">
        <v>3625</v>
      </c>
      <c r="C186" t="s">
        <v>3626</v>
      </c>
      <c r="E186" t="s">
        <v>3627</v>
      </c>
      <c r="F186" t="s">
        <v>1179</v>
      </c>
      <c r="G186" t="s">
        <v>3624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3716</v>
      </c>
      <c r="C187" t="s">
        <v>3717</v>
      </c>
      <c r="E187" t="s">
        <v>3718</v>
      </c>
      <c r="F187" t="s">
        <v>1179</v>
      </c>
      <c r="G187" t="s">
        <v>3719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3811</v>
      </c>
      <c r="C188" t="s">
        <v>3812</v>
      </c>
      <c r="E188" t="s">
        <v>3813</v>
      </c>
      <c r="F188" t="s">
        <v>1179</v>
      </c>
      <c r="G188" t="s">
        <v>3813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3876</v>
      </c>
      <c r="C189" t="s">
        <v>3877</v>
      </c>
      <c r="E189" t="s">
        <v>3878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3895</v>
      </c>
    </row>
    <row r="190" spans="1:11" x14ac:dyDescent="0.3">
      <c r="A190" s="47">
        <v>189</v>
      </c>
      <c r="B190" t="s">
        <v>3901</v>
      </c>
      <c r="C190" t="s">
        <v>3902</v>
      </c>
      <c r="E190" t="s">
        <v>3903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3918</v>
      </c>
      <c r="C191" t="s">
        <v>3919</v>
      </c>
      <c r="E191" t="s">
        <v>3920</v>
      </c>
      <c r="F191" t="s">
        <v>976</v>
      </c>
      <c r="G191" t="s">
        <v>3921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3932</v>
      </c>
      <c r="C192" t="s">
        <v>3933</v>
      </c>
      <c r="E192" t="s">
        <v>3934</v>
      </c>
      <c r="F192" t="s">
        <v>963</v>
      </c>
      <c r="G192" t="s">
        <v>3935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x14ac:dyDescent="0.3">
      <c r="A193" s="47">
        <v>192</v>
      </c>
      <c r="B193" t="s">
        <v>3957</v>
      </c>
      <c r="C193" t="s">
        <v>3958</v>
      </c>
      <c r="E193" t="s">
        <v>3959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3989</v>
      </c>
      <c r="C194" t="s">
        <v>3990</v>
      </c>
      <c r="E194" t="s">
        <v>3991</v>
      </c>
      <c r="F194" t="s">
        <v>3992</v>
      </c>
      <c r="G194" t="s">
        <v>3993</v>
      </c>
      <c r="H194" s="194">
        <f>SUMIF(주문_리스트!C:C,거래처!B194,주문_리스트!K:K)+SUMIF(주문_리스트!C:C,거래처!B194,주문_리스트!L:L)</f>
        <v>0</v>
      </c>
      <c r="K194" t="s">
        <v>4013</v>
      </c>
    </row>
    <row r="195" spans="1:11" x14ac:dyDescent="0.3">
      <c r="A195" s="47">
        <v>195</v>
      </c>
      <c r="B195" t="s">
        <v>4048</v>
      </c>
      <c r="C195" t="s">
        <v>4049</v>
      </c>
      <c r="E195" t="s">
        <v>4050</v>
      </c>
      <c r="F195" t="s">
        <v>963</v>
      </c>
      <c r="G195" t="s">
        <v>4051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4052</v>
      </c>
      <c r="C196" t="s">
        <v>4053</v>
      </c>
      <c r="E196" t="s">
        <v>4054</v>
      </c>
      <c r="F196" t="s">
        <v>1179</v>
      </c>
      <c r="G196" t="s">
        <v>4055</v>
      </c>
      <c r="H196" s="194">
        <f>SUMIF(주문_리스트!C:C,거래처!B196,주문_리스트!K:K)+SUMIF(주문_리스트!C:C,거래처!B196,주문_리스트!L:L)</f>
        <v>0</v>
      </c>
      <c r="J196" t="s">
        <v>4144</v>
      </c>
    </row>
    <row r="197" spans="1:11" x14ac:dyDescent="0.3">
      <c r="A197" s="47">
        <v>197</v>
      </c>
      <c r="B197" t="s">
        <v>4077</v>
      </c>
      <c r="C197" t="s">
        <v>4078</v>
      </c>
      <c r="E197" t="s">
        <v>4079</v>
      </c>
      <c r="F197" t="s">
        <v>963</v>
      </c>
      <c r="G197" t="s">
        <v>4080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4096</v>
      </c>
      <c r="C198" t="s">
        <v>4097</v>
      </c>
      <c r="E198" t="s">
        <v>4098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4154</v>
      </c>
      <c r="C199" t="s">
        <v>4155</v>
      </c>
      <c r="E199" t="s">
        <v>4156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4204</v>
      </c>
      <c r="C200" t="s">
        <v>4205</v>
      </c>
      <c r="E200" t="s">
        <v>4206</v>
      </c>
      <c r="F200" t="s">
        <v>963</v>
      </c>
      <c r="G200" t="s">
        <v>4207</v>
      </c>
      <c r="H200" s="194">
        <f>SUMIF(주문_리스트!C:C,거래처!B200,주문_리스트!K:K)+SUMIF(주문_리스트!C:C,거래처!B200,주문_리스트!L:L)</f>
        <v>0</v>
      </c>
      <c r="J200" t="s">
        <v>4316</v>
      </c>
    </row>
    <row r="201" spans="1:11" x14ac:dyDescent="0.3">
      <c r="A201" s="47">
        <v>201</v>
      </c>
      <c r="B201" t="s">
        <v>4303</v>
      </c>
      <c r="C201" t="s">
        <v>4304</v>
      </c>
      <c r="E201" t="s">
        <v>4305</v>
      </c>
      <c r="F201" t="s">
        <v>973</v>
      </c>
      <c r="H201" s="194">
        <f>SUMIF(주문_리스트!C:C,거래처!B201,주문_리스트!K:K)+SUMIF(주문_리스트!C:C,거래처!B201,주문_리스트!L:L)</f>
        <v>2000000</v>
      </c>
      <c r="I201" s="52" t="s">
        <v>4368</v>
      </c>
    </row>
    <row r="202" spans="1:11" x14ac:dyDescent="0.3">
      <c r="A202" s="47">
        <v>202</v>
      </c>
      <c r="B202" t="s">
        <v>4370</v>
      </c>
      <c r="C202" t="s">
        <v>4371</v>
      </c>
      <c r="E202" t="s">
        <v>4372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</sheetData>
  <autoFilter ref="A1:I219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7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261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-8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-56</v>
      </c>
      <c r="I8"/>
    </row>
    <row r="9" spans="1:11" x14ac:dyDescent="0.3">
      <c r="A9">
        <v>8</v>
      </c>
      <c r="B9">
        <v>2</v>
      </c>
      <c r="C9" s="288" t="s">
        <v>3837</v>
      </c>
      <c r="D9" s="288" t="s">
        <v>1140</v>
      </c>
      <c r="E9" s="288" t="s">
        <v>3837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3982</v>
      </c>
      <c r="D15" s="288" t="s">
        <v>1648</v>
      </c>
      <c r="E15" s="288" t="s">
        <v>3982</v>
      </c>
      <c r="F15" s="52">
        <v>1100000</v>
      </c>
      <c r="H15">
        <v>-7</v>
      </c>
      <c r="I15" s="52" t="s">
        <v>3657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-25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-11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-11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-23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-120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-39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-39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-5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-41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-55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1480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-52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-32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-39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-54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-54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2743</v>
      </c>
      <c r="D85" s="288" t="s">
        <v>2730</v>
      </c>
      <c r="E85" s="288" t="s">
        <v>2743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-51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4025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4026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-49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-59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-120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4148</v>
      </c>
      <c r="D120" s="288" t="s">
        <v>4149</v>
      </c>
      <c r="E120" s="288" t="s">
        <v>4148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4146</v>
      </c>
      <c r="D121" s="288" t="s">
        <v>4147</v>
      </c>
      <c r="E121" s="288" t="s">
        <v>4146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-39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3838</v>
      </c>
      <c r="D139" s="288" t="s">
        <v>2678</v>
      </c>
      <c r="E139" s="288" t="s">
        <v>3838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3570</v>
      </c>
      <c r="D140" s="288" t="s">
        <v>2676</v>
      </c>
      <c r="E140" s="288" t="s">
        <v>3570</v>
      </c>
      <c r="F140" s="52">
        <v>1000000</v>
      </c>
      <c r="H140">
        <f>SUMIF(재고!D:D,제품!D140,재고!F:F)-SUMIF(주문_리스트!E:E,제품!D140,주문_리스트!H:H)</f>
        <v>-5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3983</v>
      </c>
      <c r="D145" s="288" t="s">
        <v>2204</v>
      </c>
      <c r="E145" s="288" t="s">
        <v>3983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3759</v>
      </c>
      <c r="D148" s="288" t="s">
        <v>2676</v>
      </c>
      <c r="E148" s="288" t="s">
        <v>3759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3571</v>
      </c>
      <c r="D152" s="288" t="s">
        <v>2511</v>
      </c>
      <c r="E152" s="288" t="s">
        <v>3571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4081</v>
      </c>
      <c r="D162" s="288" t="s">
        <v>2265</v>
      </c>
      <c r="E162" s="288" t="s">
        <v>4081</v>
      </c>
      <c r="F162" s="52">
        <v>80000</v>
      </c>
      <c r="G162" s="52">
        <v>45000</v>
      </c>
      <c r="H162">
        <v>-1</v>
      </c>
      <c r="I162" s="52" t="s">
        <v>4082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-15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-21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-5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4046</v>
      </c>
      <c r="D201" s="288" t="s">
        <v>4047</v>
      </c>
      <c r="E201" s="288" t="s">
        <v>4046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-5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3562</v>
      </c>
      <c r="E216" s="288" t="s">
        <v>3561</v>
      </c>
      <c r="H216">
        <f>SUMIF(재고!D:D,제품!D216,재고!F:F)-SUMIF(주문_리스트!E:E,제품!D216,주문_리스트!H:H)</f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3563</v>
      </c>
      <c r="D229" s="288" t="s">
        <v>3564</v>
      </c>
      <c r="E229" s="288" t="s">
        <v>3563</v>
      </c>
      <c r="H229">
        <f>SUMIF(재고!D:D,제품!D229,재고!F:F)-SUMIF(주문_리스트!E:E,제품!D229,주문_리스트!H:H)</f>
        <v>0</v>
      </c>
    </row>
    <row r="230" spans="1:8" x14ac:dyDescent="0.3">
      <c r="A230">
        <v>229</v>
      </c>
      <c r="B230">
        <v>3</v>
      </c>
      <c r="D230" s="288" t="s">
        <v>3575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3580</v>
      </c>
      <c r="D231" s="288" t="s">
        <v>3581</v>
      </c>
      <c r="E231" s="288" t="s">
        <v>3580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3583</v>
      </c>
      <c r="D232" s="288" t="s">
        <v>3584</v>
      </c>
      <c r="E232" s="288" t="s">
        <v>3583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3585</v>
      </c>
      <c r="D233" s="288" t="s">
        <v>3575</v>
      </c>
      <c r="E233" s="288" t="s">
        <v>3585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3586</v>
      </c>
      <c r="D234" s="288" t="s">
        <v>3587</v>
      </c>
      <c r="E234" s="288" t="s">
        <v>3586</v>
      </c>
      <c r="F234" s="52">
        <v>300000</v>
      </c>
      <c r="H234">
        <f>SUMIF(재고!D:D,제품!D234,재고!F:F)-SUMIF(주문_리스트!E:E,제품!D234,주문_리스트!H:H)</f>
        <v>-2</v>
      </c>
    </row>
    <row r="235" spans="1:8" x14ac:dyDescent="0.3">
      <c r="A235">
        <v>234</v>
      </c>
      <c r="B235">
        <v>7</v>
      </c>
      <c r="C235" s="288" t="s">
        <v>3621</v>
      </c>
      <c r="D235" s="288" t="s">
        <v>3622</v>
      </c>
      <c r="E235" s="288" t="s">
        <v>3621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3818</v>
      </c>
      <c r="D236" s="288" t="s">
        <v>3819</v>
      </c>
      <c r="E236" s="288" t="s">
        <v>3818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3830</v>
      </c>
      <c r="D237" s="288" t="s">
        <v>3830</v>
      </c>
      <c r="E237" s="288" t="s">
        <v>3831</v>
      </c>
      <c r="F237" s="52">
        <v>2500000</v>
      </c>
      <c r="H237">
        <f>SUMIF(재고!D:D,제품!D237,재고!F:F)-SUMIF(주문_리스트!E:E,제품!D237,주문_리스트!H:H)</f>
        <v>0</v>
      </c>
    </row>
    <row r="238" spans="1:8" x14ac:dyDescent="0.3">
      <c r="A238">
        <v>241</v>
      </c>
      <c r="B238">
        <v>7</v>
      </c>
      <c r="D238" s="288" t="s">
        <v>3844</v>
      </c>
      <c r="E238" s="288" t="s">
        <v>3845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3869</v>
      </c>
      <c r="D239" s="288" t="s">
        <v>3870</v>
      </c>
      <c r="E239" s="288" t="s">
        <v>3869</v>
      </c>
    </row>
    <row r="240" spans="1:8" x14ac:dyDescent="0.3">
      <c r="A240">
        <v>243</v>
      </c>
      <c r="B240">
        <v>4</v>
      </c>
      <c r="C240" s="288" t="s">
        <v>3911</v>
      </c>
      <c r="D240" s="288" t="s">
        <v>3912</v>
      </c>
      <c r="E240" s="288" t="s">
        <v>3911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3951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3975</v>
      </c>
      <c r="D245" s="288" t="s">
        <v>3976</v>
      </c>
      <c r="E245" s="288" t="s">
        <v>3975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3998</v>
      </c>
      <c r="D246" s="288" t="s">
        <v>2912</v>
      </c>
      <c r="E246" s="288" t="s">
        <v>3998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4001</v>
      </c>
      <c r="D247" s="288" t="s">
        <v>4002</v>
      </c>
      <c r="E247" s="288" t="s">
        <v>4001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4022</v>
      </c>
      <c r="D248" s="288" t="s">
        <v>4023</v>
      </c>
      <c r="E248" s="288" t="s">
        <v>4022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4040</v>
      </c>
      <c r="D249" s="288" t="s">
        <v>4041</v>
      </c>
      <c r="E249" s="288" t="s">
        <v>4040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4045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4101</v>
      </c>
      <c r="D251" s="288" t="s">
        <v>2912</v>
      </c>
      <c r="E251" s="288" t="s">
        <v>4101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4112</v>
      </c>
      <c r="D252" s="288" t="s">
        <v>4113</v>
      </c>
      <c r="E252" s="288" t="s">
        <v>4112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4172</v>
      </c>
      <c r="D253" s="288" t="s">
        <v>2377</v>
      </c>
      <c r="E253" s="288" t="s">
        <v>4172</v>
      </c>
      <c r="I253" s="52" t="s">
        <v>4173</v>
      </c>
    </row>
    <row r="254" spans="1:9" x14ac:dyDescent="0.3">
      <c r="A254">
        <v>257</v>
      </c>
      <c r="B254">
        <v>3</v>
      </c>
      <c r="C254" s="288" t="s">
        <v>4192</v>
      </c>
      <c r="D254" s="288" t="s">
        <v>3117</v>
      </c>
      <c r="E254" s="288" t="s">
        <v>4192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4257</v>
      </c>
      <c r="D255" s="288" t="s">
        <v>4258</v>
      </c>
      <c r="E255" s="288" t="s">
        <v>4257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4272</v>
      </c>
      <c r="D256" s="288" t="s">
        <v>1203</v>
      </c>
      <c r="E256" s="288" t="s">
        <v>4272</v>
      </c>
      <c r="F256" s="52">
        <v>1200000</v>
      </c>
    </row>
    <row r="257" spans="1:6" x14ac:dyDescent="0.3">
      <c r="A257">
        <v>260</v>
      </c>
      <c r="D257" s="288" t="s">
        <v>4310</v>
      </c>
      <c r="F257" s="52">
        <v>1090910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4039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2025-11-19T11:04:30Z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