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1601884-6277-47B2-868D-EB27E6F3AE3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업무일지" sheetId="38" state="hidden" r:id="rId28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거래처!$A$1:$I$219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3" l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<sst xmlns="http://schemas.openxmlformats.org/spreadsheetml/2006/main" count="13117" uniqueCount="4467">
  <si>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</si>
  <si>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</si>
  <si>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</si>
  <si>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</si>
  <si>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</si>
  <si>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</si>
  <si>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</si>
  <si>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</si>
  <si>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</si>
  <si>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</si>
  <si>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</si>
  <si>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</si>
  <si>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</si>
  <si>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</si>
  <si>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</si>
  <si>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</si>
  <si>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</si>
  <si>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</si>
  <si>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</si>
  <si>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</si>
  <si>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</si>
  <si>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</si>
  <si>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</si>
  <si>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</si>
  <si>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</si>
  <si>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</si>
  <si>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</si>
  <si>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</si>
  <si>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</si>
  <si>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</si>
  <si>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</si>
  <si>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</si>
  <si>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</si>
  <si>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</si>
  <si>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</si>
  <si>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</si>
  <si>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</si>
  <si>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</si>
  <si>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</si>
  <si>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</si>
  <si>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</si>
  <si>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</si>
  <si>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</si>
  <si>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</si>
  <si>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</si>
  <si>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</si>
  <si>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</si>
  <si>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</si>
  <si>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</si>
  <si>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</si>
  <si>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</si>
  <si>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</si>
  <si>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</si>
  <si>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</si>
  <si>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</si>
  <si>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</si>
  <si>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</si>
  <si>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</si>
  <si>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</si>
  <si>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</si>
  <si>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</si>
  <si>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</si>
  <si>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</si>
  <si>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</si>
  <si>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</si>
  <si>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</si>
  <si>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</si>
  <si>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</si>
  <si>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</si>
  <si>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</si>
  <si>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</si>
  <si>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</si>
  <si>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</si>
  <si>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</si>
  <si>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</si>
  <si>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</si>
  <si>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</si>
  <si>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</si>
  <si>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</si>
  <si>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</si>
  <si>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</si>
  <si>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</si>
  <si>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</si>
  <si>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</si>
  <si>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</si>
  <si>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</si>
  <si>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</si>
  <si>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</si>
  <si>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</si>
  <si>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</si>
  <si>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</si>
  <si>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</si>
  <si>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</si>
  <si>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</si>
  <si>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</si>
  <si>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</si>
  <si>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</si>
  <si>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</si>
  <si>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</si>
  <si>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</si>
  <si>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</si>
  <si>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</si>
  <si>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</si>
  <si>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</si>
  <si>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</si>
  <si>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</si>
  <si>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</si>
  <si>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</si>
  <si>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</si>
  <si>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</si>
  <si>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</si>
  <si>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</si>
  <si>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</si>
  <si>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</si>
  <si>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</si>
  <si>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</si>
  <si>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</si>
  <si>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</si>
  <si>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</si>
  <si>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</si>
  <si>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</si>
  <si>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</si>
  <si>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</si>
  <si>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</si>
  <si>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</si>
  <si>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</si>
  <si>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</si>
  <si>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</si>
  <si>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</si>
  <si>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</si>
  <si>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</si>
  <si>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</si>
  <si>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</si>
  <si>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</si>
  <si>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</si>
  <si>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</si>
  <si>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</si>
  <si>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</si>
  <si>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</si>
  <si>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</si>
  <si>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</si>
  <si>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</si>
  <si>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</si>
  <si>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</si>
  <si>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</si>
  <si>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</si>
  <si>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</si>
  <si>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</si>
  <si>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</si>
  <si>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</si>
  <si>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</si>
  <si>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</si>
  <si>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</si>
  <si>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</si>
  <si>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</si>
  <si>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</si>
  <si>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</si>
  <si>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</si>
  <si>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</si>
  <si>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</si>
  <si>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</si>
  <si>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</si>
  <si>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</si>
  <si>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</si>
  <si>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</si>
  <si>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</si>
  <si>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</si>
  <si>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</si>
  <si>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</si>
  <si>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</si>
  <si>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</si>
  <si>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</si>
  <si>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</si>
  <si>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</si>
  <si>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</si>
  <si>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</si>
  <si>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</si>
  <si>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</si>
  <si>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</si>
  <si>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</si>
  <si>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</si>
  <si>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</si>
  <si>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</si>
  <si>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</si>
  <si>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</si>
  <si>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</si>
  <si>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</si>
  <si>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</si>
  <si>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</si>
  <si>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</si>
  <si>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</si>
  <si>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</si>
  <si>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</si>
  <si>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</si>
  <si>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</si>
  <si>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</si>
  <si>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</si>
  <si>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</si>
  <si>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</si>
  <si>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</si>
  <si>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</si>
  <si>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</si>
  <si>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</si>
  <si>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</si>
  <si>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</si>
  <si>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</si>
  <si>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</si>
  <si>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</si>
  <si>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</si>
  <si>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</si>
  <si>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</si>
  <si>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</si>
  <si>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</si>
  <si>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</si>
  <si>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</si>
  <si>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</si>
  <si>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</si>
  <si>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</si>
  <si>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</si>
  <si>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</si>
  <si>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</si>
  <si>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</si>
  <si>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</si>
  <si>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</si>
  <si>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</si>
  <si>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</si>
  <si>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</si>
  <si>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</si>
  <si>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</si>
  <si>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</si>
  <si>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</si>
  <si>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</si>
  <si>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</si>
  <si>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</si>
  <si>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</si>
  <si>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</si>
  <si>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</si>
  <si>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</si>
  <si>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</si>
  <si>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</si>
  <si>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</si>
  <si>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</si>
  <si>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</si>
  <si>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</si>
  <si>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</si>
  <si>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</si>
  <si>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</si>
  <si>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</si>
  <si>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</si>
  <si>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</si>
  <si>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</si>
  <si>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</si>
  <si>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</si>
  <si>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</si>
  <si>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</si>
  <si>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</si>
  <si>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</si>
  <si>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</si>
  <si>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</si>
  <si>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</si>
  <si>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</si>
  <si>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</si>
  <si>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</si>
  <si>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</si>
  <si>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</si>
  <si>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</si>
  <si>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</si>
  <si>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</si>
  <si>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</si>
  <si>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</si>
  <si>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</si>
  <si>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</si>
  <si>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</si>
  <si>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</si>
  <si>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</si>
  <si>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</si>
  <si>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</si>
  <si>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</si>
  <si>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</si>
  <si>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</si>
  <si>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</si>
  <si>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</si>
  <si>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</si>
  <si>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</si>
  <si>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</si>
  <si>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</si>
  <si>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</si>
  <si>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</si>
  <si>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</si>
  <si>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</si>
  <si>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</si>
  <si>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</si>
  <si>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</si>
  <si>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</si>
  <si>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</si>
  <si>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</si>
  <si>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</si>
  <si>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</si>
  <si>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</si>
  <si>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</si>
  <si>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</si>
  <si>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</si>
  <si>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</si>
  <si>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</si>
  <si>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</si>
  <si>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</si>
  <si>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</si>
  <si>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</si>
  <si>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</si>
  <si>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</si>
  <si>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</si>
  <si>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</si>
  <si>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</si>
  <si>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</si>
  <si>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</si>
  <si>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</si>
  <si>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</si>
  <si>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</si>
  <si>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</si>
  <si>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</si>
  <si>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</si>
  <si>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</si>
  <si>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</si>
  <si>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</si>
  <si>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</si>
  <si>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</si>
  <si>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</si>
  <si>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</si>
  <si>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</si>
  <si>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</si>
  <si>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</si>
  <si>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</si>
  <si>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</si>
  <si>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</si>
  <si>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</si>
  <si>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</si>
  <si>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</si>
  <si>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</si>
  <si>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</si>
  <si>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</si>
  <si>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</si>
  <si>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</si>
  <si>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</si>
  <si>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</si>
  <si>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</si>
  <si>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</si>
  <si>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</si>
  <si>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</si>
  <si>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</si>
  <si>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</si>
  <si>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</si>
  <si>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</si>
  <si>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</si>
  <si>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</si>
  <si>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</si>
  <si>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</si>
  <si>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</si>
  <si>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</si>
  <si>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</si>
  <si>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</si>
  <si>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</si>
  <si>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</si>
  <si>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</si>
  <si>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</si>
  <si>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</si>
  <si>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</si>
  <si>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</si>
  <si>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</si>
  <si>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</si>
  <si>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</si>
  <si>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</si>
  <si>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</si>
  <si>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</si>
  <si>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</si>
  <si>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</si>
  <si>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</si>
  <si>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</si>
  <si>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</si>
  <si>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</si>
  <si>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</si>
  <si>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</si>
  <si>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</si>
  <si>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</si>
  <si>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</si>
  <si>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</si>
  <si>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</si>
  <si>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</si>
  <si>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</si>
  <si>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</si>
  <si>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</si>
  <si>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</si>
  <si>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</si>
  <si>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</si>
  <si>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</si>
  <si>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</si>
  <si>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</si>
  <si>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</si>
  <si>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</si>
  <si>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</si>
  <si>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</si>
  <si>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</si>
  <si>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</si>
  <si>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</si>
  <si>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</si>
  <si>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</si>
  <si>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</si>
  <si>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</si>
  <si>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</si>
  <si>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</si>
  <si>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</si>
  <si>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</si>
  <si>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</si>
  <si>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</si>
  <si>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</si>
  <si>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</si>
  <si>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</si>
  <si>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</si>
  <si>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</si>
  <si>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</si>
  <si>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</si>
  <si>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</si>
  <si>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</si>
  <si>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</si>
  <si>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</si>
  <si>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</si>
  <si>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</si>
  <si>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</si>
  <si>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</si>
  <si>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</si>
  <si>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</si>
  <si>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</si>
  <si>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</si>
  <si>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</si>
  <si>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</si>
  <si>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</si>
  <si>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</si>
  <si>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</si>
  <si>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</si>
  <si>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</si>
  <si>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</si>
  <si>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</si>
  <si>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</si>
  <si>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</si>
  <si>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</si>
  <si>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</si>
  <si>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</si>
  <si>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</si>
  <si>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</si>
  <si>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</si>
  <si>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</si>
  <si>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</si>
  <si>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</si>
  <si>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</si>
  <si>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</si>
  <si>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</si>
  <si>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</si>
  <si>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</si>
  <si>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</si>
  <si>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</si>
  <si>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</si>
  <si>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</si>
  <si>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</si>
  <si>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</si>
  <si>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</si>
  <si>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</si>
  <si>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</si>
  <si>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</si>
  <si>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</si>
  <si>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</si>
  <si>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</si>
  <si>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</si>
  <si>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</si>
  <si>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</si>
  <si>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</si>
  <si>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</si>
  <si>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</si>
  <si>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</si>
  <si>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</si>
  <si>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</si>
  <si>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</si>
  <si>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</si>
  <si>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</si>
  <si>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</si>
  <si>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</si>
  <si>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</si>
  <si>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</si>
  <si>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</si>
  <si>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</si>
  <si>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</si>
  <si>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</si>
  <si>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</si>
  <si>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</si>
  <si>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</si>
  <si>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</si>
  <si>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</si>
  <si>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</si>
  <si>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</si>
  <si>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</si>
  <si>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</si>
  <si>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</si>
  <si>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</si>
  <si>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</si>
  <si>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</si>
  <si>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</si>
  <si>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</si>
  <si>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</si>
  <si>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</si>
  <si>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</si>
  <si>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</si>
  <si>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</si>
  <si>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</si>
  <si>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</si>
  <si>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</si>
  <si>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</si>
  <si>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</si>
  <si>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</si>
  <si>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</si>
  <si>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</si>
  <si>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</si>
  <si>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</si>
  <si>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</si>
  <si>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</si>
  <si>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</si>
  <si>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</si>
  <si>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</si>
  <si>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</si>
  <si>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</si>
  <si>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</si>
  <si>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</si>
  <si>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</si>
  <si>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</si>
  <si>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</si>
  <si>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</si>
  <si>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</si>
  <si>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</si>
  <si>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</si>
  <si>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</si>
  <si>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</si>
  <si>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</si>
  <si>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</si>
  <si>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</si>
  <si>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</si>
  <si>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</si>
  <si>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</si>
  <si>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</si>
  <si>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</si>
  <si>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</si>
  <si>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</si>
  <si>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</si>
  <si>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</si>
  <si>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</si>
  <si>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</si>
  <si>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</si>
  <si>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</si>
  <si>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</si>
  <si>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</si>
  <si>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</si>
  <si>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</si>
  <si>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</si>
  <si>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</si>
  <si>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</si>
  <si>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</si>
  <si>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</si>
  <si>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</si>
  <si>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</si>
  <si>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</si>
  <si>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</si>
  <si>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</si>
  <si>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</si>
  <si>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</si>
  <si>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</si>
  <si>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</si>
  <si>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</si>
  <si>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</si>
  <si>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</si>
  <si>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</si>
  <si>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</si>
  <si>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</si>
  <si>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</si>
  <si>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</si>
  <si>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</si>
  <si>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</si>
  <si>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</si>
  <si>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</si>
  <si>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</si>
  <si>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</si>
  <si>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</si>
  <si>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</si>
  <si>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</si>
  <si>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</si>
  <si>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</si>
  <si>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</si>
  <si>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</si>
  <si>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</si>
  <si>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</si>
  <si>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</si>
  <si>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</si>
  <si>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</si>
  <si>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</si>
  <si>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</si>
  <si>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</si>
  <si>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</si>
  <si>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</si>
  <si>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</si>
  <si>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</si>
  <si>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</si>
  <si>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</si>
  <si>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</si>
  <si>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</si>
  <si>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</si>
  <si>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</si>
  <si>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</si>
  <si>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</si>
  <si>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</si>
  <si>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</si>
  <si>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</si>
  <si>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</si>
  <si>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</si>
  <si>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</si>
  <si>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</si>
  <si>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</si>
  <si>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</si>
  <si>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</si>
  <si>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</si>
  <si>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</si>
  <si>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</si>
  <si>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</si>
  <si>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</si>
  <si>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</si>
  <si>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</si>
  <si>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</si>
  <si>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</si>
  <si>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</si>
  <si>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</si>
  <si>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</si>
  <si>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</si>
  <si>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</si>
  <si>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</si>
  <si>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</si>
  <si>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</si>
  <si>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</si>
  <si>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</si>
  <si>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</si>
  <si>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</si>
  <si>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</si>
  <si>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</si>
  <si>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</si>
  <si>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</si>
  <si>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</si>
  <si>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</si>
  <si>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</si>
  <si>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</si>
  <si>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</si>
  <si>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</si>
  <si>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</si>
  <si>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</si>
  <si>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</si>
  <si>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</si>
  <si>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</si>
  <si>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</si>
  <si>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</si>
  <si>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</si>
  <si>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</si>
  <si>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</si>
  <si>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</si>
  <si>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</si>
  <si>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</si>
  <si>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</si>
  <si>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</si>
  <si>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</si>
  <si>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</si>
  <si>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</si>
  <si>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</si>
  <si>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</si>
  <si>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</si>
  <si>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</si>
  <si>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</si>
  <si>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</si>
  <si>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</si>
  <si>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</si>
  <si>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</si>
  <si>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</si>
  <si>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</si>
  <si>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</si>
  <si>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</si>
  <si>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</si>
  <si>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</si>
  <si>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</si>
  <si>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</si>
  <si>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</si>
  <si>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</si>
  <si>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</si>
  <si>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</si>
  <si>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</si>
  <si>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</si>
  <si>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</si>
  <si>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</si>
  <si>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</si>
  <si>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</si>
  <si>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</si>
  <si>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</si>
  <si>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</si>
  <si>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</si>
  <si>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</si>
  <si>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</si>
  <si>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</si>
  <si>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</si>
  <si>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</si>
  <si>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</si>
  <si>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</si>
  <si>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</si>
  <si>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</si>
  <si>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</si>
  <si>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</si>
  <si>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</si>
  <si>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</si>
  <si>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</si>
  <si>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</si>
  <si>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</si>
  <si>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</si>
  <si>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</si>
  <si>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</si>
  <si>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</si>
  <si>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</si>
  <si>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</si>
  <si>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</si>
  <si>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</si>
  <si>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</si>
  <si>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</si>
  <si>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</si>
  <si>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</si>
  <si>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</si>
  <si>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</si>
  <si>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</si>
  <si>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</si>
  <si>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</si>
  <si>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</si>
  <si>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</si>
  <si>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</si>
  <si>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</si>
  <si>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</si>
  <si>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</si>
  <si>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</si>
  <si>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</si>
  <si>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</si>
  <si>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</si>
  <si>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</si>
  <si>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</si>
  <si>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</si>
  <si>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</si>
  <si>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</si>
  <si>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</si>
  <si>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</si>
  <si>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</si>
  <si>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</si>
  <si>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</si>
  <si>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</si>
  <si>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</si>
  <si>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</si>
  <si>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</si>
  <si>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</si>
  <si>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</si>
  <si>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</si>
  <si>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</si>
  <si>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</si>
  <si>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</si>
  <si>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</si>
  <si>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</si>
  <si>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</si>
  <si>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</si>
  <si>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</si>
  <si>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</si>
  <si>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</si>
  <si>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</si>
  <si>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</si>
  <si>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</si>
  <si>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</si>
  <si>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</si>
  <si>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</si>
  <si>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</si>
  <si>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</si>
  <si>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</si>
  <si>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</si>
  <si>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</si>
  <si>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</si>
  <si>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</si>
  <si>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</si>
  <si>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</si>
  <si>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</si>
  <si>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</si>
  <si>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</si>
  <si>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</si>
  <si>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</si>
  <si>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</si>
  <si>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</si>
  <si>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</si>
  <si>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</si>
  <si>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</si>
  <si>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</si>
  <si>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</si>
  <si>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</si>
  <si>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</si>
  <si>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</si>
  <si>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</si>
  <si>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</si>
  <si>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</si>
  <si>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</si>
  <si>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</si>
  <si>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</si>
  <si>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</si>
  <si>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</si>
  <si>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</si>
  <si>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</si>
  <si>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</si>
  <si>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</si>
  <si>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</si>
  <si>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</si>
  <si>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</si>
  <si>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</si>
  <si>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</si>
  <si>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</si>
  <si>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</si>
  <si>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</si>
  <si>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</si>
  <si>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</si>
  <si>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</si>
  <si>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</si>
  <si>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</si>
  <si>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</si>
  <si>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</si>
  <si>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</si>
  <si>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</si>
  <si>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</si>
  <si>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</si>
  <si>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</si>
  <si>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</si>
  <si>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</si>
  <si>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</si>
  <si>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</si>
  <si>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</si>
  <si>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</si>
  <si>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</si>
  <si>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</si>
  <si>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</si>
  <si>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</si>
  <si>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</si>
  <si>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</si>
  <si>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</si>
  <si>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</si>
  <si>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</si>
  <si>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</si>
  <si>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</si>
  <si>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</si>
  <si>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</si>
  <si>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</si>
  <si>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</si>
  <si>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</si>
  <si>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</si>
  <si>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</si>
  <si>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</si>
  <si>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</si>
  <si>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</si>
  <si>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</si>
  <si>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</si>
  <si>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</si>
  <si>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</si>
  <si>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</si>
  <si>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</si>
  <si>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</si>
  <si>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</si>
  <si>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</si>
  <si>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</si>
  <si>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</si>
  <si>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</si>
  <si>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</si>
  <si>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</si>
  <si>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</si>
  <si>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</si>
  <si>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</si>
  <si>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</si>
  <si>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</si>
  <si>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</si>
  <si>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</si>
  <si>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</si>
  <si>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</si>
  <si>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</si>
  <si>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</si>
  <si>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</si>
  <si>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</si>
  <si>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</si>
  <si>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</si>
  <si>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</si>
  <si>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</si>
  <si>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</si>
  <si>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</si>
  <si>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</si>
  <si>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</si>
  <si>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</si>
  <si>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</si>
  <si>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</si>
  <si>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</si>
  <si>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</si>
  <si>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</si>
  <si>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</si>
  <si>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</si>
  <si>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</si>
  <si>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</si>
  <si>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</si>
  <si>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</si>
  <si>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</si>
  <si>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</si>
  <si>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</si>
  <si>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</si>
  <si>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</si>
  <si>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</si>
  <si>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</si>
  <si>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</si>
  <si>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</si>
  <si>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</si>
  <si>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</si>
  <si>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</si>
  <si>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</si>
  <si>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</si>
  <si>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</si>
  <si>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</si>
  <si>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</si>
  <si>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</si>
  <si>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</si>
  <si>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</si>
  <si>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</si>
  <si>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</si>
  <si>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</si>
  <si>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</si>
  <si>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</si>
  <si>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</si>
  <si>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</si>
  <si>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</si>
  <si>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</si>
  <si>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</si>
  <si>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</si>
  <si>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</si>
  <si>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</si>
  <si>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</si>
  <si>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</si>
  <si>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</si>
  <si>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</si>
  <si>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</si>
  <si>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</si>
  <si>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</si>
  <si>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</si>
  <si>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</si>
  <si>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</si>
  <si>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</si>
  <si>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</si>
  <si>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</si>
  <si>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</si>
  <si>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</si>
  <si>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</si>
  <si>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</si>
  <si>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</si>
  <si>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</si>
  <si>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</si>
  <si>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</si>
  <si>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</si>
  <si>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</si>
  <si>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</si>
  <si>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</si>
  <si>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</si>
  <si>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</si>
  <si>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</si>
  <si>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</si>
  <si>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</si>
  <si>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</si>
  <si>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</si>
  <si>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</si>
  <si>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</si>
  <si>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</si>
  <si>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</si>
  <si>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</si>
  <si>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</si>
  <si>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</si>
  <si>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</si>
  <si>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</si>
  <si>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</si>
  <si>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</si>
  <si>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</si>
  <si>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</si>
  <si>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</si>
  <si>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</si>
  <si>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</si>
  <si>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</si>
  <si>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</si>
  <si>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</si>
  <si>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</si>
  <si>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</si>
  <si>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</si>
  <si>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</si>
  <si>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</si>
  <si>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</si>
  <si>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</si>
  <si>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</si>
  <si>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</si>
  <si>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</si>
  <si>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</si>
  <si>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</si>
  <si>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</si>
  <si>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</si>
  <si>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</si>
  <si>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</si>
  <si>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</si>
  <si>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</si>
  <si>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</si>
  <si>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</si>
  <si>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</si>
  <si>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</si>
  <si>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</si>
  <si>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</si>
  <si>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</si>
  <si>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</si>
  <si>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</si>
  <si>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</si>
  <si>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</si>
  <si>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</si>
  <si>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</si>
  <si>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</si>
  <si>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</si>
  <si>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</si>
  <si>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</si>
  <si>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</si>
  <si>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</si>
  <si>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</si>
  <si>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</si>
  <si>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</si>
  <si>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</si>
  <si>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</si>
  <si>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</si>
  <si>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</si>
  <si>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</si>
  <si>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</si>
  <si>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</si>
  <si>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</si>
  <si>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</si>
  <si>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</si>
  <si>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</si>
  <si>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</si>
  <si>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</si>
  <si>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</si>
  <si>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</si>
  <si>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</si>
  <si>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</si>
  <si>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</si>
  <si>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</si>
  <si>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</si>
  <si>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</si>
  <si>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</si>
  <si>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</si>
  <si>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</si>
  <si>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</si>
  <si>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</si>
  <si>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</si>
  <si>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</si>
  <si>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</si>
  <si>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</si>
  <si>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</si>
  <si>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</si>
  <si>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</si>
  <si>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</si>
  <si>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</si>
  <si>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</si>
  <si>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</si>
  <si>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</si>
  <si>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</si>
  <si>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</si>
  <si>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</si>
  <si>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</si>
  <si>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</si>
  <si>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</si>
  <si>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</si>
  <si>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</si>
  <si>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</si>
  <si>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</si>
  <si>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</si>
  <si>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</si>
  <si>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</si>
  <si>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</si>
  <si>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</si>
  <si>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</si>
  <si>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</si>
  <si>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</si>
  <si>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</si>
  <si>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</si>
  <si>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</si>
  <si>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</si>
  <si>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</si>
  <si>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</si>
  <si>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</si>
  <si>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</si>
  <si>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</si>
  <si>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</si>
  <si>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</si>
  <si>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</si>
  <si>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</si>
  <si>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</si>
  <si>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</si>
  <si>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</si>
  <si>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</si>
  <si>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</si>
  <si>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</si>
  <si>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</si>
  <si>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</si>
  <si>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</si>
  <si>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</si>
  <si>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</si>
  <si>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</si>
  <si>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</si>
  <si>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</si>
  <si>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</si>
  <si>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</si>
  <si>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</si>
  <si>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</si>
  <si>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</si>
  <si>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</si>
  <si>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</si>
  <si>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</si>
  <si>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</si>
  <si>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</si>
  <si>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</si>
  <si>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</si>
  <si>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</si>
  <si>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</si>
  <si>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</si>
  <si>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</si>
  <si>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</si>
  <si>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</si>
  <si>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</si>
  <si>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</si>
  <si>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</si>
  <si>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</si>
  <si>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</si>
  <si>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</si>
  <si>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</si>
  <si>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</si>
  <si>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</si>
  <si>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</si>
  <si>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</si>
  <si>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</si>
  <si>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</si>
  <si>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</si>
  <si>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</si>
  <si>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</si>
  <si>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</si>
  <si>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</si>
  <si>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</si>
  <si>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</si>
  <si>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</si>
  <si>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</si>
  <si>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</si>
  <si>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</si>
  <si>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</si>
  <si>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</si>
  <si>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</si>
  <si>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</si>
  <si>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</si>
  <si>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</si>
  <si>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</si>
  <si>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</si>
  <si>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</si>
  <si>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</si>
  <si>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</si>
  <si>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</si>
  <si>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</si>
  <si>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</si>
  <si>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</si>
  <si>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</si>
  <si>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</si>
  <si>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</si>
  <si>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</si>
  <si>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</si>
  <si>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</si>
  <si>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</si>
  <si>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</si>
  <si>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</si>
  <si>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</si>
  <si>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</si>
  <si>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</si>
  <si>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</si>
  <si>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</si>
  <si>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</si>
  <si>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</si>
  <si>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</si>
  <si>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</si>
  <si>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</si>
  <si>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</si>
  <si>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</si>
  <si>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</si>
  <si>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</si>
  <si>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</si>
  <si>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</si>
  <si>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</si>
  <si>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</si>
  <si>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</si>
  <si>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</si>
  <si>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</si>
  <si>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</si>
  <si>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</si>
  <si>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</si>
  <si>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</si>
  <si>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</si>
  <si>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</si>
  <si>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</si>
  <si>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</si>
  <si>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</si>
  <si>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</si>
  <si>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</si>
  <si>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</si>
  <si>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</si>
  <si>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</si>
  <si>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</si>
  <si>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</si>
  <si>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</si>
  <si>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</si>
  <si>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</si>
  <si>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</si>
  <si>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</si>
  <si>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</si>
  <si>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</si>
  <si>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</si>
  <si>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</si>
  <si>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</si>
  <si>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</si>
  <si>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</si>
  <si>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</si>
  <si>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</si>
  <si>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</si>
  <si>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</si>
  <si>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</si>
  <si>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</si>
  <si>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</si>
  <si>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</si>
  <si>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</si>
  <si>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</si>
  <si>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</si>
  <si>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</si>
  <si>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</si>
  <si>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</si>
  <si>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</si>
  <si>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</si>
  <si>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</si>
  <si>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</si>
  <si>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</si>
  <si>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</si>
  <si>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</si>
  <si>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</si>
  <si>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</si>
  <si>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</si>
  <si>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</si>
  <si>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</si>
  <si>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</si>
  <si>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</si>
  <si>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</si>
  <si>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</si>
  <si>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</si>
  <si>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</si>
  <si>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</si>
  <si>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</si>
  <si>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</si>
  <si>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</si>
  <si>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</si>
  <si>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</si>
  <si>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</si>
  <si>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</si>
  <si>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</si>
  <si>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</si>
  <si>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</si>
  <si>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</si>
  <si>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</si>
  <si>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</si>
  <si>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</si>
  <si>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</si>
  <si>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</si>
  <si>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</si>
  <si>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</si>
  <si>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</si>
  <si>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</si>
  <si>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</si>
  <si>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</si>
  <si>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</si>
  <si>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</si>
  <si>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</si>
  <si>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</si>
  <si>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</si>
  <si>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</si>
  <si>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</si>
  <si>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</si>
  <si>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</si>
  <si>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</si>
  <si>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</si>
  <si>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</si>
  <si>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</si>
  <si>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</si>
  <si>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</si>
  <si>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</si>
  <si>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</si>
  <si>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</si>
  <si>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</si>
  <si>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</si>
  <si>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</si>
  <si>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</si>
  <si>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</si>
  <si>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</si>
  <si>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</si>
  <si>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</si>
  <si>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</si>
  <si>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</si>
  <si>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</si>
  <si>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</si>
  <si>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</si>
  <si>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</si>
  <si>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</si>
  <si>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</si>
  <si>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</si>
  <si>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</si>
  <si>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</si>
  <si>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</si>
  <si>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</si>
  <si>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</si>
  <si>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</si>
  <si>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</si>
  <si>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</si>
  <si>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</si>
  <si>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</si>
  <si>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</si>
  <si>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</si>
  <si>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</si>
  <si>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</si>
  <si>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</si>
  <si>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</si>
  <si>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</si>
  <si>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</si>
  <si>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</si>
  <si>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</si>
  <si>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</si>
  <si>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</si>
  <si>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</si>
  <si>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</si>
  <si>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</si>
  <si>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</si>
  <si>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</si>
  <si>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</si>
  <si>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</si>
  <si>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</si>
  <si>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</si>
  <si>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</si>
  <si>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</si>
  <si>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</si>
  <si>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</si>
  <si>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</si>
  <si>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</si>
  <si>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</si>
  <si>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</si>
  <si>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</si>
  <si>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</si>
  <si>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</si>
  <si>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</si>
  <si>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</si>
  <si>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</si>
  <si>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</si>
  <si>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</si>
  <si>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</si>
  <si>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</si>
  <si>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</si>
  <si>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</si>
  <si>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</si>
  <si>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</si>
  <si>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</si>
  <si>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</si>
  <si>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</si>
  <si>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</si>
  <si>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</si>
  <si>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</si>
  <si>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</si>
  <si>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</si>
  <si>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</si>
  <si>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</si>
  <si>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</si>
  <si>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</si>
  <si>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</si>
  <si>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</si>
  <si>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</si>
  <si>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</si>
  <si>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</si>
  <si>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</si>
  <si>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</si>
  <si>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</si>
  <si>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</si>
  <si>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</si>
  <si>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</si>
  <si>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</si>
  <si>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</si>
  <si>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</si>
  <si>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</si>
  <si>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</si>
  <si>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</si>
  <si>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</si>
  <si>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</si>
  <si>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</si>
  <si>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</si>
  <si>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</si>
  <si>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</si>
  <si>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</si>
  <si>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</si>
  <si>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</si>
  <si>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</si>
  <si>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</si>
  <si>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</si>
  <si>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</si>
  <si>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</si>
  <si>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</si>
  <si>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</si>
  <si>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</si>
  <si>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</si>
  <si>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</si>
  <si>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</si>
  <si>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</si>
  <si>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</si>
  <si>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</si>
  <si>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</si>
  <si>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</si>
  <si>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</si>
  <si>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</si>
  <si>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</si>
  <si>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</si>
  <si>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</si>
  <si>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</si>
  <si>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</si>
  <si>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</si>
  <si>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</si>
  <si>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</si>
  <si>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</si>
  <si>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</si>
  <si>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</si>
  <si>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</si>
  <si>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</si>
  <si>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</si>
  <si>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</si>
  <si>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</si>
  <si>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</si>
  <si>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</si>
  <si>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</si>
  <si>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</si>
  <si>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</si>
  <si>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</si>
  <si>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</si>
  <si>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</si>
  <si>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</si>
  <si>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</si>
  <si>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</si>
  <si>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</si>
  <si>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</si>
  <si>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</si>
  <si>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</si>
  <si>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</si>
  <si>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</si>
  <si>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</si>
  <si>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</si>
  <si>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</si>
  <si>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</si>
  <si>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</si>
  <si>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</si>
  <si>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</si>
  <si>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</si>
  <si>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</si>
  <si>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</si>
  <si>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</si>
  <si>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</si>
  <si>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</si>
  <si>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</si>
  <si>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</si>
  <si>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</si>
  <si>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</si>
  <si>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</si>
  <si>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</si>
  <si>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</si>
  <si>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</si>
  <si>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</si>
  <si>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</si>
  <si>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</si>
  <si>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</si>
  <si>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</si>
  <si>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</si>
  <si>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</si>
  <si>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</si>
  <si>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</si>
  <si>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</si>
  <si>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</si>
  <si>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</si>
  <si>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</si>
  <si>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</si>
  <si>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</si>
  <si>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</si>
  <si>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</si>
  <si>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</si>
  <si>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</si>
  <si>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</si>
  <si>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</si>
  <si>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</si>
  <si>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</si>
  <si>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</si>
  <si>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</si>
  <si>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</si>
  <si>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</si>
  <si>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</si>
  <si>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</si>
  <si>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</si>
  <si>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</si>
  <si>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</si>
  <si>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</si>
  <si>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</si>
  <si>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</si>
  <si>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</si>
  <si>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</si>
  <si>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</si>
  <si>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</si>
  <si>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</si>
  <si>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</si>
  <si>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</si>
  <si>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</si>
  <si>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</si>
  <si>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</si>
  <si>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</si>
  <si>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</si>
  <si>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</si>
  <si>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</si>
  <si>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</si>
  <si>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</si>
  <si>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</si>
  <si>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</si>
  <si>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</si>
  <si>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</si>
  <si>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</si>
  <si>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</si>
  <si>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</si>
  <si>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</si>
  <si>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</si>
  <si>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</si>
  <si>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</si>
  <si>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</si>
  <si>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</si>
  <si>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</si>
  <si>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</si>
  <si>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</si>
  <si>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</si>
  <si>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</si>
  <si>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</si>
  <si>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</si>
  <si>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</si>
  <si>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</si>
  <si>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</si>
  <si>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</si>
  <si>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</si>
  <si>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</si>
  <si>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</si>
  <si>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</si>
  <si>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</si>
  <si>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</si>
  <si>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</si>
  <si>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</si>
  <si>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</si>
  <si>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</si>
  <si>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</si>
  <si>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</si>
  <si>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</si>
  <si>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</si>
  <si>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</si>
  <si>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</si>
  <si>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</si>
  <si>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</si>
  <si>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</si>
  <si>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</si>
  <si>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</si>
  <si>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</si>
  <si>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</si>
  <si>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</si>
  <si>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</si>
  <si>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</si>
  <si>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</si>
  <si>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</si>
  <si>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</si>
  <si>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</si>
  <si>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</si>
  <si>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</si>
  <si>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</si>
  <si>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</si>
  <si>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</si>
  <si>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</si>
  <si>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</si>
  <si>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</si>
  <si>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</si>
  <si>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</si>
  <si>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</si>
  <si>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</si>
  <si>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</si>
  <si>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</si>
  <si>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</si>
  <si>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</si>
  <si>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</si>
  <si>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</si>
  <si>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</si>
  <si>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</si>
  <si>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</si>
  <si>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</si>
  <si>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</si>
  <si>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</si>
  <si>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</si>
  <si>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</si>
  <si>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</si>
  <si>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</si>
  <si>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</si>
  <si>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</si>
  <si>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</si>
  <si>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</si>
  <si>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</si>
  <si>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</si>
  <si>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</si>
  <si>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</si>
  <si>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</si>
  <si>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</si>
  <si>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</si>
  <si>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</si>
  <si>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</si>
  <si>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</si>
  <si>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</si>
  <si>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</si>
  <si>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</si>
  <si>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</si>
  <si>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</si>
  <si>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</si>
  <si>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</si>
  <si>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</si>
  <si>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</si>
  <si>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</si>
  <si>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</si>
  <si>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</si>
  <si>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</si>
  <si>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</si>
  <si>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</si>
  <si>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</si>
  <si>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</si>
  <si>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</si>
  <si>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</si>
  <si>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</si>
  <si>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</si>
  <si>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</si>
  <si>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</si>
  <si>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</si>
  <si>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</si>
  <si>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</si>
  <si>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</si>
  <si>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</si>
  <si>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</si>
  <si>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</si>
  <si>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</si>
  <si>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</si>
  <si>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</si>
  <si>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</si>
  <si>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</si>
  <si>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</si>
  <si>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</si>
  <si>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</si>
  <si>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</si>
  <si>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</si>
  <si>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</si>
  <si>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</si>
  <si>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</si>
  <si>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</si>
  <si>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</si>
  <si>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</si>
  <si>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</si>
  <si>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</si>
  <si>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</si>
  <si>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</si>
  <si>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</si>
  <si>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</si>
  <si>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</si>
  <si>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</si>
  <si>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</si>
  <si>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</si>
  <si>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</si>
  <si>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</si>
  <si>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</si>
  <si>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</si>
  <si>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</si>
  <si>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</si>
  <si>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</si>
  <si>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</si>
  <si>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</si>
  <si>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</si>
  <si>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</si>
  <si>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</si>
  <si>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</si>
  <si>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</si>
  <si>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</si>
  <si>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</si>
  <si>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</si>
  <si>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</si>
  <si>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</si>
  <si>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</si>
  <si>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</si>
  <si>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</si>
  <si>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</si>
  <si>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</si>
  <si>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</si>
  <si>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</si>
  <si>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</si>
  <si>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</si>
  <si>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</si>
  <si>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</si>
  <si>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</si>
  <si>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</si>
  <si>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</si>
  <si>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</si>
  <si>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</si>
  <si>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</si>
  <si>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</si>
  <si>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</si>
  <si>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</si>
  <si>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</si>
  <si>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</si>
  <si>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</si>
  <si>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</si>
  <si>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</si>
  <si>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</si>
  <si>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</si>
  <si>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</si>
  <si>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</si>
  <si>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</si>
  <si>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</si>
  <si>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</si>
  <si>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</si>
  <si>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</si>
  <si>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</si>
  <si>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</si>
  <si>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</si>
  <si>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</si>
  <si>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</si>
  <si>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</si>
  <si>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</si>
  <si>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</si>
  <si>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</si>
  <si>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</si>
  <si>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</si>
  <si>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</si>
  <si>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</si>
  <si>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</si>
  <si>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</si>
  <si>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</si>
  <si>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</si>
  <si>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</si>
  <si>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</si>
  <si>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</si>
  <si>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</si>
  <si>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</si>
  <si>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</si>
  <si>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</si>
  <si>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</si>
  <si>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</si>
  <si>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</si>
  <si>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</si>
  <si>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</si>
  <si>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</si>
  <si>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</si>
  <si>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</si>
  <si>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</si>
  <si>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</si>
  <si>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</si>
  <si>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</si>
  <si>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</si>
  <si>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</si>
  <si>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</si>
  <si>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</si>
  <si>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</si>
  <si>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</si>
  <si>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</si>
  <si>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</si>
  <si>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</si>
  <si>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</si>
  <si>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</si>
  <si>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</si>
  <si>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</si>
  <si>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</si>
  <si>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</si>
  <si>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</si>
  <si>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</si>
  <si>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</si>
  <si>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</si>
  <si>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</si>
  <si>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</si>
  <si>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</si>
  <si>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</si>
  <si>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</si>
  <si>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</si>
  <si>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</si>
  <si>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</si>
  <si>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</si>
  <si>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</si>
  <si>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</si>
  <si>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</si>
  <si>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</si>
  <si>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</si>
  <si>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</si>
  <si>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</si>
  <si>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</si>
  <si>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</si>
  <si>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</si>
  <si>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</si>
  <si>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</si>
  <si>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</si>
  <si>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</si>
  <si>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</si>
  <si>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</si>
  <si>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</si>
  <si>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</si>
  <si>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</si>
  <si>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</si>
  <si>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</si>
  <si>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</si>
  <si>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</si>
  <si>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</si>
  <si>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</si>
  <si>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</si>
  <si>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</si>
  <si>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</si>
  <si>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</si>
  <si>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</si>
  <si>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</si>
  <si>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</si>
  <si>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</si>
  <si>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</si>
  <si>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</si>
  <si>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</si>
  <si>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</si>
  <si>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</si>
  <si>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</si>
  <si>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</si>
  <si>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</si>
  <si>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</si>
  <si>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</si>
  <si>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</si>
  <si>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</si>
  <si>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</si>
  <si>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</si>
  <si>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</si>
  <si>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</si>
  <si>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</si>
  <si>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</si>
  <si>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</si>
  <si>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</si>
  <si>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</si>
  <si>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</si>
  <si>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</si>
  <si>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</si>
  <si>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</si>
  <si>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</si>
  <si>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</si>
  <si>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</si>
  <si>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</si>
  <si>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</si>
  <si>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</si>
  <si>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</si>
  <si>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</si>
  <si>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</si>
  <si>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</si>
  <si>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</si>
  <si>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</si>
  <si>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</si>
  <si>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</si>
  <si>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</si>
  <si>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</si>
  <si>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</si>
  <si>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</si>
  <si>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</si>
  <si>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</si>
  <si>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</si>
  <si>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</si>
  <si>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</si>
  <si>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</si>
  <si>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</si>
  <si>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</si>
  <si>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</si>
  <si>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</si>
  <si>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</si>
  <si>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</si>
  <si>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</si>
  <si>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</si>
  <si>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</si>
  <si>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</si>
  <si>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</si>
  <si>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</si>
  <si>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</si>
  <si>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</si>
  <si>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</si>
  <si>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</si>
  <si>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</si>
  <si>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</si>
  <si>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</si>
  <si>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</si>
  <si>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</si>
  <si>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</si>
  <si>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</si>
  <si>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</si>
  <si>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</si>
  <si>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</si>
  <si>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</si>
  <si>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</si>
  <si>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</si>
  <si>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</si>
  <si>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</si>
  <si>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</si>
  <si>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</si>
  <si>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</si>
  <si>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</si>
  <si>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</si>
  <si>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</si>
  <si>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</si>
  <si>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</si>
  <si>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</si>
  <si>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</si>
  <si>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</si>
  <si>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</si>
  <si>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</si>
  <si>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</si>
  <si>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</si>
  <si>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</si>
  <si>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</si>
  <si>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</si>
  <si>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</si>
  <si>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</si>
  <si>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</si>
  <si>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</si>
  <si>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</si>
  <si>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</si>
  <si>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</si>
  <si>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</si>
  <si>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</si>
  <si>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</si>
  <si>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</si>
  <si>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</si>
  <si>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</si>
  <si>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</si>
  <si>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</si>
  <si>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</si>
  <si>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</si>
  <si>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</si>
  <si>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</si>
  <si>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</si>
  <si>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</si>
  <si>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</si>
  <si>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</si>
  <si>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</si>
  <si>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</si>
  <si>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</si>
  <si>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</si>
  <si>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</si>
  <si>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</si>
  <si>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</si>
  <si>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</si>
  <si>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</si>
  <si>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</si>
  <si>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</si>
  <si>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</si>
  <si>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</si>
  <si>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</si>
  <si>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</si>
  <si>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</si>
  <si>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</si>
  <si>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</si>
  <si>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</si>
  <si>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</si>
  <si>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</si>
  <si>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</si>
  <si>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</si>
  <si>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</si>
  <si>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</si>
  <si>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</si>
  <si>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</si>
  <si>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</si>
  <si>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</si>
  <si>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</si>
  <si>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</si>
  <si>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</si>
  <si>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</si>
  <si>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</si>
  <si>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</si>
  <si>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</si>
  <si>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</si>
  <si>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</si>
  <si>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</si>
  <si>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</si>
  <si>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</si>
  <si>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</si>
  <si>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</si>
  <si>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</si>
  <si>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</si>
  <si>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</si>
  <si>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</si>
  <si>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</si>
  <si>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</si>
  <si>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</si>
  <si>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</si>
  <si>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</si>
  <si>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</si>
  <si>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</si>
  <si>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</si>
  <si>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</si>
  <si>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</si>
  <si>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</si>
  <si>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</si>
  <si>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</si>
  <si>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</si>
  <si>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</si>
  <si>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</si>
  <si>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</si>
  <si>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</si>
  <si>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</si>
  <si>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</si>
  <si>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</si>
  <si>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</si>
  <si>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</si>
  <si>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</si>
  <si>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</si>
  <si>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</si>
  <si>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</si>
  <si>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</si>
  <si>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</si>
  <si>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</si>
  <si>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</si>
  <si>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</si>
  <si>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</si>
  <si>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</si>
  <si>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</si>
  <si>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</si>
  <si>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</si>
  <si>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</si>
  <si>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</si>
  <si>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</si>
  <si>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</si>
  <si>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</si>
  <si>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</si>
  <si>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</si>
  <si>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</si>
  <si>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</si>
  <si>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</si>
  <si>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</si>
  <si>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</si>
  <si>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</si>
  <si>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</si>
  <si>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</si>
  <si>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</si>
  <si>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</si>
  <si>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</si>
  <si>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</si>
  <si>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</si>
  <si>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</si>
  <si>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</si>
  <si>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</si>
  <si>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</si>
  <si>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</si>
  <si>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</si>
  <si>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</si>
  <si>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</si>
  <si>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</si>
  <si>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</si>
  <si>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</si>
  <si>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</si>
  <si>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</si>
  <si>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</si>
  <si>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</si>
  <si>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</si>
  <si>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</si>
  <si>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</si>
  <si>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</si>
  <si>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</si>
  <si>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</si>
  <si>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</si>
  <si>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</si>
  <si>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</si>
  <si>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</si>
  <si>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</si>
  <si>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</si>
  <si>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</si>
  <si>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</si>
  <si>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</si>
  <si>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</si>
  <si>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</si>
  <si>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</si>
  <si>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</si>
  <si>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</si>
  <si>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</si>
  <si>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</si>
  <si>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</si>
  <si>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</si>
  <si>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</si>
  <si>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</si>
  <si>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</si>
  <si>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</si>
  <si>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</si>
  <si>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</si>
  <si>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</si>
  <si>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</si>
  <si>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</si>
  <si>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</si>
  <si>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</si>
  <si>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</si>
  <si>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</si>
  <si>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</si>
  <si>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</si>
  <si>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</si>
  <si>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</si>
  <si>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</si>
  <si>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</si>
  <si>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</si>
  <si>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</si>
  <si>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</si>
  <si>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</si>
  <si>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</si>
  <si>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</si>
  <si>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</si>
  <si>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</si>
  <si>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</si>
  <si>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</si>
  <si>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</si>
  <si>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</si>
  <si>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</si>
  <si>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</si>
  <si>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</si>
  <si>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</si>
  <si>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</si>
  <si>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</si>
  <si>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</si>
  <si>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</si>
  <si>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</si>
  <si>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</si>
  <si>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</si>
  <si>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</si>
  <si>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</si>
  <si>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</si>
  <si>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</si>
  <si>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</si>
  <si>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</si>
  <si>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</si>
  <si>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</si>
  <si>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</si>
  <si>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</si>
  <si>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</si>
  <si>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</si>
  <si>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</si>
  <si>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</si>
  <si>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</si>
  <si>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</si>
  <si>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</si>
  <si>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</si>
  <si>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</si>
  <si>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</si>
  <si>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</si>
  <si>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</si>
  <si>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</si>
  <si>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</si>
  <si>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</si>
  <si>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</si>
  <si>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</si>
  <si>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</si>
  <si>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</si>
  <si>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</si>
  <si>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</si>
  <si>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</si>
  <si>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</si>
  <si>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</si>
  <si>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</si>
  <si>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</si>
  <si>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</si>
  <si>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</si>
  <si>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</si>
  <si>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</si>
  <si>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</si>
  <si>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</si>
  <si>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</si>
  <si>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</si>
  <si>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</si>
  <si>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</si>
  <si>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</si>
  <si>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</si>
  <si>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</si>
  <si>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</si>
  <si>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</si>
  <si>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</si>
  <si>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</si>
  <si>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</si>
  <si>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</si>
  <si>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</si>
  <si>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</si>
  <si>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</si>
  <si>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</si>
  <si>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</si>
  <si>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</si>
  <si>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</si>
  <si>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</si>
  <si>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</si>
  <si>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</si>
  <si>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</si>
  <si>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</si>
  <si>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</si>
  <si>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</si>
  <si>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</si>
  <si>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</si>
  <si>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</si>
  <si>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</si>
  <si>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</si>
  <si>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</si>
  <si>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</si>
  <si>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</si>
  <si>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</si>
  <si>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</si>
  <si>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</si>
  <si>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</si>
  <si>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</si>
  <si>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</si>
  <si>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</si>
  <si>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</si>
  <si>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</si>
  <si>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</si>
  <si>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</si>
  <si>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</si>
  <si>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</si>
  <si>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</si>
  <si>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</si>
  <si>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</si>
  <si>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</si>
  <si>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</si>
  <si>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</si>
  <si>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</si>
  <si>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</si>
  <si>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</si>
  <si>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</si>
  <si>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</si>
  <si>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</si>
  <si>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</si>
  <si>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</si>
  <si>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</si>
  <si>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</si>
  <si>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</si>
  <si>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</si>
  <si>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</si>
  <si>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</si>
  <si>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</si>
  <si>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</si>
  <si>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</si>
  <si>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</si>
  <si>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</si>
  <si>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</si>
  <si>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</si>
  <si>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</si>
  <si>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</si>
  <si>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</si>
  <si>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</si>
  <si>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</si>
  <si>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</si>
  <si>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</si>
  <si>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</si>
  <si>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</si>
  <si>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</si>
  <si>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</si>
  <si>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</si>
  <si>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</si>
  <si>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</si>
  <si>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</si>
  <si>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</si>
  <si>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</si>
  <si>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</si>
  <si>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</si>
  <si>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</si>
  <si>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</si>
  <si>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</si>
  <si>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</si>
  <si>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</si>
  <si>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</si>
  <si>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</si>
  <si>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</si>
  <si>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</si>
  <si>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</si>
  <si>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</si>
  <si>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</si>
  <si>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</si>
  <si>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</si>
  <si>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</si>
  <si>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</si>
  <si>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</si>
  <si>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</si>
  <si>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</si>
  <si>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</si>
  <si>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</si>
  <si>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</si>
  <si>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</si>
  <si>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</si>
  <si>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</si>
  <si>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</si>
  <si>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</si>
  <si>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</si>
  <si>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</si>
  <si>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</si>
  <si>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</si>
  <si>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</si>
  <si>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</si>
  <si>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</si>
  <si>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</si>
  <si>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</si>
  <si>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</si>
  <si>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</si>
  <si>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</si>
  <si>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</si>
  <si>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</si>
  <si>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</si>
  <si>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</si>
  <si>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</si>
  <si>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</si>
  <si>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</si>
  <si>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</si>
  <si>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</si>
  <si>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</si>
  <si>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</si>
  <si>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</si>
  <si>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</si>
  <si>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</si>
  <si>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</si>
  <si>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</si>
  <si>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</si>
  <si>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</si>
  <si>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</si>
  <si>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</si>
  <si>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</si>
  <si>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</si>
  <si>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</si>
  <si>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</si>
  <si>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</si>
  <si>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</si>
  <si>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</si>
  <si>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</si>
  <si>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</si>
  <si>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</si>
  <si>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</si>
  <si>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</si>
  <si>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</si>
  <si>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</si>
  <si>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</si>
  <si>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</si>
  <si>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</si>
  <si>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</si>
  <si>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</si>
  <si>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</si>
  <si>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</si>
  <si>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</si>
  <si>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</si>
  <si>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</si>
  <si>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</si>
  <si>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</si>
  <si>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</si>
  <si>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</si>
  <si>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</si>
  <si>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</si>
  <si>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</si>
  <si>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</si>
  <si>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</si>
  <si>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</si>
  <si>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</si>
  <si>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</si>
  <si>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</si>
  <si>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</si>
  <si>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</si>
  <si>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</si>
  <si>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</si>
  <si>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</si>
  <si>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</si>
  <si>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</si>
  <si>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</si>
  <si>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</si>
  <si>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</si>
  <si>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</si>
  <si>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</si>
  <si>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</si>
  <si>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</si>
  <si>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</si>
  <si>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</si>
  <si>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</si>
  <si>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</si>
  <si>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</si>
  <si>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</si>
  <si>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</si>
  <si>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</si>
  <si>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</si>
  <si>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</si>
  <si>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</si>
  <si>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</si>
  <si>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</si>
  <si>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</si>
  <si>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</si>
  <si>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</si>
  <si>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</si>
  <si>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</si>
  <si>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</si>
  <si>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</si>
  <si>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</si>
  <si>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</si>
  <si>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</si>
  <si>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</si>
  <si>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</si>
  <si>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</si>
  <si>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</si>
  <si>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</si>
  <si>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</si>
  <si>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</si>
  <si>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</si>
  <si>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</si>
  <si>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</si>
  <si>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</si>
  <si>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</si>
  <si>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</si>
  <si>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</si>
  <si>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</si>
  <si>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</si>
  <si>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</si>
  <si>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</si>
  <si>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</si>
  <si>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</si>
  <si>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</si>
  <si>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</si>
  <si>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</si>
  <si>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</si>
  <si>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</si>
  <si>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</si>
  <si>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</si>
  <si>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</si>
  <si>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</si>
  <si>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</si>
  <si>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</si>
  <si>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</si>
  <si>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</si>
  <si>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</si>
  <si>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</si>
  <si>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</si>
  <si>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</si>
  <si>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</si>
  <si>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</si>
  <si>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</si>
  <si>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</si>
  <si>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</si>
  <si>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</si>
  <si>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</si>
  <si>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</si>
  <si>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</si>
  <si>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</si>
  <si>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</si>
  <si>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</si>
  <si>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</si>
  <si>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</si>
  <si>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</si>
  <si>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</si>
  <si>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</si>
  <si>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</si>
  <si>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</si>
  <si>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</si>
  <si>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</si>
  <si>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</si>
  <si>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</si>
  <si>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</si>
  <si>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</si>
  <si>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</si>
  <si>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</si>
  <si>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</si>
  <si>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</si>
  <si>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</si>
  <si>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</si>
  <si>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</si>
  <si>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</si>
  <si>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</si>
  <si>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</si>
  <si>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</si>
  <si>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</si>
  <si>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</si>
  <si>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</si>
  <si>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</si>
  <si>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</si>
  <si>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</si>
  <si>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</si>
  <si>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</si>
  <si>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</si>
  <si>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</si>
  <si>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</si>
  <si>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</si>
  <si>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</si>
  <si>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</si>
  <si>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</si>
  <si>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</si>
  <si>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</si>
  <si>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</si>
  <si>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</si>
  <si>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</si>
  <si>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</si>
  <si>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</si>
  <si>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</si>
  <si>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</si>
  <si>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</si>
  <si>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</si>
  <si>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</si>
  <si>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</si>
  <si>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</si>
  <si>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</si>
  <si>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</si>
  <si>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</si>
  <si>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</si>
  <si>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</si>
  <si>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</si>
  <si>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</si>
  <si>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</si>
  <si>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</si>
  <si>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</si>
  <si>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</si>
  <si>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</si>
  <si>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</si>
  <si>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</si>
  <si>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</si>
  <si>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</si>
  <si>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</si>
  <si>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</si>
  <si>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</si>
  <si>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</si>
  <si>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</si>
  <si>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</si>
  <si>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</si>
  <si>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</si>
  <si>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</si>
  <si>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</si>
  <si>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</si>
  <si>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</si>
  <si>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</si>
  <si>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</si>
  <si>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</si>
  <si>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</si>
  <si>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</si>
  <si>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</si>
  <si>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</si>
  <si>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</si>
  <si>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</si>
  <si>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</si>
  <si>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</si>
  <si>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</si>
  <si>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</si>
  <si>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</si>
  <si>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</si>
  <si>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</si>
  <si>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</si>
  <si>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</si>
  <si>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</si>
  <si>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</si>
  <si>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</si>
  <si>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</si>
  <si>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</si>
  <si>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</si>
  <si>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</si>
  <si>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</si>
  <si>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</si>
  <si>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</si>
  <si>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</si>
  <si>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</si>
  <si>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</si>
  <si>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</si>
  <si>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</si>
  <si>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</si>
  <si>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</si>
  <si>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</si>
  <si>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</si>
  <si>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</si>
  <si>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</si>
  <si>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</si>
  <si>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</si>
  <si>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</si>
  <si>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</si>
  <si>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</si>
  <si>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</si>
  <si>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</si>
  <si>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</si>
  <si>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</si>
  <si>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</si>
  <si>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</si>
  <si>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</si>
  <si>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</si>
  <si>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</si>
  <si>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</si>
  <si>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</si>
  <si>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</si>
  <si>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</si>
  <si>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</si>
  <si>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</si>
  <si>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</si>
  <si>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</si>
  <si>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</si>
  <si>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</si>
  <si>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</si>
  <si>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</si>
  <si>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</si>
  <si>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</si>
  <si>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</si>
  <si>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</si>
  <si>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</si>
  <si>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</si>
  <si>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</si>
  <si>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</si>
  <si>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</si>
  <si>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</si>
  <si>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</si>
  <si>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</si>
  <si>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</si>
  <si>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</si>
  <si>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</si>
  <si>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</si>
  <si>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</si>
  <si>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</si>
  <si>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</si>
  <si>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</si>
  <si>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</si>
  <si>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</si>
  <si>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</si>
  <si>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</si>
  <si>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</si>
  <si>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</si>
  <si>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</si>
  <si>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</si>
  <si>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</si>
  <si>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</si>
  <si>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</si>
  <si>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</si>
  <si>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</si>
  <si>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</si>
  <si>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</si>
  <si>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</si>
  <si>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</si>
  <si>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</si>
  <si>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</si>
  <si>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</si>
  <si>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</si>
  <si>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</si>
  <si>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</si>
  <si>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</si>
  <si>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</si>
  <si>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</si>
  <si>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</si>
  <si>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</si>
  <si>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</si>
  <si>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</si>
  <si>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</si>
  <si>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</si>
  <si>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</si>
  <si>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</si>
  <si>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</si>
  <si>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</si>
  <si>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</si>
  <si>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</si>
  <si>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</si>
  <si>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</si>
  <si>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</si>
  <si>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</si>
  <si>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</si>
  <si>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</si>
  <si>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</si>
  <si>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</si>
  <si>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</si>
  <si>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</si>
  <si>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</si>
  <si>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</si>
  <si>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</si>
  <si>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</si>
  <si>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</si>
  <si>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</si>
  <si>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</si>
  <si>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</si>
  <si>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</si>
  <si>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</si>
  <si>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</si>
  <si>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</si>
  <si>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</si>
  <si>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</si>
  <si>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</si>
  <si>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</si>
  <si>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</si>
  <si>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</si>
  <si>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</si>
  <si>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</si>
  <si>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</si>
  <si>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</si>
  <si>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</si>
  <si>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</si>
  <si>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</si>
  <si>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</si>
  <si>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</si>
  <si>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</si>
  <si>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</si>
  <si>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</si>
  <si>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</si>
  <si>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</si>
  <si>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</si>
  <si>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</si>
  <si>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</si>
  <si>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</si>
  <si>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</si>
  <si>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</si>
  <si>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</si>
  <si>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</si>
  <si>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</si>
  <si>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</si>
  <si>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</si>
  <si>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</si>
  <si>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</si>
  <si>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</si>
  <si>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</si>
  <si>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</si>
  <si>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</si>
  <si>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</si>
  <si>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</si>
  <si>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</si>
  <si>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</si>
  <si>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</si>
  <si>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</si>
  <si>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</si>
  <si>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</si>
  <si>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</si>
  <si>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</si>
  <si>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</si>
  <si>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</si>
  <si>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</si>
  <si>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</si>
  <si>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</si>
  <si>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</si>
  <si>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</si>
  <si>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</si>
  <si>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</si>
  <si>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</si>
  <si>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</si>
  <si>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</si>
  <si>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</si>
  <si>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</si>
  <si>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</si>
  <si>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</si>
  <si>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</si>
  <si>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</si>
  <si>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</si>
  <si>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</si>
  <si>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</si>
  <si>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</si>
  <si>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</si>
  <si>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</si>
  <si>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</si>
  <si>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</si>
  <si>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</si>
  <si>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</si>
  <si>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</si>
  <si>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</si>
  <si>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</si>
  <si>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</si>
  <si>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</si>
  <si>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</si>
  <si>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</si>
  <si>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</si>
  <si>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</si>
  <si>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</si>
  <si>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</si>
  <si>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</si>
  <si>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</si>
  <si>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</si>
  <si>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</si>
  <si>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</si>
  <si>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</si>
  <si>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</si>
  <si>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</si>
  <si>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</si>
  <si>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</si>
  <si>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</si>
  <si>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</si>
  <si>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</si>
  <si>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</si>
  <si>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</si>
  <si>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</si>
  <si>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</si>
  <si>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</si>
  <si>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</si>
  <si>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</si>
  <si>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</si>
  <si>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</si>
  <si>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</si>
  <si>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</si>
  <si>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</si>
  <si>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</si>
  <si>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</si>
  <si>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</si>
  <si>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</si>
  <si>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</si>
  <si>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</si>
  <si>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</si>
  <si>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</si>
  <si>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</si>
  <si>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</si>
  <si>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</si>
  <si>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</si>
  <si>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</si>
  <si>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</si>
  <si>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</si>
  <si>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</si>
  <si>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</si>
  <si>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</si>
  <si>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</si>
  <si>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</si>
  <si>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</si>
  <si>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</si>
  <si>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</si>
  <si>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</si>
  <si>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</si>
  <si>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</si>
  <si>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</si>
  <si>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</si>
  <si>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</si>
  <si>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</si>
  <si>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</si>
  <si>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</si>
  <si>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</si>
  <si>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</si>
  <si>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</si>
  <si>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</si>
  <si>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</si>
  <si>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</si>
  <si>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</si>
  <si>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</si>
  <si>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</si>
  <si>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</si>
  <si>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</si>
  <si>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</si>
  <si>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</si>
  <si>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</si>
  <si>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</si>
  <si>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</si>
  <si>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</si>
  <si>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</si>
  <si>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</si>
  <si>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</si>
  <si>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</si>
  <si>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</si>
  <si>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</si>
  <si>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</si>
  <si>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</si>
  <si>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</si>
  <si>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</si>
  <si>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</si>
  <si>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</si>
  <si>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</si>
  <si>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</si>
  <si>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</si>
  <si>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</si>
  <si>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</si>
  <si>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</si>
  <si>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</si>
  <si>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</si>
  <si>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</si>
  <si>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</si>
  <si>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</si>
  <si>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</si>
  <si>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</si>
  <si>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</si>
  <si>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</si>
  <si>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</si>
  <si>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</si>
  <si>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</si>
  <si>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</si>
  <si>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</si>
  <si>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</si>
  <si>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</si>
  <si>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</si>
  <si>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</si>
  <si>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</si>
  <si>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</si>
  <si>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</si>
  <si>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</si>
  <si>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</si>
  <si>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</si>
  <si>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</si>
  <si>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</si>
  <si>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</si>
  <si>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</si>
  <si>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</si>
  <si>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</si>
  <si>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</si>
  <si>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</si>
  <si>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</si>
  <si>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</si>
  <si>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</si>
  <si>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</si>
  <si>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</si>
  <si>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</si>
  <si>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</si>
  <si>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</si>
  <si>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</si>
  <si>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</si>
  <si>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</si>
  <si>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</si>
  <si>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</si>
  <si>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</si>
  <si>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</si>
  <si>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</si>
  <si>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</si>
  <si>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</si>
  <si>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</si>
  <si>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</si>
  <si>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</si>
  <si>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</si>
  <si>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</si>
  <si>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</si>
  <si>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</si>
  <si>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</si>
  <si>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</si>
  <si>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</si>
  <si>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</si>
  <si>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</si>
  <si>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</si>
  <si>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</si>
  <si>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</si>
  <si>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</si>
  <si>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</si>
  <si>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</si>
  <si>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</si>
  <si>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</si>
  <si>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</si>
  <si>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</si>
  <si>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</si>
  <si>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</si>
  <si>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</si>
  <si>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</si>
  <si>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</si>
  <si>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</si>
  <si>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</si>
  <si>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</si>
  <si>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</si>
  <si>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</si>
  <si>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</si>
  <si>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</si>
  <si>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</si>
  <si>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</si>
  <si>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</si>
  <si>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</si>
  <si>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</si>
  <si>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</si>
  <si>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</si>
  <si>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</si>
  <si>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</si>
  <si>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</si>
  <si>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</si>
  <si>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</si>
  <si>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</si>
  <si>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</si>
  <si>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</si>
  <si>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</si>
  <si>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</si>
  <si>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</si>
  <si>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</si>
  <si>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</si>
  <si>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</si>
  <si>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</si>
  <si>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</si>
  <si>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</si>
  <si>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</si>
  <si>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</si>
  <si>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</si>
  <si>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</si>
  <si>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</si>
  <si>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</si>
  <si>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</si>
  <si>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</si>
  <si>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</si>
  <si>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</si>
  <si>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</si>
  <si>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</si>
  <si>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</si>
  <si>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</si>
  <si>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</si>
  <si>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</si>
  <si>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</si>
  <si>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</si>
  <si>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</si>
  <si>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</si>
  <si>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</si>
  <si>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</si>
  <si>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</si>
  <si>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</si>
  <si>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</si>
  <si>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</si>
  <si>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</si>
  <si>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</si>
  <si>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</si>
  <si>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</si>
  <si>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</si>
  <si>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</si>
  <si>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</si>
  <si>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</si>
  <si>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</si>
  <si>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</si>
  <si>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</si>
  <si>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</si>
  <si>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</si>
  <si>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</si>
  <si>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</si>
  <si>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</si>
  <si>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</si>
  <si>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</si>
  <si>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</si>
  <si>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</si>
  <si>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</si>
  <si>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</si>
  <si>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</si>
  <si>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</si>
  <si>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</si>
  <si>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</si>
  <si>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</si>
  <si>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</si>
  <si>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</si>
  <si>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</si>
  <si>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</si>
  <si>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</si>
  <si>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</si>
  <si>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</si>
  <si>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</si>
  <si>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</si>
  <si>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</si>
  <si>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</si>
  <si>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</si>
  <si>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</si>
  <si>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</si>
  <si>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</si>
  <si>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</si>
  <si>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</si>
  <si>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</si>
  <si>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</si>
  <si>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</si>
  <si>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</si>
  <si>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</si>
  <si>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</si>
  <si>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</si>
  <si>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</si>
  <si>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</si>
  <si>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</si>
  <si>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</si>
  <si>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</si>
  <si>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</si>
  <si>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</si>
  <si>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</si>
  <si>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</si>
  <si>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</si>
  <si>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</si>
  <si>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</si>
  <si>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</si>
  <si>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</si>
  <si>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</si>
  <si>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</si>
  <si>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</si>
  <si>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</si>
  <si>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</si>
  <si>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</si>
  <si>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</si>
  <si>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</si>
  <si>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</si>
  <si>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</si>
  <si>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</si>
  <si>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</si>
  <si>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</si>
  <si>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</si>
  <si>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</si>
  <si>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</si>
  <si>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</si>
  <si>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</si>
  <si>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</si>
  <si>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</si>
  <si>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</si>
  <si>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</si>
  <si>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</si>
  <si>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</si>
  <si>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</si>
  <si>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</si>
  <si>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</si>
  <si>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</si>
  <si>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</si>
  <si>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</si>
  <si>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</si>
  <si>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</si>
  <si>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</si>
  <si>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</si>
  <si>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</si>
  <si>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</si>
  <si>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</si>
  <si>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</si>
  <si>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</si>
  <si>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</si>
  <si>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</si>
  <si>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</si>
  <si>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</si>
  <si>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</si>
  <si>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</si>
  <si>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</si>
  <si>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</si>
  <si>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</si>
  <si>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</si>
  <si>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</si>
  <si>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</si>
  <si>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</si>
  <si>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</si>
  <si>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</si>
  <si>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</si>
  <si>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</si>
  <si>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</si>
  <si>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</si>
  <si>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</si>
  <si>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</si>
  <si>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</si>
  <si>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</si>
  <si>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</si>
  <si>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</si>
  <si>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</si>
  <si>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</si>
  <si>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</si>
  <si>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</si>
  <si>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</si>
  <si>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</si>
  <si>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</si>
  <si>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</si>
  <si>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</si>
  <si>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</si>
  <si>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</si>
  <si>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</si>
  <si>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</si>
  <si>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</si>
  <si>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</si>
  <si>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</si>
  <si>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</si>
  <si>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</si>
  <si>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</si>
  <si>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</si>
  <si>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</si>
  <si>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</si>
  <si>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</si>
  <si>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</si>
  <si>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</si>
  <si>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</si>
  <si>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</si>
  <si>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</si>
  <si>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</si>
  <si>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</si>
  <si>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</si>
  <si>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</si>
  <si>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</si>
  <si>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</si>
  <si>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</si>
  <si>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</si>
  <si>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</si>
  <si>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</si>
  <si>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</si>
  <si>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</si>
  <si>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</si>
  <si>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</si>
  <si>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</si>
  <si>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</si>
  <si>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</si>
  <si>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</si>
  <si>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</si>
  <si>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</si>
  <si>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</si>
  <si>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</si>
  <si>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</si>
  <si>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</si>
  <si>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</si>
  <si>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</si>
  <si>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</si>
  <si>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</si>
  <si>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</si>
  <si>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</si>
  <si>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</si>
  <si>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</si>
  <si>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</si>
  <si>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</si>
  <si>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</si>
  <si>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</si>
  <si>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</si>
  <si>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</si>
  <si>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</si>
  <si>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</si>
  <si>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</si>
  <si>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</si>
  <si>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</si>
  <si>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</si>
  <si>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</si>
  <si>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</si>
  <si>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</si>
  <si>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</si>
  <si>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</si>
  <si>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</si>
  <si>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</si>
  <si>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</si>
  <si>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</si>
  <si>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</si>
  <si>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</si>
  <si>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</si>
  <si>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</si>
  <si>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</si>
  <si>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</si>
  <si>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</si>
  <si>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</si>
  <si>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</si>
  <si>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</si>
  <si>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</si>
  <si>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</si>
  <si>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</si>
  <si>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</si>
  <si>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</si>
  <si>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</si>
  <si>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</si>
  <si>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</si>
  <si>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</si>
  <si>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</si>
  <si>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</si>
  <si>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</si>
  <si>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</si>
  <si>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</si>
  <si>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</si>
  <si>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</si>
  <si>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</si>
  <si>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</si>
  <si>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</si>
  <si>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</si>
  <si>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</si>
  <si>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</si>
  <si>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</si>
  <si>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</si>
  <si>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</si>
  <si>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</si>
  <si>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</si>
  <si>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</si>
  <si>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</si>
  <si>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</si>
  <si>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</si>
  <si>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</si>
  <si>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</si>
  <si>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</si>
  <si>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</si>
  <si>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</si>
  <si>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</si>
  <si>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</si>
  <si>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</si>
  <si>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</si>
  <si>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</si>
  <si>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</si>
  <si>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</si>
  <si>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</si>
  <si>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</si>
  <si>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</si>
  <si>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</si>
  <si>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</si>
  <si>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</si>
  <si>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</si>
  <si>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</si>
  <si>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</si>
  <si>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</si>
  <si>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</si>
  <si>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</si>
  <si>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</si>
  <si>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</si>
  <si>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</si>
  <si>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</si>
  <si>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</si>
  <si>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</si>
  <si>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</si>
  <si>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</si>
  <si>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</si>
  <si>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</si>
  <si>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</si>
  <si>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</si>
  <si>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</si>
  <si>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</si>
  <si>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</si>
  <si>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</si>
  <si>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</si>
  <si>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</si>
  <si>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</si>
  <si>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</si>
  <si>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</si>
  <si>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</si>
  <si>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</si>
  <si>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</si>
  <si>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</si>
  <si>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</si>
  <si>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</si>
  <si>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</si>
  <si>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</si>
  <si>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</si>
  <si>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</si>
  <si>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</si>
  <si>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</si>
  <si>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</si>
  <si>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</si>
  <si>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</si>
  <si>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</si>
  <si>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</si>
  <si>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</si>
  <si>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</si>
  <si>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</si>
  <si>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</si>
  <si>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</si>
  <si>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</si>
  <si>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</si>
  <si>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</si>
  <si>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</si>
  <si>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</si>
  <si>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</si>
  <si>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</si>
  <si>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</si>
  <si>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</si>
  <si>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</si>
  <si>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</si>
  <si>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</si>
  <si>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</si>
  <si>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</si>
  <si>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</si>
  <si>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</si>
  <si>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</si>
  <si>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</si>
  <si>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</si>
  <si>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</si>
  <si>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</si>
  <si>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</si>
  <si>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</si>
  <si>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</si>
  <si>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</si>
  <si>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</si>
  <si>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</si>
  <si>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</si>
  <si>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</si>
  <si>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</si>
  <si>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</si>
  <si>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</si>
  <si>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</si>
  <si>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</si>
  <si>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</si>
  <si>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</si>
  <si>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</si>
  <si>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</si>
  <si>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</si>
  <si>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</si>
  <si>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</si>
  <si>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</si>
  <si>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</si>
  <si>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</si>
  <si>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</si>
  <si>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</si>
  <si>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</si>
  <si>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</si>
  <si>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</si>
  <si>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</si>
  <si>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</si>
  <si>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</si>
  <si>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</si>
  <si>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</si>
  <si>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</si>
  <si>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</si>
  <si>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</si>
  <si>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</si>
  <si>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</si>
  <si>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</si>
  <si>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</si>
  <si>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</si>
  <si>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</si>
  <si>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</si>
  <si>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</si>
  <si>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</si>
  <si>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</si>
  <si>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</si>
  <si>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</si>
  <si>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</si>
  <si>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</si>
  <si>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</si>
  <si>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</si>
  <si>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</si>
  <si>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</si>
  <si>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</si>
  <si>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</si>
  <si>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</si>
  <si>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</si>
  <si>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</si>
  <si>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</si>
  <si>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</si>
  <si>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</si>
  <si>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</si>
  <si>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</si>
  <si>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</si>
  <si>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</si>
  <si>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</si>
  <si>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</si>
  <si>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</si>
  <si>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</si>
  <si>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</si>
  <si>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</si>
  <si>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</si>
  <si>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</si>
  <si>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</si>
  <si>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</si>
  <si>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</si>
  <si>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</si>
  <si>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</si>
  <si>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</si>
  <si>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</si>
  <si>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</si>
  <si>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</si>
  <si>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</si>
  <si>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</si>
  <si>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</si>
  <si>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</si>
  <si>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</si>
  <si>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</si>
  <si>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</si>
  <si>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</si>
  <si>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</si>
  <si>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</si>
  <si>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</si>
  <si>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</si>
  <si>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</si>
  <si>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</si>
  <si>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</si>
  <si>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</si>
  <si>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</si>
  <si>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</si>
  <si>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</si>
  <si>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</si>
  <si>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</si>
  <si>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</si>
  <si>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</si>
  <si>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</si>
  <si>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</si>
  <si>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</si>
  <si>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</si>
  <si>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</si>
  <si>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</si>
  <si>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</si>
  <si>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</si>
  <si>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</si>
  <si>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</si>
  <si>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</si>
  <si>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</si>
  <si>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</si>
  <si>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</si>
  <si>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</si>
  <si>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</si>
  <si>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</si>
  <si>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</si>
  <si>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</si>
  <si>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</si>
  <si>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</si>
  <si>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</si>
  <si>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</si>
  <si>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</si>
  <si>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</si>
  <si>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</si>
  <si>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</si>
  <si>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</si>
  <si>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</si>
  <si>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</si>
  <si>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</si>
  <si>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</si>
  <si>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</si>
  <si>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</si>
  <si>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</si>
  <si>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</si>
  <si>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</si>
  <si>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</si>
  <si>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</si>
  <si>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</si>
  <si>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</si>
  <si>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</si>
  <si>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</si>
  <si>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</si>
  <si>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</si>
  <si>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</si>
  <si>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</si>
  <si>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</si>
  <si>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</si>
  <si>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</si>
  <si>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</si>
  <si>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</si>
  <si>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</si>
  <si>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</si>
  <si>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</si>
  <si>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</si>
  <si>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</si>
  <si>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</si>
  <si>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</si>
  <si>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</si>
  <si>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</si>
  <si>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</si>
  <si>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</si>
  <si>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</si>
  <si>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</si>
  <si>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</si>
  <si>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</si>
  <si>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</si>
  <si>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</si>
  <si>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</si>
  <si>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</si>
  <si>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</si>
  <si>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</si>
  <si>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</si>
  <si>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</si>
  <si>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</si>
  <si>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</si>
  <si>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</si>
  <si>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</si>
  <si>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</si>
  <si>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</si>
  <si>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</si>
  <si>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</si>
  <si>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</si>
  <si>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</si>
  <si>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</si>
  <si>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</si>
  <si>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</si>
  <si>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</si>
  <si>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</si>
  <si>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</si>
  <si>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</si>
  <si>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</si>
  <si>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</si>
  <si>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</si>
  <si>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</si>
  <si>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</si>
  <si>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</si>
  <si>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</si>
  <si>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</si>
  <si>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</si>
  <si>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</si>
  <si>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</si>
  <si>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</si>
  <si>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</si>
  <si>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</si>
  <si>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</si>
  <si>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</si>
  <si>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</si>
  <si>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</si>
  <si>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</si>
  <si>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</si>
  <si>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</si>
  <si>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</si>
  <si>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</si>
  <si>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</si>
  <si>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</si>
  <si>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</si>
  <si>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</si>
  <si>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</si>
  <si>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</si>
  <si>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</si>
  <si>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</si>
  <si>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</si>
  <si>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</si>
  <si>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</si>
  <si>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</si>
  <si>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</si>
  <si>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</si>
  <si>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</si>
  <si>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</si>
  <si>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</si>
  <si>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</si>
  <si>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</si>
  <si>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</si>
  <si>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</si>
  <si>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</si>
  <si>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</si>
  <si>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</si>
  <si>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</si>
  <si>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</si>
  <si>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</si>
  <si>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</si>
  <si>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</si>
  <si>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</si>
  <si>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</si>
  <si>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</si>
  <si>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</si>
  <si>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</si>
  <si>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</si>
  <si>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</si>
  <si>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</si>
  <si>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</si>
  <si>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</si>
  <si>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</si>
  <si>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</si>
  <si>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</si>
  <si>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</si>
  <si>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</si>
  <si>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</si>
  <si>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</si>
  <si>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</si>
  <si>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</si>
  <si>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</si>
  <si>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</si>
  <si>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</si>
  <si>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</si>
  <si>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</si>
  <si>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</si>
  <si>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</si>
  <si>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</si>
  <si>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</si>
  <si>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</si>
  <si>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</si>
  <si>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</si>
  <si>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</si>
  <si>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</si>
  <si>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</si>
  <si>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</si>
  <si>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</si>
  <si>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</si>
  <si>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</si>
  <si>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</si>
  <si>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</si>
  <si>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</si>
  <si>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</si>
  <si>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</si>
  <si>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</si>
  <si>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</si>
  <si>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</si>
  <si>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</si>
  <si>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</si>
  <si>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</si>
  <si>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</si>
  <si>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</si>
  <si>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</si>
  <si>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</si>
  <si>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</si>
  <si>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</si>
  <si>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</si>
  <si>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</si>
  <si>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</si>
  <si>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</si>
  <si>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</si>
  <si>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</si>
  <si>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</si>
  <si>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</si>
  <si>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</si>
  <si>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</si>
  <si>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</si>
  <si>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</si>
  <si>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</si>
  <si>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</si>
  <si>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</si>
  <si>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</si>
  <si>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</si>
  <si>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</si>
  <si>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</si>
  <si>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</si>
  <si>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</si>
  <si>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</si>
  <si>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</si>
  <si>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</si>
  <si>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</si>
  <si>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</si>
  <si>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</si>
  <si>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</si>
  <si>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</si>
  <si>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</si>
  <si>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</si>
  <si>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</si>
  <si>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</si>
  <si>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</si>
  <si>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</si>
  <si>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</si>
  <si>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</si>
  <si>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</si>
  <si>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</si>
  <si>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</si>
  <si>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</si>
  <si>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</si>
  <si>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</si>
  <si>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</si>
  <si>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</si>
  <si>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</si>
  <si>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</si>
  <si>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</si>
  <si>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</si>
  <si>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</si>
  <si>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</si>
  <si>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</si>
  <si>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</si>
  <si>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</si>
  <si>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</si>
  <si>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</si>
  <si>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</si>
  <si>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</si>
  <si>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</si>
  <si>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</si>
  <si>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</si>
  <si>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</si>
  <si>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</si>
  <si>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</si>
  <si>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</si>
  <si>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</si>
  <si>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</si>
  <si>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</si>
  <si>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</si>
  <si>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</si>
  <si>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</si>
  <si>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</si>
  <si>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</si>
  <si>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</si>
  <si>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</si>
  <si>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</si>
  <si>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</si>
  <si>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</si>
  <si>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</si>
  <si>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</si>
  <si>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</si>
  <si>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</si>
  <si>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</si>
  <si>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</si>
  <si>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</si>
  <si>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</si>
  <si>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</si>
  <si>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</si>
  <si>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</si>
  <si>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</si>
  <si>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</si>
  <si>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</si>
  <si>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</si>
  <si>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</si>
  <si>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</si>
  <si>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</si>
  <si>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</si>
  <si>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</si>
  <si>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</si>
  <si>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</si>
  <si>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</si>
  <si>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</si>
  <si>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</si>
  <si>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</si>
  <si>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</si>
  <si>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</si>
  <si>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</si>
  <si>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</si>
  <si>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</si>
  <si>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</si>
  <si>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</si>
  <si>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</si>
  <si>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</si>
  <si>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</si>
  <si>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</si>
  <si>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</si>
  <si>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</si>
  <si>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</si>
  <si>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</si>
  <si>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</si>
  <si>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</si>
  <si>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</si>
  <si>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</si>
  <si>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</si>
  <si>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</si>
  <si>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</si>
  <si>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</si>
  <si>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</si>
  <si>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</si>
  <si>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</si>
  <si>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</si>
  <si>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</si>
  <si>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</si>
  <si>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</si>
  <si>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</si>
  <si>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</si>
  <si>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</si>
  <si>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</si>
  <si>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</si>
  <si>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</si>
  <si>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</si>
  <si>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</si>
  <si>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</si>
  <si>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</si>
  <si>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</si>
  <si>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</si>
  <si>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</si>
  <si>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</si>
  <si>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</si>
  <si>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</si>
  <si>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</si>
  <si>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</si>
  <si>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</si>
  <si>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</si>
  <si>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</si>
  <si>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</si>
  <si>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</si>
  <si>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</si>
  <si>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</si>
  <si>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</si>
  <si>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</si>
  <si>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</si>
  <si>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</si>
  <si>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</si>
  <si>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</si>
  <si>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</si>
  <si>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</si>
  <si>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</si>
  <si>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</si>
  <si>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</si>
  <si>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</si>
  <si>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</si>
  <si>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</si>
  <si>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</si>
  <si>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</si>
  <si>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</si>
  <si>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</si>
  <si>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</si>
  <si>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</si>
  <si>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</si>
  <si>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</si>
  <si>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</si>
  <si>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</si>
  <si>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</si>
  <si>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</si>
  <si>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</si>
  <si>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</si>
  <si>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</si>
  <si>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</si>
  <si>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</si>
  <si>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</si>
  <si>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</si>
  <si>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</si>
  <si>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</si>
  <si>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</si>
  <si>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</si>
  <si>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</si>
  <si>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</si>
  <si>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</si>
  <si>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</si>
  <si>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</si>
  <si>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</si>
  <si>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</si>
  <si>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</si>
  <si>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</si>
  <si>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</si>
  <si>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</si>
  <si>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</si>
  <si>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</si>
  <si>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</si>
  <si>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</si>
  <si>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</si>
  <si>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</si>
  <si>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</si>
  <si>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</si>
  <si>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</si>
  <si>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</si>
  <si>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</si>
  <si>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</si>
  <si>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</si>
  <si>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</si>
  <si>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</si>
  <si>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</si>
  <si>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</si>
  <si>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</si>
  <si>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</si>
  <si>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</si>
  <si>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</si>
  <si>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</si>
  <si>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</si>
  <si>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</si>
  <si>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</si>
  <si>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</si>
  <si>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</si>
  <si>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</si>
  <si>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</si>
  <si>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</si>
  <si>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</si>
  <si>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</si>
  <si>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</si>
  <si>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</si>
  <si>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</si>
  <si>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</si>
  <si>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</si>
  <si>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</si>
  <si>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</si>
  <si>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</si>
  <si>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</si>
  <si>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</si>
  <si>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</si>
  <si>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</si>
  <si>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</si>
  <si>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</si>
  <si>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</si>
  <si>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</si>
  <si>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</si>
  <si>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</si>
  <si>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</si>
  <si>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</si>
  <si>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</si>
  <si>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</si>
  <si>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</si>
  <si>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</si>
  <si>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</si>
  <si>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</si>
  <si>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</si>
  <si>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</si>
  <si>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</si>
  <si>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</si>
  <si>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</si>
  <si>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</si>
  <si>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</si>
  <si>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</si>
  <si>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</si>
  <si>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</si>
  <si>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</si>
  <si>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</si>
  <si>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</si>
  <si>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</si>
  <si>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</si>
  <si>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</si>
  <si>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</si>
  <si>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</si>
  <si>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</si>
  <si>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</si>
  <si>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</si>
  <si>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</si>
  <si>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</si>
  <si>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</si>
  <si>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</si>
  <si>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</si>
  <si>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</si>
  <si>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</si>
  <si>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</si>
  <si>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</si>
  <si>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</si>
  <si>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</si>
  <si>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</si>
  <si>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</si>
  <si>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</si>
  <si>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</si>
  <si>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</si>
  <si>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</si>
  <si>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</si>
  <si>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</si>
  <si>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</si>
  <si>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</si>
  <si>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</si>
  <si>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</si>
  <si>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</si>
  <si>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</si>
  <si>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</si>
  <si>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</si>
  <si>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</si>
  <si>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</si>
  <si>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</si>
  <si>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</si>
  <si>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</si>
  <si>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</si>
  <si>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</si>
  <si>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</si>
  <si>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</si>
  <si>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</si>
  <si>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</si>
  <si>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</si>
  <si>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</si>
  <si>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</si>
  <si>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</si>
  <si>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</si>
  <si>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</si>
  <si>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</si>
  <si>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</si>
  <si>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</si>
  <si>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</si>
  <si>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</si>
  <si>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</si>
  <si>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</si>
  <si>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</si>
  <si>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</si>
  <si>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</si>
  <si>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</si>
  <si>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</si>
  <si>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</si>
  <si>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</si>
  <si>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</si>
  <si>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</si>
  <si>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</si>
  <si>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</si>
  <si>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</si>
  <si>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</si>
  <si>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</si>
  <si>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</si>
  <si>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</si>
  <si>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</si>
  <si>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</si>
  <si>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</si>
  <si>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</si>
  <si>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</si>
  <si>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</si>
  <si>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</si>
  <si>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</si>
  <si>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</si>
  <si>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</si>
  <si>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</si>
  <si>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</si>
  <si>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</si>
  <si>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</si>
  <si>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</si>
  <si>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</si>
  <si>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</si>
  <si>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</si>
  <si>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</si>
  <si>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</si>
  <si>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</si>
  <si>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</si>
  <si>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</si>
  <si>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</si>
  <si>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</si>
  <si>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</si>
  <si>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</si>
  <si>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</si>
  <si>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</si>
  <si>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</si>
  <si>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</si>
  <si>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</si>
  <si>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</si>
  <si>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</si>
  <si>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</si>
  <si>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</si>
  <si>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</si>
  <si>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</si>
  <si>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</si>
  <si>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</si>
  <si>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</si>
  <si>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</si>
  <si>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</si>
  <si>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</si>
  <si>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</si>
  <si>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</si>
  <si>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</si>
  <si>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</si>
  <si>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</si>
  <si>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</si>
  <si>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</si>
  <si>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</si>
  <si>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</si>
  <si>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</si>
  <si>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</si>
  <si>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</si>
  <si>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</si>
  <si>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</si>
  <si>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</si>
  <si>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</si>
  <si>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</si>
  <si>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</si>
  <si>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</si>
  <si>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</si>
  <si>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</si>
  <si>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</si>
  <si>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</si>
  <si>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</si>
  <si>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</si>
  <si>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</si>
  <si>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</si>
  <si>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</si>
  <si>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</si>
  <si>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</si>
  <si>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</si>
  <si>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</si>
  <si>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</si>
  <si>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</si>
  <si>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</si>
  <si>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</si>
  <si>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</si>
  <si>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</si>
  <si>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</si>
  <si>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</si>
  <si>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</si>
  <si>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</si>
  <si>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</si>
  <si>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</si>
  <si>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</si>
  <si>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</si>
  <si>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</si>
  <si>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</si>
  <si>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</si>
  <si>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</si>
  <si>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</si>
  <si>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</si>
  <si>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</si>
  <si>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</si>
  <si>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</si>
  <si>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</si>
  <si>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</si>
  <si>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</si>
  <si>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</si>
  <si>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</si>
  <si>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</si>
  <si>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</si>
  <si>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</si>
  <si>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</si>
  <si>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</si>
  <si>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</si>
  <si>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</si>
  <si>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</si>
  <si>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</si>
  <si>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</si>
  <si>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</si>
  <si>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</si>
  <si>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</si>
  <si>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</si>
  <si>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</si>
  <si>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</si>
  <si>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</si>
  <si>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</si>
  <si>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</si>
  <si>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</si>
  <si>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</si>
  <si>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</si>
  <si>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</si>
  <si>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</si>
  <si>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</si>
  <si>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</si>
  <si>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</si>
  <si>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</si>
  <si>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</si>
  <si>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</si>
  <si>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</si>
  <si>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</si>
  <si>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</si>
  <si>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</si>
  <si>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</si>
  <si>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</si>
  <si>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</si>
  <si>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</si>
  <si>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</si>
  <si>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</si>
  <si>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</si>
  <si>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</si>
  <si>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</si>
  <si>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</si>
  <si>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</si>
  <si>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</si>
  <si>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</si>
  <si>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</si>
  <si>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</si>
  <si>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</si>
  <si>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</si>
  <si>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</si>
  <si>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</si>
  <si>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</si>
  <si>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</si>
  <si>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</si>
  <si>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</si>
  <si>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</si>
  <si>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</si>
  <si>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</si>
  <si>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</si>
  <si>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</si>
  <si>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</si>
  <si>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</si>
  <si>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</si>
  <si>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</si>
  <si>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</si>
  <si>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</si>
  <si>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</si>
  <si>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</si>
  <si>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</si>
  <si>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</si>
  <si>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</si>
  <si>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</si>
  <si>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</si>
  <si>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</si>
  <si>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</si>
  <si>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</si>
  <si>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</si>
  <si>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</si>
  <si>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</si>
  <si>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</si>
  <si>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</si>
  <si>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</si>
  <si>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</si>
  <si>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</si>
  <si>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</si>
  <si>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</si>
  <si>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</si>
  <si>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</si>
  <si>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</si>
  <si>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</si>
  <si>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</si>
  <si>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</si>
  <si>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</si>
  <si>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</si>
  <si>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</si>
  <si>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</si>
  <si>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</si>
  <si>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</si>
  <si>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</si>
  <si>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</si>
  <si>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</si>
  <si>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</si>
  <si>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</si>
  <si>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</si>
  <si>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</si>
  <si>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</si>
  <si>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</si>
  <si>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</si>
  <si>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</si>
  <si>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</si>
  <si>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</si>
  <si>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</si>
  <si>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</si>
  <si>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</si>
  <si>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</si>
  <si>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</si>
  <si>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</si>
  <si>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</si>
  <si>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</si>
  <si>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</si>
  <si>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</si>
  <si>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</si>
  <si>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</si>
  <si>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</si>
  <si>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</si>
  <si>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</si>
  <si>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</si>
  <si>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</si>
  <si>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</si>
  <si>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</si>
  <si>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</si>
  <si>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</si>
  <si>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</si>
  <si>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</si>
  <si>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</si>
  <si>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</si>
  <si>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</si>
  <si>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</si>
  <si>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</si>
  <si>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</si>
  <si>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</si>
  <si>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</si>
  <si>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</si>
  <si>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</si>
  <si>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</si>
  <si>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</si>
  <si>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</si>
  <si>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</si>
  <si>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</si>
  <si>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</si>
  <si>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</si>
  <si>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</si>
  <si>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</si>
  <si>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</si>
  <si>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</si>
  <si>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</si>
  <si>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</si>
  <si>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</si>
  <si>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</si>
  <si>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</si>
  <si>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</si>
  <si>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</si>
  <si>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</si>
  <si>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</si>
  <si>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</si>
  <si>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</si>
  <si>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</si>
  <si>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</si>
  <si>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</si>
  <si>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</si>
  <si>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</si>
  <si>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</si>
  <si>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</si>
  <si>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</si>
  <si>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</si>
  <si>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</si>
  <si>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</si>
  <si>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</si>
  <si>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</si>
  <si>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</si>
  <si>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</si>
  <si>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</si>
  <si>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</si>
  <si>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</si>
  <si>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</si>
  <si>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</si>
  <si>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</si>
  <si>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</si>
  <si>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</si>
  <si>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</si>
  <si>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</si>
  <si>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</si>
  <si>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</si>
  <si>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</si>
  <si>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</si>
  <si>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</si>
  <si>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</si>
  <si>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</si>
  <si>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</si>
  <si>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</si>
  <si>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</si>
  <si>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</si>
  <si>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</si>
  <si>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</si>
  <si>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</si>
  <si>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</si>
  <si>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</si>
  <si>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</si>
  <si>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</si>
  <si>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</si>
  <si>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</si>
  <si>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</si>
  <si>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</si>
  <si>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</si>
  <si>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</si>
  <si>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</si>
  <si>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</si>
  <si>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</si>
  <si>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</si>
  <si>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</si>
  <si>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</si>
  <si>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</si>
  <si>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</si>
  <si>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</si>
  <si>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</si>
  <si>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</si>
  <si>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</si>
  <si>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</si>
  <si>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</si>
  <si>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</si>
  <si>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</si>
  <si>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</si>
  <si>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</si>
  <si>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</si>
  <si>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</si>
  <si>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</si>
  <si>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</si>
  <si>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</si>
  <si>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</si>
  <si>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</si>
  <si>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</si>
  <si>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</si>
  <si>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</si>
  <si>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</si>
  <si>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</si>
  <si>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</si>
  <si>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</si>
  <si>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</si>
  <si>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</si>
  <si>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</si>
  <si>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</si>
  <si>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</si>
  <si>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</si>
  <si>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</si>
  <si>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</si>
  <si>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</si>
  <si>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</si>
  <si>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</si>
  <si>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</si>
  <si>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</si>
  <si>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</si>
  <si>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</si>
  <si>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</si>
  <si>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</si>
  <si>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</si>
  <si>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</si>
  <si>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</si>
  <si>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</si>
  <si>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</si>
  <si>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</si>
  <si>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</si>
  <si>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</si>
  <si>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</si>
  <si>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</si>
  <si>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</si>
  <si>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</si>
  <si>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</si>
  <si>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</si>
  <si>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</si>
  <si>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</si>
  <si>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</si>
  <si>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</si>
  <si>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</si>
  <si>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</si>
  <si>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</si>
  <si>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</si>
  <si>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</si>
  <si>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</si>
  <si>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</si>
  <si>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</si>
  <si>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</si>
  <si>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</si>
  <si>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</si>
  <si>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</si>
  <si>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</si>
  <si>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</si>
  <si>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</si>
  <si>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</si>
  <si>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</si>
  <si>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</si>
  <si>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</si>
  <si>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</si>
  <si>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</si>
  <si>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</si>
  <si>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</si>
  <si>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</si>
  <si>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</si>
  <si>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</si>
  <si>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</si>
  <si>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</si>
  <si>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</si>
  <si>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</si>
  <si>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</si>
  <si>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</si>
  <si>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</si>
  <si>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</si>
  <si>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</si>
  <si>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</si>
  <si>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</si>
  <si>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</si>
  <si>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</si>
  <si>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</si>
  <si>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</si>
  <si>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</si>
  <si>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</si>
  <si>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</si>
  <si>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</si>
  <si>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</si>
  <si>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</si>
  <si>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</si>
  <si>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</si>
  <si>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</si>
  <si>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</si>
  <si>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</si>
  <si>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</si>
  <si>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</si>
  <si>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</si>
  <si>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</si>
  <si>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</si>
  <si>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</si>
  <si>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</si>
  <si>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</si>
  <si>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</si>
  <si>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</si>
  <si>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</si>
  <si>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</si>
  <si>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</si>
  <si>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</si>
  <si>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</si>
  <si>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2025-11-25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</si>
  <si>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</si>
  <si>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</si>
  <si>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</si>
  <si>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</si>
  <si>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</si>
  <si>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</si>
  <si>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BMW모터스_착한정비(울산)_251125_175408.xlsx</t>
    <phoneticPr fontId="2" type="noConversion"/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</si>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</sst>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5100000</c:v>
                </c:pt>
                <c:pt idx="1">
                  <c:v>2494000</c:v>
                </c:pt>
                <c:pt idx="2">
                  <c:v>400000</c:v>
                </c:pt>
                <c:pt idx="3">
                  <c:v>6100000</c:v>
                </c:pt>
                <c:pt idx="4">
                  <c:v>3355000</c:v>
                </c:pt>
                <c:pt idx="5">
                  <c:v>1100000</c:v>
                </c:pt>
                <c:pt idx="6">
                  <c:v>0</c:v>
                </c:pt>
                <c:pt idx="7">
                  <c:v>2850000</c:v>
                </c:pt>
                <c:pt idx="8">
                  <c:v>1760000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6</c:v>
                      </c:pt>
                      <c:pt idx="1">
                        <c:v>18</c:v>
                      </c:pt>
                      <c:pt idx="2">
                        <c:v>49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38</c:v>
                      </c:pt>
                      <c:pt idx="6">
                        <c:v>53</c:v>
                      </c:pt>
                      <c:pt idx="7">
                        <c:v>14</c:v>
                      </c:pt>
                      <c:pt idx="8">
                        <c:v>23</c:v>
                      </c:pt>
                      <c:pt idx="9">
                        <c:v>19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45986</v>
      </c>
      <c r="U2" s="320"/>
    </row>
    <row r="3" spans="1:21" ht="24.95" customHeight="1" x14ac:dyDescent="0.3">
      <c r="A3" s="330" t="s">
        <v>1165</v>
      </c>
      <c r="B3" s="37" t="s">
        <v>59</v>
      </c>
      <c r="C3" s="333" t="s">
        <v>2585</v>
      </c>
      <c r="D3" s="334"/>
      <c r="E3" s="334"/>
      <c r="F3" s="334"/>
      <c r="G3" s="334"/>
      <c r="H3" s="334"/>
      <c r="I3" s="334"/>
      <c r="J3" s="335"/>
      <c r="K3" s="336" t="s">
        <v>1166</v>
      </c>
      <c r="L3" s="37" t="s">
        <v>59</v>
      </c>
      <c r="M3" s="339" t="s">
        <v>964</v>
      </c>
      <c r="N3" s="340"/>
      <c r="O3" s="340"/>
      <c r="P3" s="340"/>
      <c r="Q3" s="340"/>
      <c r="R3" s="340"/>
      <c r="S3" s="340"/>
      <c r="T3" s="340"/>
      <c r="U3" s="341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321" t="s">
        <v>73</v>
      </c>
      <c r="U4" s="324"/>
    </row>
    <row r="5" spans="1:21" ht="24.95" customHeight="1" x14ac:dyDescent="0.3">
      <c r="A5" s="331"/>
      <c r="B5" s="38" t="s">
        <v>10</v>
      </c>
      <c r="C5" s="321" t="s">
        <v>2587</v>
      </c>
      <c r="D5" s="322"/>
      <c r="E5" s="322"/>
      <c r="F5" s="322"/>
      <c r="G5" s="322"/>
      <c r="H5" s="322"/>
      <c r="I5" s="322"/>
      <c r="J5" s="323"/>
      <c r="K5" s="337"/>
      <c r="L5" s="38" t="s">
        <v>10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24.95" customHeight="1" x14ac:dyDescent="0.3">
      <c r="A6" s="332"/>
      <c r="B6" s="38" t="s">
        <v>75</v>
      </c>
      <c r="C6" s="321" t="s">
        <v>2586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1564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44</v>
      </c>
      <c r="G7" s="326"/>
      <c r="H7" s="326"/>
      <c r="I7" s="327"/>
      <c r="J7" s="328" t="s">
        <v>42</v>
      </c>
      <c r="K7" s="326"/>
      <c r="L7" s="326"/>
      <c r="M7" s="326"/>
      <c r="N7" s="327"/>
      <c r="O7" s="326" t="s">
        <v>50</v>
      </c>
      <c r="P7" s="327"/>
      <c r="Q7" s="328" t="s">
        <v>69</v>
      </c>
      <c r="R7" s="326"/>
      <c r="S7" s="327"/>
      <c r="T7" s="328" t="s">
        <v>68</v>
      </c>
      <c r="U7" s="329"/>
    </row>
    <row r="8" spans="1:21" ht="15.6" customHeight="1" x14ac:dyDescent="0.3">
      <c r="A8" s="354" t="s">
        <v>1216</v>
      </c>
      <c r="B8" s="355"/>
      <c r="C8" s="355"/>
      <c r="D8" s="355"/>
      <c r="E8" s="356"/>
      <c r="F8" s="357" t="s">
        <v>2155</v>
      </c>
      <c r="G8" s="358"/>
      <c r="H8" s="358"/>
      <c r="I8" s="359"/>
      <c r="J8" s="365">
        <v>1300000</v>
      </c>
      <c r="K8" s="365"/>
      <c r="L8" s="365"/>
      <c r="M8" s="365"/>
      <c r="N8" s="365"/>
      <c r="O8" s="366">
        <v>1</v>
      </c>
      <c r="P8" s="366"/>
      <c r="Q8" s="360"/>
      <c r="R8" s="361"/>
      <c r="S8" s="362"/>
      <c r="T8" s="363">
        <v>1300000</v>
      </c>
      <c r="U8" s="364"/>
    </row>
    <row r="9" spans="1:21" ht="15.6" customHeight="1" x14ac:dyDescent="0.3">
      <c r="A9" s="345"/>
      <c r="B9" s="346"/>
      <c r="C9" s="346"/>
      <c r="D9" s="346"/>
      <c r="E9" s="347"/>
      <c r="F9" s="348"/>
      <c r="G9" s="346"/>
      <c r="H9" s="346"/>
      <c r="I9" s="347"/>
      <c r="J9" s="367"/>
      <c r="K9" s="367"/>
      <c r="L9" s="367"/>
      <c r="M9" s="367"/>
      <c r="N9" s="367"/>
      <c r="O9" s="368"/>
      <c r="P9" s="368"/>
      <c r="Q9" s="349"/>
      <c r="R9" s="350"/>
      <c r="S9" s="351"/>
      <c r="T9" s="352"/>
      <c r="U9" s="353"/>
    </row>
    <row r="10" spans="1:21" ht="15.6" customHeight="1" x14ac:dyDescent="0.3">
      <c r="A10" s="345"/>
      <c r="B10" s="346"/>
      <c r="C10" s="346"/>
      <c r="D10" s="346"/>
      <c r="E10" s="347"/>
      <c r="F10" s="348"/>
      <c r="G10" s="346"/>
      <c r="H10" s="346"/>
      <c r="I10" s="347"/>
      <c r="J10" s="367"/>
      <c r="K10" s="367"/>
      <c r="L10" s="367"/>
      <c r="M10" s="367"/>
      <c r="N10" s="367"/>
      <c r="O10" s="368"/>
      <c r="P10" s="368"/>
      <c r="Q10" s="349"/>
      <c r="R10" s="350"/>
      <c r="S10" s="351"/>
      <c r="T10" s="352"/>
      <c r="U10" s="353"/>
    </row>
    <row r="11" spans="1:21" ht="15.6" customHeight="1" x14ac:dyDescent="0.3">
      <c r="A11" s="345"/>
      <c r="B11" s="346"/>
      <c r="C11" s="346"/>
      <c r="D11" s="346"/>
      <c r="E11" s="347"/>
      <c r="F11" s="348"/>
      <c r="G11" s="346"/>
      <c r="H11" s="346"/>
      <c r="I11" s="347"/>
      <c r="J11" s="367"/>
      <c r="K11" s="367"/>
      <c r="L11" s="367"/>
      <c r="M11" s="367"/>
      <c r="N11" s="367"/>
      <c r="O11" s="368"/>
      <c r="P11" s="368"/>
      <c r="Q11" s="349"/>
      <c r="R11" s="350"/>
      <c r="S11" s="351"/>
      <c r="T11" s="352"/>
      <c r="U11" s="353"/>
    </row>
    <row r="12" spans="1:21" ht="15.6" customHeight="1" x14ac:dyDescent="0.3">
      <c r="A12" s="345"/>
      <c r="B12" s="346"/>
      <c r="C12" s="346"/>
      <c r="D12" s="346"/>
      <c r="E12" s="347"/>
      <c r="F12" s="348"/>
      <c r="G12" s="346"/>
      <c r="H12" s="346"/>
      <c r="I12" s="347"/>
      <c r="J12" s="367"/>
      <c r="K12" s="367"/>
      <c r="L12" s="367"/>
      <c r="M12" s="367"/>
      <c r="N12" s="367"/>
      <c r="O12" s="368"/>
      <c r="P12" s="368"/>
      <c r="Q12" s="349"/>
      <c r="R12" s="350"/>
      <c r="S12" s="351"/>
      <c r="T12" s="352"/>
      <c r="U12" s="353"/>
    </row>
    <row r="13" spans="1:21" ht="15.6" customHeight="1" x14ac:dyDescent="0.3">
      <c r="A13" s="345"/>
      <c r="B13" s="346"/>
      <c r="C13" s="346"/>
      <c r="D13" s="346"/>
      <c r="E13" s="347"/>
      <c r="F13" s="348"/>
      <c r="G13" s="346"/>
      <c r="H13" s="346"/>
      <c r="I13" s="347"/>
      <c r="J13" s="367"/>
      <c r="K13" s="367"/>
      <c r="L13" s="367"/>
      <c r="M13" s="367"/>
      <c r="N13" s="367"/>
      <c r="O13" s="368"/>
      <c r="P13" s="368"/>
      <c r="Q13" s="349"/>
      <c r="R13" s="350"/>
      <c r="S13" s="351"/>
      <c r="T13" s="352"/>
      <c r="U13" s="353"/>
    </row>
    <row r="14" spans="1:21" ht="15.6" customHeight="1" x14ac:dyDescent="0.3">
      <c r="A14" s="345"/>
      <c r="B14" s="346"/>
      <c r="C14" s="346"/>
      <c r="D14" s="346"/>
      <c r="E14" s="347"/>
      <c r="F14" s="348"/>
      <c r="G14" s="346"/>
      <c r="H14" s="346"/>
      <c r="I14" s="347"/>
      <c r="J14" s="367"/>
      <c r="K14" s="367"/>
      <c r="L14" s="367"/>
      <c r="M14" s="367"/>
      <c r="N14" s="367"/>
      <c r="O14" s="368"/>
      <c r="P14" s="368"/>
      <c r="Q14" s="349"/>
      <c r="R14" s="350"/>
      <c r="S14" s="351"/>
      <c r="T14" s="352"/>
      <c r="U14" s="353"/>
    </row>
    <row r="15" spans="1:21" ht="15.6" customHeight="1" thickBot="1" x14ac:dyDescent="0.35">
      <c r="A15" s="369"/>
      <c r="B15" s="370"/>
      <c r="C15" s="370"/>
      <c r="D15" s="370"/>
      <c r="E15" s="371"/>
      <c r="F15" s="372"/>
      <c r="G15" s="370"/>
      <c r="H15" s="370"/>
      <c r="I15" s="371"/>
      <c r="J15" s="378"/>
      <c r="K15" s="378"/>
      <c r="L15" s="378"/>
      <c r="M15" s="378"/>
      <c r="N15" s="378"/>
      <c r="O15" s="379"/>
      <c r="P15" s="379"/>
      <c r="Q15" s="373"/>
      <c r="R15" s="374"/>
      <c r="S15" s="375"/>
      <c r="T15" s="376"/>
      <c r="U15" s="377"/>
    </row>
    <row r="16" spans="1:21" ht="15" customHeight="1" thickTop="1" x14ac:dyDescent="0.3">
      <c r="A16" s="380" t="s">
        <v>2310</v>
      </c>
      <c r="B16" s="381"/>
      <c r="C16" s="381"/>
      <c r="D16" s="381"/>
      <c r="E16" s="382"/>
      <c r="F16" s="389"/>
      <c r="G16" s="390"/>
      <c r="H16" s="390"/>
      <c r="I16" s="390"/>
      <c r="J16" s="390"/>
      <c r="K16" s="390"/>
      <c r="L16" s="390"/>
      <c r="M16" s="390"/>
      <c r="N16" s="390"/>
      <c r="O16" s="390"/>
      <c r="P16" s="390"/>
      <c r="Q16" s="390"/>
      <c r="R16" s="390"/>
      <c r="S16" s="390"/>
      <c r="T16" s="390"/>
      <c r="U16" s="391"/>
    </row>
    <row r="17" spans="1:21" ht="15" customHeight="1" x14ac:dyDescent="0.3">
      <c r="A17" s="383"/>
      <c r="B17" s="384"/>
      <c r="C17" s="384"/>
      <c r="D17" s="384"/>
      <c r="E17" s="385"/>
      <c r="F17" s="392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4"/>
    </row>
    <row r="18" spans="1:21" ht="15" customHeight="1" x14ac:dyDescent="0.3">
      <c r="A18" s="383"/>
      <c r="B18" s="384"/>
      <c r="C18" s="384"/>
      <c r="D18" s="384"/>
      <c r="E18" s="385"/>
      <c r="F18" s="392"/>
      <c r="G18" s="393"/>
      <c r="H18" s="393"/>
      <c r="I18" s="393"/>
      <c r="J18" s="393"/>
      <c r="K18" s="393"/>
      <c r="L18" s="393"/>
      <c r="M18" s="393"/>
      <c r="N18" s="393"/>
      <c r="O18" s="393"/>
      <c r="P18" s="393"/>
      <c r="Q18" s="393"/>
      <c r="R18" s="393"/>
      <c r="S18" s="393"/>
      <c r="T18" s="393"/>
      <c r="U18" s="394"/>
    </row>
    <row r="19" spans="1:21" ht="15" customHeight="1" x14ac:dyDescent="0.3">
      <c r="A19" s="386"/>
      <c r="B19" s="387"/>
      <c r="C19" s="387"/>
      <c r="D19" s="387"/>
      <c r="E19" s="388"/>
      <c r="F19" s="395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  <c r="T19" s="396"/>
      <c r="U19" s="397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404">
        <v>0</v>
      </c>
      <c r="G20" s="404"/>
      <c r="H20" s="404"/>
      <c r="I20" s="405"/>
      <c r="J20" s="400">
        <f>SUM(J8:N19)</f>
        <v>1300000</v>
      </c>
      <c r="K20" s="401"/>
      <c r="L20" s="401"/>
      <c r="M20" s="401"/>
      <c r="N20" s="402"/>
      <c r="O20" s="438">
        <f>SUM(O8:P19)</f>
        <v>1</v>
      </c>
      <c r="P20" s="438"/>
      <c r="Q20" s="403">
        <f>SUM(Q8:S19)</f>
        <v>0</v>
      </c>
      <c r="R20" s="404"/>
      <c r="S20" s="405"/>
      <c r="T20" s="404">
        <f>SUM(T8:U15)</f>
        <v>1300000</v>
      </c>
      <c r="U20" s="406"/>
    </row>
    <row r="21" spans="1:21" ht="20.100000000000001" customHeight="1" thickBot="1" x14ac:dyDescent="0.35">
      <c r="A21" s="428" t="s">
        <v>90</v>
      </c>
      <c r="B21" s="429"/>
      <c r="C21" s="429"/>
      <c r="D21" s="429"/>
      <c r="E21" s="429"/>
      <c r="F21" s="430">
        <f>F20+T20</f>
        <v>1300000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29"/>
      <c r="Q21" s="398" t="str">
        <f>C3</f>
        <v>BMW모터스_착한정비(울산)</v>
      </c>
      <c r="R21" s="398"/>
      <c r="S21" s="398"/>
      <c r="T21" s="398"/>
      <c r="U21" s="399"/>
    </row>
    <row r="22" spans="1:21" ht="20.100000000000001" customHeight="1" x14ac:dyDescent="0.3">
      <c r="A22" s="439" t="s">
        <v>4458</v>
      </c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20.100000000000001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">
      <c r="A24" s="307"/>
      <c r="B24" s="308"/>
      <c r="C24" s="308"/>
      <c r="D24" s="308"/>
      <c r="E24" s="308"/>
      <c r="F24" s="308"/>
      <c r="G24" s="30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9" t="s">
        <v>1195</v>
      </c>
      <c r="R24" s="309"/>
      <c r="S24" s="441">
        <f>S1</f>
        <v>0</v>
      </c>
      <c r="T24" s="441"/>
      <c r="U24" s="442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45986</v>
      </c>
      <c r="U25" s="320"/>
    </row>
    <row r="26" spans="1:21" ht="24.95" customHeight="1" x14ac:dyDescent="0.3">
      <c r="A26" s="330" t="s">
        <v>1165</v>
      </c>
      <c r="B26" s="37" t="s">
        <v>59</v>
      </c>
      <c r="C26" s="333" t="str">
        <f>C3</f>
        <v>BMW모터스_착한정비(울산)</v>
      </c>
      <c r="D26" s="334"/>
      <c r="E26" s="334"/>
      <c r="F26" s="334"/>
      <c r="G26" s="334"/>
      <c r="H26" s="334"/>
      <c r="I26" s="334"/>
      <c r="J26" s="335"/>
      <c r="K26" s="336" t="s">
        <v>1166</v>
      </c>
      <c r="L26" s="37" t="s">
        <v>59</v>
      </c>
      <c r="M26" s="339" t="s">
        <v>964</v>
      </c>
      <c r="N26" s="340"/>
      <c r="O26" s="340"/>
      <c r="P26" s="340"/>
      <c r="Q26" s="340"/>
      <c r="R26" s="340"/>
      <c r="S26" s="340"/>
      <c r="T26" s="340"/>
      <c r="U26" s="341"/>
    </row>
    <row r="27" spans="1:21" ht="24.95" customHeight="1" x14ac:dyDescent="0.3">
      <c r="A27" s="331"/>
      <c r="B27" s="37" t="s">
        <v>61</v>
      </c>
      <c r="C27" s="407">
        <f>C4</f>
        <v>0</v>
      </c>
      <c r="D27" s="408"/>
      <c r="E27" s="408"/>
      <c r="F27" s="408"/>
      <c r="G27" s="408"/>
      <c r="H27" s="408"/>
      <c r="I27" s="408"/>
      <c r="J27" s="409"/>
      <c r="K27" s="337"/>
      <c r="L27" s="37" t="s">
        <v>61</v>
      </c>
      <c r="M27" s="321" t="s">
        <v>962</v>
      </c>
      <c r="N27" s="322"/>
      <c r="O27" s="322"/>
      <c r="P27" s="322"/>
      <c r="Q27" s="322"/>
      <c r="R27" s="323"/>
      <c r="S27" s="38" t="s">
        <v>62</v>
      </c>
      <c r="T27" s="321" t="s">
        <v>73</v>
      </c>
      <c r="U27" s="324"/>
    </row>
    <row r="28" spans="1:21" ht="24.95" customHeight="1" x14ac:dyDescent="0.3">
      <c r="A28" s="331"/>
      <c r="B28" s="38" t="s">
        <v>10</v>
      </c>
      <c r="C28" s="321" t="str">
        <f>C5</f>
        <v>울산 남구 달동 569-6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">
        <v>74</v>
      </c>
      <c r="N28" s="322"/>
      <c r="O28" s="322"/>
      <c r="P28" s="322"/>
      <c r="Q28" s="322"/>
      <c r="R28" s="322"/>
      <c r="S28" s="322"/>
      <c r="T28" s="322"/>
      <c r="U28" s="324"/>
    </row>
    <row r="29" spans="1:21" ht="24.95" customHeight="1" x14ac:dyDescent="0.3">
      <c r="A29" s="332"/>
      <c r="B29" s="38" t="s">
        <v>75</v>
      </c>
      <c r="C29" s="321" t="str">
        <f>C6</f>
        <v>010-8582-4285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">
        <v>66</v>
      </c>
      <c r="N29" s="322"/>
      <c r="O29" s="322"/>
      <c r="P29" s="322"/>
      <c r="Q29" s="322"/>
      <c r="R29" s="323"/>
      <c r="S29" s="38" t="s">
        <v>22</v>
      </c>
      <c r="T29" s="321" t="str">
        <f>T6</f>
        <v/>
      </c>
      <c r="U29" s="324"/>
    </row>
    <row r="30" spans="1:21" ht="15.6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42</v>
      </c>
      <c r="K30" s="326"/>
      <c r="L30" s="326"/>
      <c r="M30" s="326"/>
      <c r="N30" s="327"/>
      <c r="O30" s="326" t="s">
        <v>50</v>
      </c>
      <c r="P30" s="327"/>
      <c r="Q30" s="328" t="s">
        <v>69</v>
      </c>
      <c r="R30" s="326"/>
      <c r="S30" s="327"/>
      <c r="T30" s="328" t="s">
        <v>68</v>
      </c>
      <c r="U30" s="329"/>
    </row>
    <row r="31" spans="1:21" ht="15.6" customHeight="1" x14ac:dyDescent="0.3">
      <c r="A31" s="415" t="str">
        <f>A8</f>
        <v>VGSNAG3</v>
      </c>
      <c r="B31" s="416"/>
      <c r="C31" s="416"/>
      <c r="D31" s="416"/>
      <c r="E31" s="416"/>
      <c r="F31" s="416" t="str">
        <f>F8</f>
        <v>A7252709011-1</v>
      </c>
      <c r="G31" s="416"/>
      <c r="H31" s="416"/>
      <c r="I31" s="416"/>
      <c r="J31" s="420">
        <f>J8</f>
        <v>1300000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1300000</v>
      </c>
      <c r="U31" s="419"/>
    </row>
    <row r="32" spans="1:21" ht="15.6" customHeight="1" x14ac:dyDescent="0.3">
      <c r="A32" s="410">
        <f t="shared" ref="A32:A38" si="0">A9</f>
        <v>0</v>
      </c>
      <c r="B32" s="411"/>
      <c r="C32" s="411"/>
      <c r="D32" s="411"/>
      <c r="E32" s="411"/>
      <c r="F32" s="411">
        <f t="shared" ref="F32:F38" si="1">F9</f>
        <v>0</v>
      </c>
      <c r="G32" s="411"/>
      <c r="H32" s="411"/>
      <c r="I32" s="411"/>
      <c r="J32" s="421">
        <f t="shared" ref="J32:J38" si="2">J9</f>
        <v>0</v>
      </c>
      <c r="K32" s="421"/>
      <c r="L32" s="421"/>
      <c r="M32" s="421"/>
      <c r="N32" s="421"/>
      <c r="O32" s="421">
        <f t="shared" ref="O32:O38" si="3">O9</f>
        <v>0</v>
      </c>
      <c r="P32" s="421"/>
      <c r="Q32" s="412">
        <f t="shared" ref="Q32:Q38" si="4">Q9</f>
        <v>0</v>
      </c>
      <c r="R32" s="412"/>
      <c r="S32" s="412"/>
      <c r="T32" s="413">
        <f t="shared" ref="T32:T38" si="5">T9</f>
        <v>0</v>
      </c>
      <c r="U32" s="414"/>
    </row>
    <row r="33" spans="1:21" ht="15.6" customHeight="1" x14ac:dyDescent="0.3">
      <c r="A33" s="410">
        <f t="shared" si="0"/>
        <v>0</v>
      </c>
      <c r="B33" s="411"/>
      <c r="C33" s="411"/>
      <c r="D33" s="411"/>
      <c r="E33" s="411"/>
      <c r="F33" s="411">
        <f t="shared" si="1"/>
        <v>0</v>
      </c>
      <c r="G33" s="411"/>
      <c r="H33" s="411"/>
      <c r="I33" s="411"/>
      <c r="J33" s="421">
        <f t="shared" si="2"/>
        <v>0</v>
      </c>
      <c r="K33" s="421"/>
      <c r="L33" s="421"/>
      <c r="M33" s="421"/>
      <c r="N33" s="421"/>
      <c r="O33" s="421">
        <f t="shared" si="3"/>
        <v>0</v>
      </c>
      <c r="P33" s="421"/>
      <c r="Q33" s="412">
        <f t="shared" si="4"/>
        <v>0</v>
      </c>
      <c r="R33" s="412"/>
      <c r="S33" s="412"/>
      <c r="T33" s="413">
        <f t="shared" si="5"/>
        <v>0</v>
      </c>
      <c r="U33" s="414"/>
    </row>
    <row r="34" spans="1:21" ht="15.6" customHeight="1" x14ac:dyDescent="0.3">
      <c r="A34" s="410">
        <f t="shared" si="0"/>
        <v>0</v>
      </c>
      <c r="B34" s="411"/>
      <c r="C34" s="411"/>
      <c r="D34" s="411"/>
      <c r="E34" s="411"/>
      <c r="F34" s="411">
        <f t="shared" si="1"/>
        <v>0</v>
      </c>
      <c r="G34" s="411"/>
      <c r="H34" s="411"/>
      <c r="I34" s="411"/>
      <c r="J34" s="421">
        <f t="shared" si="2"/>
        <v>0</v>
      </c>
      <c r="K34" s="421"/>
      <c r="L34" s="421"/>
      <c r="M34" s="421"/>
      <c r="N34" s="421"/>
      <c r="O34" s="421">
        <f t="shared" si="3"/>
        <v>0</v>
      </c>
      <c r="P34" s="421"/>
      <c r="Q34" s="412">
        <f t="shared" si="4"/>
        <v>0</v>
      </c>
      <c r="R34" s="412"/>
      <c r="S34" s="412"/>
      <c r="T34" s="413">
        <f t="shared" si="5"/>
        <v>0</v>
      </c>
      <c r="U34" s="414"/>
    </row>
    <row r="35" spans="1:21" ht="15.6" customHeight="1" x14ac:dyDescent="0.3">
      <c r="A35" s="410">
        <f t="shared" si="0"/>
        <v>0</v>
      </c>
      <c r="B35" s="411"/>
      <c r="C35" s="411"/>
      <c r="D35" s="411"/>
      <c r="E35" s="411"/>
      <c r="F35" s="411">
        <f t="shared" si="1"/>
        <v>0</v>
      </c>
      <c r="G35" s="411"/>
      <c r="H35" s="411"/>
      <c r="I35" s="411"/>
      <c r="J35" s="421">
        <f t="shared" si="2"/>
        <v>0</v>
      </c>
      <c r="K35" s="421"/>
      <c r="L35" s="421"/>
      <c r="M35" s="421"/>
      <c r="N35" s="421"/>
      <c r="O35" s="421">
        <f t="shared" si="3"/>
        <v>0</v>
      </c>
      <c r="P35" s="421"/>
      <c r="Q35" s="412">
        <f t="shared" si="4"/>
        <v>0</v>
      </c>
      <c r="R35" s="412"/>
      <c r="S35" s="412"/>
      <c r="T35" s="413">
        <f t="shared" si="5"/>
        <v>0</v>
      </c>
      <c r="U35" s="414"/>
    </row>
    <row r="36" spans="1:21" ht="15.6" customHeight="1" x14ac:dyDescent="0.3">
      <c r="A36" s="410">
        <f t="shared" si="0"/>
        <v>0</v>
      </c>
      <c r="B36" s="411"/>
      <c r="C36" s="411"/>
      <c r="D36" s="411"/>
      <c r="E36" s="411"/>
      <c r="F36" s="411">
        <f t="shared" si="1"/>
        <v>0</v>
      </c>
      <c r="G36" s="411"/>
      <c r="H36" s="411"/>
      <c r="I36" s="411"/>
      <c r="J36" s="421">
        <f t="shared" si="2"/>
        <v>0</v>
      </c>
      <c r="K36" s="421"/>
      <c r="L36" s="421"/>
      <c r="M36" s="421"/>
      <c r="N36" s="421"/>
      <c r="O36" s="421">
        <f t="shared" si="3"/>
        <v>0</v>
      </c>
      <c r="P36" s="421"/>
      <c r="Q36" s="412">
        <f t="shared" si="4"/>
        <v>0</v>
      </c>
      <c r="R36" s="412"/>
      <c r="S36" s="412"/>
      <c r="T36" s="413">
        <f t="shared" si="5"/>
        <v>0</v>
      </c>
      <c r="U36" s="414"/>
    </row>
    <row r="37" spans="1:21" ht="15.6" customHeight="1" x14ac:dyDescent="0.3">
      <c r="A37" s="410">
        <f t="shared" si="0"/>
        <v>0</v>
      </c>
      <c r="B37" s="411"/>
      <c r="C37" s="411"/>
      <c r="D37" s="411"/>
      <c r="E37" s="411"/>
      <c r="F37" s="411">
        <f t="shared" si="1"/>
        <v>0</v>
      </c>
      <c r="G37" s="411"/>
      <c r="H37" s="411"/>
      <c r="I37" s="411"/>
      <c r="J37" s="421">
        <f t="shared" si="2"/>
        <v>0</v>
      </c>
      <c r="K37" s="421"/>
      <c r="L37" s="421"/>
      <c r="M37" s="421"/>
      <c r="N37" s="421"/>
      <c r="O37" s="421">
        <f t="shared" si="3"/>
        <v>0</v>
      </c>
      <c r="P37" s="421"/>
      <c r="Q37" s="412">
        <f t="shared" si="4"/>
        <v>0</v>
      </c>
      <c r="R37" s="412"/>
      <c r="S37" s="412"/>
      <c r="T37" s="413">
        <f t="shared" si="5"/>
        <v>0</v>
      </c>
      <c r="U37" s="414"/>
    </row>
    <row r="38" spans="1:21" ht="15.6" customHeight="1" thickBot="1" x14ac:dyDescent="0.35">
      <c r="A38" s="422">
        <f t="shared" si="0"/>
        <v>0</v>
      </c>
      <c r="B38" s="423"/>
      <c r="C38" s="423"/>
      <c r="D38" s="423"/>
      <c r="E38" s="423"/>
      <c r="F38" s="423">
        <f t="shared" si="1"/>
        <v>0</v>
      </c>
      <c r="G38" s="423"/>
      <c r="H38" s="423"/>
      <c r="I38" s="423"/>
      <c r="J38" s="427">
        <f t="shared" si="2"/>
        <v>0</v>
      </c>
      <c r="K38" s="427"/>
      <c r="L38" s="427"/>
      <c r="M38" s="427"/>
      <c r="N38" s="427"/>
      <c r="O38" s="427">
        <f t="shared" si="3"/>
        <v>0</v>
      </c>
      <c r="P38" s="427"/>
      <c r="Q38" s="424">
        <f t="shared" si="4"/>
        <v>0</v>
      </c>
      <c r="R38" s="424"/>
      <c r="S38" s="424"/>
      <c r="T38" s="425">
        <f t="shared" si="5"/>
        <v>0</v>
      </c>
      <c r="U38" s="426"/>
    </row>
    <row r="39" spans="1:21" ht="15" customHeight="1" thickTop="1" x14ac:dyDescent="0.3">
      <c r="A39" s="380" t="s">
        <v>2310</v>
      </c>
      <c r="B39" s="381"/>
      <c r="C39" s="381"/>
      <c r="D39" s="381"/>
      <c r="E39" s="382"/>
      <c r="F39" s="389">
        <f>F16</f>
        <v>0</v>
      </c>
      <c r="G39" s="390"/>
      <c r="H39" s="390"/>
      <c r="I39" s="390"/>
      <c r="J39" s="390"/>
      <c r="K39" s="390"/>
      <c r="L39" s="390"/>
      <c r="M39" s="390"/>
      <c r="N39" s="390"/>
      <c r="O39" s="390"/>
      <c r="P39" s="390"/>
      <c r="Q39" s="390"/>
      <c r="R39" s="390"/>
      <c r="S39" s="390"/>
      <c r="T39" s="390"/>
      <c r="U39" s="391"/>
    </row>
    <row r="40" spans="1:21" ht="15" customHeight="1" x14ac:dyDescent="0.3">
      <c r="A40" s="383"/>
      <c r="B40" s="384"/>
      <c r="C40" s="384"/>
      <c r="D40" s="384"/>
      <c r="E40" s="385"/>
      <c r="F40" s="392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4"/>
    </row>
    <row r="41" spans="1:21" ht="15" customHeight="1" x14ac:dyDescent="0.3">
      <c r="A41" s="383"/>
      <c r="B41" s="384"/>
      <c r="C41" s="384"/>
      <c r="D41" s="384"/>
      <c r="E41" s="385"/>
      <c r="F41" s="392"/>
      <c r="G41" s="393"/>
      <c r="H41" s="393"/>
      <c r="I41" s="393"/>
      <c r="J41" s="393"/>
      <c r="K41" s="393"/>
      <c r="L41" s="393"/>
      <c r="M41" s="393"/>
      <c r="N41" s="393"/>
      <c r="O41" s="393"/>
      <c r="P41" s="393"/>
      <c r="Q41" s="393"/>
      <c r="R41" s="393"/>
      <c r="S41" s="393"/>
      <c r="T41" s="393"/>
      <c r="U41" s="394"/>
    </row>
    <row r="42" spans="1:21" ht="15" customHeight="1" x14ac:dyDescent="0.3">
      <c r="A42" s="386"/>
      <c r="B42" s="387"/>
      <c r="C42" s="387"/>
      <c r="D42" s="387"/>
      <c r="E42" s="388"/>
      <c r="F42" s="395"/>
      <c r="G42" s="396"/>
      <c r="H42" s="396"/>
      <c r="I42" s="396"/>
      <c r="J42" s="396"/>
      <c r="K42" s="396"/>
      <c r="L42" s="396"/>
      <c r="M42" s="396"/>
      <c r="N42" s="396"/>
      <c r="O42" s="396"/>
      <c r="P42" s="396"/>
      <c r="Q42" s="396"/>
      <c r="R42" s="396"/>
      <c r="S42" s="396"/>
      <c r="T42" s="396"/>
      <c r="U42" s="397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404">
        <f>F20</f>
        <v>0</v>
      </c>
      <c r="G43" s="404"/>
      <c r="H43" s="404"/>
      <c r="I43" s="405"/>
      <c r="J43" s="400">
        <f>J20</f>
        <v>1300000</v>
      </c>
      <c r="K43" s="401"/>
      <c r="L43" s="401"/>
      <c r="M43" s="401"/>
      <c r="N43" s="402"/>
      <c r="O43" s="438">
        <f>O20</f>
        <v>1</v>
      </c>
      <c r="P43" s="438"/>
      <c r="Q43" s="403">
        <f>Q20</f>
        <v>0</v>
      </c>
      <c r="R43" s="404"/>
      <c r="S43" s="404"/>
      <c r="T43" s="404">
        <f>T20</f>
        <v>1300000</v>
      </c>
      <c r="U43" s="406"/>
    </row>
    <row r="44" spans="1:21" ht="20.100000000000001" customHeight="1" thickBot="1" x14ac:dyDescent="0.35">
      <c r="A44" s="428" t="s">
        <v>90</v>
      </c>
      <c r="B44" s="429"/>
      <c r="C44" s="429"/>
      <c r="D44" s="429"/>
      <c r="E44" s="429"/>
      <c r="F44" s="430">
        <f>F21</f>
        <v>1300000</v>
      </c>
      <c r="G44" s="430"/>
      <c r="H44" s="430"/>
      <c r="I44" s="431"/>
      <c r="J44" s="432" t="s">
        <v>965</v>
      </c>
      <c r="K44" s="429"/>
      <c r="L44" s="433" t="str">
        <f>T27</f>
        <v>장효주</v>
      </c>
      <c r="M44" s="433"/>
      <c r="N44" s="433"/>
      <c r="O44" s="432" t="s">
        <v>64</v>
      </c>
      <c r="P44" s="434"/>
      <c r="Q44" s="435" t="str">
        <f>Q21</f>
        <v>BMW모터스_착한정비(울산)</v>
      </c>
      <c r="R44" s="436"/>
      <c r="S44" s="436"/>
      <c r="T44" s="436"/>
      <c r="U44" s="43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1300000</v>
      </c>
      <c r="H1" s="107">
        <f>SUM(H2:H2)</f>
        <v>1</v>
      </c>
      <c r="I1" s="107">
        <f>SUM(I2:I2)</f>
        <v>0</v>
      </c>
      <c r="J1" s="107">
        <f>SUM(J2:J2)</f>
        <v>1300000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4451</v>
      </c>
      <c r="C2" s="47" t="s">
        <v>2595</v>
      </c>
      <c r="D2" s="290" t="s">
        <v>1746</v>
      </c>
      <c r="E2" t="s">
        <v>1201</v>
      </c>
      <c r="F2" s="290" t="s">
        <v>1746</v>
      </c>
      <c r="G2">
        <v>1300000</v>
      </c>
      <c r="H2">
        <v>1</v>
      </c>
      <c r="I2" s="226"/>
      <c r="J2" s="226">
        <v>1300000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366"/>
  <sheetViews>
    <sheetView workbookViewId="0">
      <pane xSplit="1" ySplit="1" topLeftCell="B2340" activePane="bottomRight" state="frozen"/>
      <selection activeCell="N26" sqref="N26"/>
      <selection pane="topRight" activeCell="N26" sqref="N26"/>
      <selection pane="bottomLeft" activeCell="N26" sqref="N26"/>
      <selection pane="bottomRight" activeCell="J2349" sqref="J2349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2367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4376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4377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4376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4377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4377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4377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4377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4377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4377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4377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4377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4377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4377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4377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4377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4377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4377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4377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4233</v>
      </c>
      <c r="D1791" s="295" t="s">
        <v>4093</v>
      </c>
      <c r="E1791" s="292" t="s">
        <v>4234</v>
      </c>
      <c r="F1791" s="269" t="s">
        <v>4235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4233</v>
      </c>
      <c r="D1792" s="295" t="s">
        <v>4093</v>
      </c>
      <c r="E1792" s="292" t="s">
        <v>4236</v>
      </c>
      <c r="F1792" s="269" t="s">
        <v>4237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4233</v>
      </c>
      <c r="D1793" s="295" t="s">
        <v>4093</v>
      </c>
      <c r="E1793" s="292" t="s">
        <v>4238</v>
      </c>
      <c r="F1793" s="269" t="s">
        <v>4239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4223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4222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4222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4222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4197</v>
      </c>
      <c r="D2121" s="295" t="s">
        <v>4093</v>
      </c>
      <c r="E2121" s="292" t="s">
        <v>4198</v>
      </c>
      <c r="F2121" s="269" t="s">
        <v>4199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4201</v>
      </c>
      <c r="D2128" s="295" t="s">
        <v>4093</v>
      </c>
      <c r="E2128" s="292" t="s">
        <v>4202</v>
      </c>
      <c r="F2128" s="269" t="s">
        <v>4203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4266</v>
      </c>
      <c r="E2161" s="292" t="s">
        <v>4267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4196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4200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4320</v>
      </c>
      <c r="E2165" s="292" t="s">
        <v>4321</v>
      </c>
      <c r="F2165" s="269" t="s">
        <v>4322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4246</v>
      </c>
      <c r="D2167" s="295" t="s">
        <v>4247</v>
      </c>
      <c r="E2167" s="292" t="s">
        <v>4248</v>
      </c>
      <c r="F2167" s="269" t="s">
        <v>4249</v>
      </c>
      <c r="G2167" s="265">
        <v>50000</v>
      </c>
      <c r="H2167" s="269">
        <v>1</v>
      </c>
      <c r="M2167" s="292" t="s">
        <v>4210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4211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4211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4218</v>
      </c>
      <c r="E2170" s="292" t="s">
        <v>4219</v>
      </c>
      <c r="F2170" s="269" t="s">
        <v>4220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4217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4221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4226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4230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4240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4241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4250</v>
      </c>
      <c r="E2199" s="292" t="s">
        <v>4251</v>
      </c>
      <c r="F2199" s="269" t="s">
        <v>4252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4253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4255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4258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4262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4263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4268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4270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4196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4278</v>
      </c>
      <c r="E2218" s="292" t="s">
        <v>4279</v>
      </c>
      <c r="F2218" s="269" t="s">
        <v>4280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4277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4281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4282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4290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4292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4298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4299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4300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4301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4302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4385</v>
      </c>
      <c r="E2245" s="292" t="s">
        <v>4386</v>
      </c>
      <c r="F2245" s="269" t="s">
        <v>4387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4385</v>
      </c>
      <c r="E2246" s="292" t="s">
        <v>4388</v>
      </c>
      <c r="F2246" s="269" t="s">
        <v>4389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4310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4319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4317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4314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4204</v>
      </c>
      <c r="E2255" s="292" t="s">
        <v>4323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4324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4325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4328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4332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4334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4340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4341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4342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4343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4371</v>
      </c>
      <c r="E2279" s="292" t="s">
        <v>4372</v>
      </c>
      <c r="F2279" s="269" t="s">
        <v>4373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4348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4353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4355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4362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4375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4367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4367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4367</v>
      </c>
      <c r="E2311" s="292" t="s">
        <v>4383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4461</v>
      </c>
      <c r="E2313" s="292" t="s">
        <v>4462</v>
      </c>
      <c r="F2313" s="269" t="s">
        <v>4463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4303</v>
      </c>
      <c r="E2314" s="292" t="s">
        <v>4390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4391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4392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4408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4413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4299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4340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4362</v>
      </c>
      <c r="E2334" s="292" t="s">
        <v>4418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4136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3953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3535</v>
      </c>
      <c r="E2339" s="292" t="s">
        <v>3457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4429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4430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4432</v>
      </c>
    </row>
    <row r="2343" spans="1:13" x14ac:dyDescent="0.3">
      <c r="A2343" s="58">
        <v>2343</v>
      </c>
      <c r="B2343" s="264">
        <v>45985</v>
      </c>
      <c r="C2343" s="292" t="s">
        <v>4461</v>
      </c>
      <c r="E2343" s="292" t="s">
        <v>4464</v>
      </c>
      <c r="F2343" s="269" t="s">
        <v>4465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4466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4436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4438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4440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4277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4300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3535</v>
      </c>
      <c r="E2354" s="292" t="s">
        <v>4443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4445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4282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3810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4317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4453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4460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3842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4453</v>
      </c>
      <c r="E2365" s="292" t="s">
        <v>4459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4396</v>
      </c>
    </row>
    <row r="4" spans="1:1" x14ac:dyDescent="0.3">
      <c r="A4" s="306" t="s">
        <v>4398</v>
      </c>
    </row>
    <row r="5" spans="1:1" x14ac:dyDescent="0.3">
      <c r="A5" s="306" t="s">
        <v>4399</v>
      </c>
    </row>
    <row r="6" spans="1:1" x14ac:dyDescent="0.3">
      <c r="A6" s="306" t="s">
        <v>4400</v>
      </c>
    </row>
    <row r="7" spans="1:1" x14ac:dyDescent="0.3">
      <c r="A7" s="306" t="s">
        <v>4401</v>
      </c>
    </row>
    <row r="8" spans="1:1" x14ac:dyDescent="0.3">
      <c r="A8" s="306" t="s">
        <v>4402</v>
      </c>
    </row>
    <row r="9" spans="1:1" x14ac:dyDescent="0.3">
      <c r="A9" s="306" t="s">
        <v>4403</v>
      </c>
    </row>
    <row r="10" spans="1:1" x14ac:dyDescent="0.3">
      <c r="A10" s="306" t="s">
        <v>4404</v>
      </c>
    </row>
    <row r="11" spans="1:1" x14ac:dyDescent="0.3">
      <c r="A11" s="306" t="s">
        <v>4405</v>
      </c>
    </row>
    <row r="12" spans="1:1" x14ac:dyDescent="0.3">
      <c r="A12" s="306" t="s">
        <v>4406</v>
      </c>
    </row>
    <row r="13" spans="1:1" x14ac:dyDescent="0.3">
      <c r="A13" s="306" t="s">
        <v>4407</v>
      </c>
    </row>
    <row r="14" spans="1:1" x14ac:dyDescent="0.3">
      <c r="A14" s="306" t="s">
        <v>4397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B212" sqref="B212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45986</v>
      </c>
      <c r="B3" s="235" t="s">
        <v>1126</v>
      </c>
      <c r="C3" s="286">
        <f>SUMIF($B:$B,A3,I:I)</f>
        <v>6090000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6038002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121616001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1535</v>
      </c>
      <c r="D9" s="112" t="s">
        <v>3775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1393</v>
      </c>
      <c r="D10" s="112" t="s">
        <v>3770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1571</v>
      </c>
      <c r="D11" s="112" t="s">
        <v>4169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1716</v>
      </c>
      <c r="D12" s="112" t="s">
        <v>1201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1799</v>
      </c>
      <c r="D13" s="112" t="s">
        <v>4024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1799</v>
      </c>
      <c r="D14" s="112" t="s">
        <v>2174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3899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2084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2189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1438</v>
      </c>
      <c r="D19" s="112" t="s">
        <v>1555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1389</v>
      </c>
      <c r="D20" s="112" t="s">
        <v>1203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1393</v>
      </c>
      <c r="D21" s="112" t="s">
        <v>2031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1438</v>
      </c>
      <c r="D22" s="112" t="s">
        <v>4180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1389</v>
      </c>
      <c r="D23" s="112" t="s">
        <v>4181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3194</v>
      </c>
      <c r="D24" s="112" t="s">
        <v>4182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4183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2251</v>
      </c>
      <c r="D26" s="112" t="s">
        <v>4184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2460</v>
      </c>
      <c r="D27" s="112" t="s">
        <v>1711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1438</v>
      </c>
      <c r="D28" s="112" t="s">
        <v>2179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1438</v>
      </c>
      <c r="D29" s="112" t="s">
        <v>2833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3966</v>
      </c>
      <c r="D30" s="112" t="s">
        <v>2311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3966</v>
      </c>
      <c r="D31" s="112" t="s">
        <v>1499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1535</v>
      </c>
      <c r="D32" s="112" t="s">
        <v>1737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2460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1925</v>
      </c>
      <c r="D34" s="113" t="s">
        <v>3117</v>
      </c>
      <c r="F34" s="120">
        <v>1600000</v>
      </c>
      <c r="G34" s="85">
        <v>1</v>
      </c>
      <c r="H34" s="126" t="s">
        <v>2993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1171</v>
      </c>
      <c r="D35" s="113" t="s">
        <v>4194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3966</v>
      </c>
      <c r="D36" s="113" t="s">
        <v>4196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1372</v>
      </c>
      <c r="D37" s="113" t="s">
        <v>4200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4204</v>
      </c>
      <c r="D38" s="113" t="s">
        <v>2173</v>
      </c>
      <c r="F38" s="120">
        <v>1500000</v>
      </c>
      <c r="G38" s="85">
        <v>1</v>
      </c>
      <c r="H38" s="126" t="s">
        <v>2900</v>
      </c>
      <c r="I38" s="80">
        <v>1650000</v>
      </c>
    </row>
    <row r="39" spans="1:10" ht="18" customHeight="1" x14ac:dyDescent="0.3">
      <c r="A39" s="82">
        <v>2166</v>
      </c>
      <c r="B39" s="93">
        <v>45966</v>
      </c>
      <c r="C39" s="83" t="s">
        <v>1574</v>
      </c>
      <c r="D39" s="113" t="s">
        <v>2173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1574</v>
      </c>
      <c r="D40" s="113" t="s">
        <v>2174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1300</v>
      </c>
      <c r="D41" s="113" t="s">
        <v>4211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1716</v>
      </c>
      <c r="D42" s="112" t="s">
        <v>4211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2862</v>
      </c>
      <c r="D43" s="112" t="s">
        <v>1201</v>
      </c>
      <c r="E43" s="79"/>
      <c r="F43" s="224">
        <v>1200000</v>
      </c>
      <c r="G43" s="85">
        <v>1</v>
      </c>
      <c r="H43" s="128" t="s">
        <v>2965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2195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2673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2176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2171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4183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1888</v>
      </c>
      <c r="D49" s="113" t="s">
        <v>4217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2862</v>
      </c>
      <c r="D50" s="113" t="s">
        <v>4221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1741</v>
      </c>
      <c r="D51" s="113" t="s">
        <v>3774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3810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1716</v>
      </c>
      <c r="D53" s="113" t="s">
        <v>2283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1665</v>
      </c>
      <c r="D54" s="113" t="s">
        <v>1203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2009</v>
      </c>
      <c r="D55" s="113" t="s">
        <v>4226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2403</v>
      </c>
      <c r="D56" s="113" t="s">
        <v>2190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2595</v>
      </c>
      <c r="D57" s="113" t="s">
        <v>1711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2009</v>
      </c>
      <c r="D58" s="113" t="s">
        <v>4230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1741</v>
      </c>
      <c r="D59" s="113" t="s">
        <v>3951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1741</v>
      </c>
      <c r="D60" s="113" t="s">
        <v>2181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1741</v>
      </c>
      <c r="D61" s="113" t="s">
        <v>2183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1799</v>
      </c>
      <c r="D62" s="113" t="s">
        <v>2185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1716</v>
      </c>
      <c r="D63" s="113" t="s">
        <v>4240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1300</v>
      </c>
      <c r="D64" s="113" t="s">
        <v>4164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4031</v>
      </c>
      <c r="D65" s="113" t="s">
        <v>4241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2018</v>
      </c>
      <c r="D66" s="113" t="s">
        <v>2283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4031</v>
      </c>
      <c r="D67" s="113" t="s">
        <v>1794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2018</v>
      </c>
      <c r="D68" s="113" t="s">
        <v>1794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1665</v>
      </c>
      <c r="D69" s="113" t="s">
        <v>1794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1574</v>
      </c>
      <c r="D70" s="113" t="s">
        <v>1201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1574</v>
      </c>
      <c r="D71" s="113" t="s">
        <v>1699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2285</v>
      </c>
      <c r="D72" s="113" t="s">
        <v>2021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2285</v>
      </c>
      <c r="D73" s="113" t="s">
        <v>4253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1784</v>
      </c>
      <c r="D74" s="113" t="s">
        <v>4129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1535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2489</v>
      </c>
      <c r="D76" s="113" t="s">
        <v>1913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2283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4258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1438</v>
      </c>
      <c r="D79" s="113" t="s">
        <v>3457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1438</v>
      </c>
      <c r="D80" s="113" t="s">
        <v>2183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1716</v>
      </c>
      <c r="D81" s="113" t="s">
        <v>1543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2358</v>
      </c>
      <c r="D82" s="113" t="s">
        <v>4262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2358</v>
      </c>
      <c r="D83" s="113" t="s">
        <v>4263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3890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1925</v>
      </c>
      <c r="D85" s="113" t="s">
        <v>4268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1925</v>
      </c>
      <c r="D86" s="113" t="s">
        <v>3930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1864</v>
      </c>
      <c r="D87" s="113" t="s">
        <v>2292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1864</v>
      </c>
      <c r="D88" s="113" t="s">
        <v>4196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2403</v>
      </c>
      <c r="D89" s="113" t="s">
        <v>1794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3194</v>
      </c>
      <c r="D90" s="113" t="s">
        <v>2283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1232</v>
      </c>
      <c r="D91" s="113" t="s">
        <v>1203</v>
      </c>
      <c r="F91" s="120">
        <v>1200000</v>
      </c>
      <c r="G91" s="85">
        <v>1</v>
      </c>
      <c r="H91" s="126" t="s">
        <v>2965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1841</v>
      </c>
      <c r="D92" s="113" t="s">
        <v>2792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1201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4277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1232</v>
      </c>
      <c r="D95" s="113" t="s">
        <v>4281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2489</v>
      </c>
      <c r="D96" s="113" t="s">
        <v>4282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1784</v>
      </c>
      <c r="D97" s="113" t="s">
        <v>3951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1716</v>
      </c>
      <c r="D98" s="113" t="s">
        <v>1260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1225</v>
      </c>
      <c r="D99" s="113" t="s">
        <v>2173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3282</v>
      </c>
      <c r="D100" s="113" t="s">
        <v>2173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3587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2603</v>
      </c>
      <c r="D102" s="113" t="s">
        <v>1699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2765</v>
      </c>
      <c r="D103" s="113" t="s">
        <v>1737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1385</v>
      </c>
      <c r="D104" s="113" t="s">
        <v>2189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2603</v>
      </c>
      <c r="D105" s="113" t="s">
        <v>4298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2765</v>
      </c>
      <c r="D106" s="113" t="s">
        <v>4299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3282</v>
      </c>
      <c r="D107" s="113" t="s">
        <v>4300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1225</v>
      </c>
      <c r="D108" s="113" t="s">
        <v>4301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4183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2358</v>
      </c>
      <c r="D110" s="113" t="s">
        <v>4302</v>
      </c>
      <c r="F110" s="80"/>
      <c r="G110" s="120"/>
      <c r="J110" s="80">
        <v>-1200000</v>
      </c>
    </row>
    <row r="111" spans="1:10" ht="18" customHeight="1" x14ac:dyDescent="0.3">
      <c r="A111" s="82">
        <v>2238</v>
      </c>
      <c r="B111" s="93">
        <v>45974</v>
      </c>
      <c r="C111" s="83" t="s">
        <v>2909</v>
      </c>
      <c r="D111" s="113" t="s">
        <v>2130</v>
      </c>
      <c r="F111" s="80">
        <v>1600000</v>
      </c>
      <c r="G111" s="120">
        <v>1</v>
      </c>
      <c r="I111" s="80">
        <v>1600000</v>
      </c>
    </row>
    <row r="112" spans="1:10" ht="18" customHeight="1" x14ac:dyDescent="0.3">
      <c r="A112" s="82">
        <v>2239</v>
      </c>
      <c r="B112" s="93">
        <v>45974</v>
      </c>
      <c r="C112" s="83" t="s">
        <v>2254</v>
      </c>
      <c r="D112" s="113" t="s">
        <v>2084</v>
      </c>
      <c r="F112" s="80">
        <v>500000</v>
      </c>
      <c r="G112" s="120">
        <v>1</v>
      </c>
      <c r="I112" s="80">
        <v>500000</v>
      </c>
    </row>
    <row r="113" spans="1:10" ht="18" customHeight="1" x14ac:dyDescent="0.3">
      <c r="A113" s="82">
        <v>2240</v>
      </c>
      <c r="B113" s="93">
        <v>45974</v>
      </c>
      <c r="C113" s="83" t="s">
        <v>1018</v>
      </c>
      <c r="D113" s="113" t="s">
        <v>3457</v>
      </c>
      <c r="F113" s="80">
        <v>530000</v>
      </c>
      <c r="G113" s="120">
        <v>1</v>
      </c>
      <c r="I113" s="80">
        <v>530000</v>
      </c>
    </row>
    <row r="114" spans="1:10" ht="18" customHeight="1" x14ac:dyDescent="0.3">
      <c r="A114" s="82">
        <v>2241</v>
      </c>
      <c r="B114" s="93">
        <v>45974</v>
      </c>
      <c r="C114" s="83" t="s">
        <v>1018</v>
      </c>
      <c r="D114" s="113" t="s">
        <v>2181</v>
      </c>
      <c r="F114" s="80">
        <v>130000</v>
      </c>
      <c r="G114" s="120">
        <v>1</v>
      </c>
      <c r="I114" s="80">
        <v>130000</v>
      </c>
    </row>
    <row r="115" spans="1:10" ht="18" customHeight="1" x14ac:dyDescent="0.3">
      <c r="A115" s="82">
        <v>2242</v>
      </c>
      <c r="B115" s="93">
        <v>45974</v>
      </c>
      <c r="C115" s="83" t="s">
        <v>1018</v>
      </c>
      <c r="D115" s="113" t="s">
        <v>2185</v>
      </c>
      <c r="F115" s="80">
        <v>10000</v>
      </c>
      <c r="G115" s="120">
        <v>2</v>
      </c>
      <c r="I115" s="80">
        <v>20000</v>
      </c>
    </row>
    <row r="116" spans="1:10" ht="18" customHeight="1" x14ac:dyDescent="0.3">
      <c r="A116" s="82">
        <v>2243</v>
      </c>
      <c r="B116" s="93">
        <v>45974</v>
      </c>
      <c r="C116" s="83" t="s">
        <v>1018</v>
      </c>
      <c r="D116" s="113" t="s">
        <v>2184</v>
      </c>
      <c r="F116" s="80">
        <v>35000</v>
      </c>
      <c r="G116" s="120">
        <v>1</v>
      </c>
      <c r="I116" s="80">
        <v>35000</v>
      </c>
    </row>
    <row r="117" spans="1:10" ht="18" customHeight="1" x14ac:dyDescent="0.3">
      <c r="A117" s="82">
        <v>2244</v>
      </c>
      <c r="B117" s="93">
        <v>45974</v>
      </c>
      <c r="C117" s="83" t="s">
        <v>1018</v>
      </c>
      <c r="D117" s="113" t="s">
        <v>2183</v>
      </c>
      <c r="F117" s="80">
        <v>70000</v>
      </c>
      <c r="G117" s="120">
        <v>1</v>
      </c>
      <c r="I117" s="80">
        <v>70000</v>
      </c>
    </row>
    <row r="118" spans="1:10" ht="18" customHeight="1" x14ac:dyDescent="0.3">
      <c r="A118" s="82">
        <v>2245</v>
      </c>
      <c r="B118" s="93">
        <v>45974</v>
      </c>
      <c r="C118" s="83" t="s">
        <v>4303</v>
      </c>
      <c r="D118" s="113" t="s">
        <v>1201</v>
      </c>
      <c r="F118" s="80">
        <v>1300000</v>
      </c>
      <c r="G118" s="120">
        <v>1</v>
      </c>
      <c r="H118" s="126">
        <v>130000</v>
      </c>
      <c r="I118" s="80">
        <v>1430000</v>
      </c>
    </row>
    <row r="119" spans="1:10" ht="18" customHeight="1" x14ac:dyDescent="0.3">
      <c r="A119" s="82">
        <v>2246</v>
      </c>
      <c r="B119" s="93">
        <v>45974</v>
      </c>
      <c r="C119" s="83" t="s">
        <v>4303</v>
      </c>
      <c r="D119" s="113" t="s">
        <v>2377</v>
      </c>
      <c r="F119" s="80">
        <v>700000</v>
      </c>
      <c r="G119" s="120">
        <v>1</v>
      </c>
      <c r="H119" s="126">
        <v>70000</v>
      </c>
      <c r="I119" s="80">
        <v>770000</v>
      </c>
    </row>
    <row r="120" spans="1:10" ht="18" customHeight="1" x14ac:dyDescent="0.3">
      <c r="A120" s="82">
        <v>2247</v>
      </c>
      <c r="B120" s="93">
        <v>45974</v>
      </c>
      <c r="C120" s="83" t="s">
        <v>1015</v>
      </c>
      <c r="D120" s="113" t="s">
        <v>4310</v>
      </c>
      <c r="F120" s="80">
        <v>1090910</v>
      </c>
      <c r="G120" s="120">
        <v>1</v>
      </c>
      <c r="H120" s="126">
        <v>109091</v>
      </c>
      <c r="I120" s="80">
        <v>1200001</v>
      </c>
    </row>
    <row r="121" spans="1:10" ht="18" customHeight="1" x14ac:dyDescent="0.3">
      <c r="A121" s="82">
        <v>2248</v>
      </c>
      <c r="B121" s="93">
        <v>45974</v>
      </c>
      <c r="C121" s="83" t="s">
        <v>1015</v>
      </c>
      <c r="D121" s="113">
        <v>-1</v>
      </c>
      <c r="F121" s="80">
        <v>-1</v>
      </c>
      <c r="G121" s="120">
        <v>1</v>
      </c>
      <c r="I121" s="80">
        <v>-1</v>
      </c>
    </row>
    <row r="122" spans="1:10" ht="18" customHeight="1" x14ac:dyDescent="0.3">
      <c r="A122" s="82">
        <v>2249</v>
      </c>
      <c r="B122" s="93">
        <v>45974</v>
      </c>
      <c r="C122" s="83" t="s">
        <v>1053</v>
      </c>
      <c r="D122" s="113" t="s">
        <v>1203</v>
      </c>
      <c r="F122" s="120">
        <v>1900000</v>
      </c>
      <c r="G122" s="85">
        <v>1</v>
      </c>
      <c r="I122" s="80">
        <v>1900000</v>
      </c>
    </row>
    <row r="123" spans="1:10" ht="18" customHeight="1" x14ac:dyDescent="0.3">
      <c r="A123" s="82">
        <v>2250</v>
      </c>
      <c r="B123" s="93">
        <v>45974</v>
      </c>
      <c r="C123" s="83" t="s">
        <v>1925</v>
      </c>
      <c r="D123" s="113" t="s">
        <v>3930</v>
      </c>
      <c r="J123" s="80">
        <v>-1760000</v>
      </c>
    </row>
    <row r="124" spans="1:10" ht="18" customHeight="1" x14ac:dyDescent="0.3">
      <c r="A124" s="82">
        <v>2251</v>
      </c>
      <c r="B124" s="93">
        <v>45974</v>
      </c>
      <c r="C124" s="83" t="s">
        <v>1461</v>
      </c>
      <c r="D124" s="113" t="s">
        <v>4319</v>
      </c>
      <c r="J124" s="80">
        <v>-4075000</v>
      </c>
    </row>
    <row r="125" spans="1:10" ht="18" customHeight="1" x14ac:dyDescent="0.3">
      <c r="A125" s="82">
        <v>2252</v>
      </c>
      <c r="B125" s="93">
        <v>45974</v>
      </c>
      <c r="C125" s="83" t="s">
        <v>3194</v>
      </c>
      <c r="D125" s="113" t="s">
        <v>4182</v>
      </c>
      <c r="J125" s="80">
        <v>-1700000</v>
      </c>
    </row>
    <row r="126" spans="1:10" ht="18" customHeight="1" x14ac:dyDescent="0.3">
      <c r="A126" s="82">
        <v>2253</v>
      </c>
      <c r="B126" s="93">
        <v>45974</v>
      </c>
      <c r="C126" s="83" t="s">
        <v>1385</v>
      </c>
      <c r="D126" s="113" t="s">
        <v>4317</v>
      </c>
      <c r="J126" s="80">
        <v>-1600000</v>
      </c>
    </row>
    <row r="127" spans="1:10" ht="18" customHeight="1" x14ac:dyDescent="0.3">
      <c r="A127" s="82">
        <v>2254</v>
      </c>
      <c r="B127" s="93">
        <v>45974</v>
      </c>
      <c r="C127" s="83" t="s">
        <v>2909</v>
      </c>
      <c r="D127" s="113" t="s">
        <v>4314</v>
      </c>
      <c r="J127" s="80">
        <v>-1600000</v>
      </c>
    </row>
    <row r="128" spans="1:10" ht="18" customHeight="1" x14ac:dyDescent="0.3">
      <c r="A128" s="82">
        <v>2255</v>
      </c>
      <c r="B128" s="93">
        <v>45974</v>
      </c>
      <c r="C128" s="83" t="s">
        <v>4204</v>
      </c>
      <c r="D128" s="113" t="s">
        <v>4323</v>
      </c>
      <c r="J128" s="80">
        <v>-1650000</v>
      </c>
    </row>
    <row r="129" spans="1:10" ht="18" customHeight="1" x14ac:dyDescent="0.3">
      <c r="A129" s="82">
        <v>2256</v>
      </c>
      <c r="B129" s="93">
        <v>45974</v>
      </c>
      <c r="C129" s="83" t="s">
        <v>2254</v>
      </c>
      <c r="D129" s="113" t="s">
        <v>4324</v>
      </c>
      <c r="J129" s="80">
        <v>-500000</v>
      </c>
    </row>
    <row r="130" spans="1:10" ht="18" customHeight="1" x14ac:dyDescent="0.3">
      <c r="A130" s="82">
        <v>2257</v>
      </c>
      <c r="B130" s="93">
        <v>45974</v>
      </c>
      <c r="C130" s="83" t="s">
        <v>1463</v>
      </c>
      <c r="D130" s="113" t="s">
        <v>4325</v>
      </c>
      <c r="F130" s="120">
        <v>150000</v>
      </c>
      <c r="G130" s="85">
        <v>1</v>
      </c>
      <c r="I130" s="80">
        <v>150000</v>
      </c>
    </row>
    <row r="131" spans="1:10" ht="18" customHeight="1" x14ac:dyDescent="0.3">
      <c r="A131" s="82">
        <v>2258</v>
      </c>
      <c r="B131" s="93">
        <v>45975</v>
      </c>
      <c r="C131" s="83" t="s">
        <v>1574</v>
      </c>
      <c r="D131" s="113" t="s">
        <v>1260</v>
      </c>
      <c r="F131" s="120">
        <v>50000</v>
      </c>
      <c r="G131" s="85">
        <v>1</v>
      </c>
      <c r="H131" s="126">
        <v>5000</v>
      </c>
      <c r="I131" s="80">
        <v>55000</v>
      </c>
    </row>
    <row r="132" spans="1:10" ht="18" customHeight="1" x14ac:dyDescent="0.3">
      <c r="A132" s="82">
        <v>2259</v>
      </c>
      <c r="B132" s="93">
        <v>45975</v>
      </c>
      <c r="C132" s="83" t="s">
        <v>1716</v>
      </c>
      <c r="D132" s="113" t="s">
        <v>2173</v>
      </c>
      <c r="F132" s="120">
        <v>1500000</v>
      </c>
      <c r="G132" s="85">
        <v>1</v>
      </c>
      <c r="I132" s="80">
        <v>1500000</v>
      </c>
    </row>
    <row r="133" spans="1:10" ht="18" customHeight="1" x14ac:dyDescent="0.3">
      <c r="A133" s="82">
        <v>2260</v>
      </c>
      <c r="B133" s="93">
        <v>45975</v>
      </c>
      <c r="C133" s="83" t="s">
        <v>1590</v>
      </c>
      <c r="D133" s="113" t="s">
        <v>3457</v>
      </c>
      <c r="F133" s="120">
        <v>550000</v>
      </c>
      <c r="G133" s="85">
        <v>1</v>
      </c>
      <c r="I133" s="80">
        <v>550000</v>
      </c>
    </row>
    <row r="134" spans="1:10" ht="18" customHeight="1" x14ac:dyDescent="0.3">
      <c r="A134" s="82">
        <v>2261</v>
      </c>
      <c r="B134" s="93">
        <v>45975</v>
      </c>
      <c r="C134" s="83" t="s">
        <v>1590</v>
      </c>
      <c r="D134" s="113" t="s">
        <v>2183</v>
      </c>
      <c r="F134" s="120">
        <v>75000</v>
      </c>
      <c r="G134" s="85">
        <v>1</v>
      </c>
      <c r="I134" s="80">
        <v>75000</v>
      </c>
    </row>
    <row r="135" spans="1:10" ht="18" customHeight="1" x14ac:dyDescent="0.3">
      <c r="A135" s="82">
        <v>2262</v>
      </c>
      <c r="B135" s="93">
        <v>45975</v>
      </c>
      <c r="C135" s="83" t="s">
        <v>1590</v>
      </c>
      <c r="D135" s="113" t="s">
        <v>2184</v>
      </c>
      <c r="F135" s="120">
        <v>35000</v>
      </c>
      <c r="G135" s="85">
        <v>1</v>
      </c>
      <c r="I135" s="80">
        <v>35000</v>
      </c>
    </row>
    <row r="136" spans="1:10" ht="18" customHeight="1" x14ac:dyDescent="0.3">
      <c r="A136" s="82">
        <v>2263</v>
      </c>
      <c r="B136" s="93">
        <v>45975</v>
      </c>
      <c r="C136" s="83" t="s">
        <v>3282</v>
      </c>
      <c r="D136" s="113" t="s">
        <v>2194</v>
      </c>
      <c r="F136" s="120">
        <v>200000</v>
      </c>
      <c r="G136" s="85">
        <v>1</v>
      </c>
      <c r="I136" s="80">
        <v>200000</v>
      </c>
    </row>
    <row r="137" spans="1:10" ht="18" customHeight="1" x14ac:dyDescent="0.3">
      <c r="A137" s="82">
        <v>2264</v>
      </c>
      <c r="B137" s="93">
        <v>45975</v>
      </c>
      <c r="C137" s="83" t="s">
        <v>1448</v>
      </c>
      <c r="D137" s="113" t="s">
        <v>1490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2265</v>
      </c>
      <c r="B138" s="93">
        <v>45975</v>
      </c>
      <c r="C138" s="83" t="s">
        <v>1018</v>
      </c>
      <c r="D138" s="113" t="s">
        <v>4258</v>
      </c>
      <c r="F138" s="120">
        <v>374000</v>
      </c>
      <c r="G138" s="85">
        <v>1</v>
      </c>
      <c r="I138" s="80">
        <v>374000</v>
      </c>
    </row>
    <row r="139" spans="1:10" ht="18" customHeight="1" x14ac:dyDescent="0.3">
      <c r="A139" s="82">
        <v>2266</v>
      </c>
      <c r="B139" s="93">
        <v>45975</v>
      </c>
      <c r="C139" s="83" t="s">
        <v>1300</v>
      </c>
      <c r="D139" s="113" t="s">
        <v>2912</v>
      </c>
      <c r="F139" s="120">
        <v>550000</v>
      </c>
      <c r="G139" s="85">
        <v>1</v>
      </c>
      <c r="I139" s="80">
        <v>550000</v>
      </c>
    </row>
    <row r="140" spans="1:10" ht="18" customHeight="1" x14ac:dyDescent="0.3">
      <c r="A140" s="82">
        <v>2267</v>
      </c>
      <c r="B140" s="93">
        <v>45975</v>
      </c>
      <c r="C140" s="83" t="s">
        <v>3194</v>
      </c>
      <c r="D140" s="113" t="s">
        <v>2084</v>
      </c>
      <c r="F140" s="120">
        <v>400000</v>
      </c>
      <c r="G140" s="85">
        <v>1</v>
      </c>
      <c r="I140" s="80">
        <v>400000</v>
      </c>
    </row>
    <row r="141" spans="1:10" ht="18" customHeight="1" x14ac:dyDescent="0.3">
      <c r="A141" s="82">
        <v>2268</v>
      </c>
      <c r="B141" s="93">
        <v>45975</v>
      </c>
      <c r="C141" s="83" t="s">
        <v>1864</v>
      </c>
      <c r="D141" s="113" t="s">
        <v>2798</v>
      </c>
      <c r="F141" s="120">
        <v>400000</v>
      </c>
      <c r="G141" s="85">
        <v>1</v>
      </c>
      <c r="H141" s="126">
        <v>40000</v>
      </c>
      <c r="I141" s="80">
        <v>440000</v>
      </c>
    </row>
    <row r="142" spans="1:10" ht="18" customHeight="1" x14ac:dyDescent="0.3">
      <c r="A142" s="82">
        <v>2269</v>
      </c>
      <c r="B142" s="93">
        <v>45975</v>
      </c>
      <c r="C142" s="83" t="s">
        <v>1864</v>
      </c>
      <c r="D142" s="113" t="s">
        <v>2174</v>
      </c>
      <c r="F142" s="120">
        <v>70000</v>
      </c>
      <c r="G142" s="85">
        <v>1</v>
      </c>
      <c r="H142" s="126">
        <v>7000</v>
      </c>
      <c r="I142" s="80">
        <v>77000</v>
      </c>
    </row>
    <row r="143" spans="1:10" ht="18" customHeight="1" x14ac:dyDescent="0.3">
      <c r="A143" s="82">
        <v>2270</v>
      </c>
      <c r="B143" s="93">
        <v>45975</v>
      </c>
      <c r="C143" s="83" t="s">
        <v>1461</v>
      </c>
      <c r="D143" s="113" t="s">
        <v>2190</v>
      </c>
      <c r="F143" s="120">
        <v>1000000</v>
      </c>
      <c r="G143" s="85">
        <v>1</v>
      </c>
      <c r="H143" s="126">
        <v>100000</v>
      </c>
      <c r="I143" s="80">
        <v>1100000</v>
      </c>
    </row>
    <row r="144" spans="1:10" ht="18" customHeight="1" x14ac:dyDescent="0.3">
      <c r="A144" s="82">
        <v>2271</v>
      </c>
      <c r="B144" s="93">
        <v>45975</v>
      </c>
      <c r="C144" s="83" t="s">
        <v>1864</v>
      </c>
      <c r="D144" s="113" t="s">
        <v>3828</v>
      </c>
      <c r="J144" s="80">
        <v>-517000</v>
      </c>
    </row>
    <row r="145" spans="1:10" ht="18" customHeight="1" x14ac:dyDescent="0.3">
      <c r="A145" s="82">
        <v>2272</v>
      </c>
      <c r="B145" s="93">
        <v>45975</v>
      </c>
      <c r="C145" s="83" t="s">
        <v>3282</v>
      </c>
      <c r="D145" s="113" t="s">
        <v>4340</v>
      </c>
      <c r="J145" s="80">
        <v>-200000</v>
      </c>
    </row>
    <row r="146" spans="1:10" ht="18" customHeight="1" x14ac:dyDescent="0.3">
      <c r="A146" s="82">
        <v>2273</v>
      </c>
      <c r="B146" s="93">
        <v>45975</v>
      </c>
      <c r="C146" s="83" t="s">
        <v>1448</v>
      </c>
      <c r="D146" s="113" t="s">
        <v>4341</v>
      </c>
      <c r="J146" s="80">
        <v>-200000</v>
      </c>
    </row>
    <row r="147" spans="1:10" ht="18" customHeight="1" x14ac:dyDescent="0.3">
      <c r="A147" s="82">
        <v>2274</v>
      </c>
      <c r="B147" s="93">
        <v>45975</v>
      </c>
      <c r="C147" s="83" t="s">
        <v>2595</v>
      </c>
      <c r="D147" s="113" t="s">
        <v>4342</v>
      </c>
      <c r="J147" s="80">
        <v>-300000</v>
      </c>
    </row>
    <row r="148" spans="1:10" ht="18" customHeight="1" x14ac:dyDescent="0.3">
      <c r="A148" s="82">
        <v>2275</v>
      </c>
      <c r="B148" s="93">
        <v>45975</v>
      </c>
      <c r="C148" s="83" t="s">
        <v>1300</v>
      </c>
      <c r="D148" s="113" t="s">
        <v>4343</v>
      </c>
      <c r="J148" s="80">
        <v>-550000</v>
      </c>
    </row>
    <row r="149" spans="1:10" ht="18" customHeight="1" x14ac:dyDescent="0.3">
      <c r="A149" s="82">
        <v>2276</v>
      </c>
      <c r="B149" s="93">
        <v>45978</v>
      </c>
      <c r="C149" s="83" t="s">
        <v>1841</v>
      </c>
      <c r="D149" s="113" t="s">
        <v>3457</v>
      </c>
      <c r="F149" s="120">
        <v>540000</v>
      </c>
      <c r="G149" s="85">
        <v>1</v>
      </c>
      <c r="I149" s="80">
        <v>540000</v>
      </c>
    </row>
    <row r="150" spans="1:10" ht="18" customHeight="1" x14ac:dyDescent="0.3">
      <c r="A150" s="82">
        <v>2277</v>
      </c>
      <c r="B150" s="93">
        <v>45978</v>
      </c>
      <c r="C150" s="83" t="s">
        <v>1841</v>
      </c>
      <c r="D150" s="113" t="s">
        <v>2181</v>
      </c>
      <c r="F150" s="120">
        <v>130000</v>
      </c>
      <c r="G150" s="85">
        <v>1</v>
      </c>
      <c r="I150" s="80">
        <v>130000</v>
      </c>
    </row>
    <row r="151" spans="1:10" ht="18" customHeight="1" x14ac:dyDescent="0.3">
      <c r="A151" s="82">
        <v>2278</v>
      </c>
      <c r="B151" s="93">
        <v>45978</v>
      </c>
      <c r="C151" s="83" t="s">
        <v>1841</v>
      </c>
      <c r="D151" s="113" t="s">
        <v>2184</v>
      </c>
      <c r="F151" s="120">
        <v>35000</v>
      </c>
      <c r="G151" s="85">
        <v>1</v>
      </c>
      <c r="I151" s="80">
        <v>35000</v>
      </c>
    </row>
    <row r="152" spans="1:10" ht="18" customHeight="1" x14ac:dyDescent="0.3">
      <c r="A152" s="82">
        <v>2279</v>
      </c>
      <c r="B152" s="93">
        <v>45978</v>
      </c>
      <c r="C152" s="83" t="s">
        <v>1841</v>
      </c>
      <c r="D152" s="113" t="s">
        <v>2179</v>
      </c>
      <c r="F152" s="120">
        <v>1000000</v>
      </c>
      <c r="G152" s="85">
        <v>1</v>
      </c>
      <c r="I152" s="80">
        <v>1000000</v>
      </c>
    </row>
    <row r="153" spans="1:10" ht="18" customHeight="1" x14ac:dyDescent="0.3">
      <c r="A153" s="82">
        <v>2280</v>
      </c>
      <c r="B153" s="93">
        <v>45978</v>
      </c>
      <c r="C153" s="83" t="s">
        <v>1841</v>
      </c>
      <c r="D153" s="113" t="s">
        <v>2185</v>
      </c>
      <c r="F153" s="120">
        <v>10000</v>
      </c>
      <c r="G153" s="85">
        <v>1</v>
      </c>
      <c r="H153" s="126">
        <v>1000</v>
      </c>
      <c r="I153" s="80">
        <v>11000</v>
      </c>
    </row>
    <row r="154" spans="1:10" ht="18" customHeight="1" x14ac:dyDescent="0.3">
      <c r="A154" s="82">
        <v>2281</v>
      </c>
      <c r="B154" s="93">
        <v>45978</v>
      </c>
      <c r="C154" s="83" t="s">
        <v>1799</v>
      </c>
      <c r="D154" s="113" t="s">
        <v>3457</v>
      </c>
      <c r="F154" s="120">
        <v>535455</v>
      </c>
      <c r="G154" s="85">
        <v>1</v>
      </c>
      <c r="H154" s="126">
        <v>53546</v>
      </c>
      <c r="I154" s="80">
        <v>589001</v>
      </c>
    </row>
    <row r="155" spans="1:10" ht="18" customHeight="1" x14ac:dyDescent="0.3">
      <c r="A155" s="82">
        <v>2282</v>
      </c>
      <c r="B155" s="93">
        <v>45978</v>
      </c>
      <c r="C155" s="83" t="s">
        <v>1799</v>
      </c>
      <c r="D155" s="113">
        <v>-1</v>
      </c>
      <c r="F155" s="120">
        <v>-1</v>
      </c>
      <c r="G155" s="85">
        <v>1</v>
      </c>
      <c r="I155" s="80">
        <v>-1</v>
      </c>
    </row>
    <row r="156" spans="1:10" ht="18" customHeight="1" x14ac:dyDescent="0.3">
      <c r="A156" s="82">
        <v>2283</v>
      </c>
      <c r="B156" s="93">
        <v>45978</v>
      </c>
      <c r="C156" s="83" t="s">
        <v>1300</v>
      </c>
      <c r="D156" s="113" t="s">
        <v>1203</v>
      </c>
      <c r="F156" s="120">
        <v>1200000</v>
      </c>
      <c r="G156" s="85">
        <v>1</v>
      </c>
      <c r="I156" s="80">
        <v>1200000</v>
      </c>
    </row>
    <row r="157" spans="1:10" ht="18" customHeight="1" x14ac:dyDescent="0.3">
      <c r="A157" s="82">
        <v>2284</v>
      </c>
      <c r="B157" s="93">
        <v>45978</v>
      </c>
      <c r="C157" s="83" t="s">
        <v>1716</v>
      </c>
      <c r="D157" s="113" t="s">
        <v>1711</v>
      </c>
      <c r="F157" s="120">
        <v>150000</v>
      </c>
      <c r="G157" s="85">
        <v>1</v>
      </c>
      <c r="I157" s="80">
        <v>150000</v>
      </c>
    </row>
    <row r="158" spans="1:10" ht="18" customHeight="1" x14ac:dyDescent="0.3">
      <c r="A158" s="82">
        <v>2285</v>
      </c>
      <c r="B158" s="93">
        <v>45978</v>
      </c>
      <c r="C158" s="83" t="s">
        <v>3282</v>
      </c>
      <c r="D158" s="113" t="s">
        <v>4348</v>
      </c>
      <c r="F158" s="120">
        <v>200000</v>
      </c>
      <c r="G158" s="85">
        <v>1</v>
      </c>
      <c r="I158" s="80">
        <v>200000</v>
      </c>
    </row>
    <row r="159" spans="1:10" ht="18" customHeight="1" x14ac:dyDescent="0.3">
      <c r="A159" s="82">
        <v>2286</v>
      </c>
      <c r="B159" s="93">
        <v>45978</v>
      </c>
      <c r="C159" s="83" t="s">
        <v>1393</v>
      </c>
      <c r="D159" s="113" t="s">
        <v>1737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2287</v>
      </c>
      <c r="B160" s="93">
        <v>45978</v>
      </c>
      <c r="C160" s="83" t="s">
        <v>1147</v>
      </c>
      <c r="D160" s="113" t="s">
        <v>1711</v>
      </c>
      <c r="F160" s="120">
        <v>150000</v>
      </c>
      <c r="G160" s="85">
        <v>1</v>
      </c>
      <c r="I160" s="80">
        <v>150000</v>
      </c>
    </row>
    <row r="161" spans="1:10" ht="18" customHeight="1" x14ac:dyDescent="0.3">
      <c r="A161" s="82">
        <v>2288</v>
      </c>
      <c r="B161" s="93">
        <v>45978</v>
      </c>
      <c r="C161" s="83" t="s">
        <v>1841</v>
      </c>
      <c r="D161" s="113" t="s">
        <v>1125</v>
      </c>
      <c r="J161" s="80">
        <v>-1846000</v>
      </c>
    </row>
    <row r="162" spans="1:10" ht="18" customHeight="1" x14ac:dyDescent="0.3">
      <c r="A162" s="82">
        <v>2289</v>
      </c>
      <c r="B162" s="93">
        <v>45979</v>
      </c>
      <c r="C162" s="83" t="s">
        <v>3194</v>
      </c>
      <c r="D162" s="113" t="s">
        <v>4182</v>
      </c>
      <c r="J162" s="80">
        <v>-400000</v>
      </c>
    </row>
    <row r="163" spans="1:10" ht="18" customHeight="1" x14ac:dyDescent="0.3">
      <c r="A163" s="82">
        <v>2290</v>
      </c>
      <c r="B163" s="93">
        <v>45979</v>
      </c>
      <c r="C163" s="83" t="s">
        <v>1300</v>
      </c>
      <c r="D163" s="113" t="s">
        <v>4164</v>
      </c>
      <c r="J163" s="80">
        <v>-1200000</v>
      </c>
    </row>
    <row r="164" spans="1:10" ht="18" customHeight="1" x14ac:dyDescent="0.3">
      <c r="A164" s="82">
        <v>2291</v>
      </c>
      <c r="B164" s="93">
        <v>45979</v>
      </c>
      <c r="C164" s="83" t="s">
        <v>2697</v>
      </c>
      <c r="D164" s="113" t="s">
        <v>2037</v>
      </c>
      <c r="F164" s="120">
        <v>800000</v>
      </c>
      <c r="G164" s="85">
        <v>1</v>
      </c>
      <c r="H164" s="126">
        <v>80000</v>
      </c>
      <c r="I164" s="80">
        <v>880000</v>
      </c>
    </row>
    <row r="165" spans="1:10" ht="18" customHeight="1" x14ac:dyDescent="0.3">
      <c r="A165" s="82">
        <v>2292</v>
      </c>
      <c r="B165" s="93">
        <v>45979</v>
      </c>
      <c r="C165" s="83" t="s">
        <v>1438</v>
      </c>
      <c r="D165" s="113" t="s">
        <v>4355</v>
      </c>
      <c r="F165" s="120">
        <v>1700000</v>
      </c>
      <c r="G165" s="85">
        <v>1</v>
      </c>
      <c r="I165" s="80">
        <v>1700000</v>
      </c>
    </row>
    <row r="166" spans="1:10" ht="18" customHeight="1" x14ac:dyDescent="0.3">
      <c r="A166" s="82">
        <v>2293</v>
      </c>
      <c r="B166" s="93">
        <v>45979</v>
      </c>
      <c r="C166" s="83" t="s">
        <v>3397</v>
      </c>
      <c r="D166" s="113" t="s">
        <v>3044</v>
      </c>
      <c r="F166" s="120">
        <v>1000000</v>
      </c>
      <c r="G166" s="85">
        <v>1</v>
      </c>
      <c r="I166" s="80">
        <v>1000000</v>
      </c>
    </row>
    <row r="167" spans="1:10" ht="18" customHeight="1" x14ac:dyDescent="0.3">
      <c r="A167" s="82">
        <v>2294</v>
      </c>
      <c r="B167" s="93">
        <v>45979</v>
      </c>
      <c r="C167" s="83" t="s">
        <v>3194</v>
      </c>
      <c r="D167" s="113" t="s">
        <v>2283</v>
      </c>
      <c r="F167" s="120">
        <v>1700000</v>
      </c>
      <c r="G167" s="85">
        <v>1</v>
      </c>
      <c r="I167" s="80">
        <v>1700000</v>
      </c>
    </row>
    <row r="168" spans="1:10" ht="18" customHeight="1" x14ac:dyDescent="0.3">
      <c r="A168" s="82">
        <v>2295</v>
      </c>
      <c r="B168" s="93">
        <v>45979</v>
      </c>
      <c r="C168" s="83" t="s">
        <v>2018</v>
      </c>
      <c r="D168" s="113" t="s">
        <v>3044</v>
      </c>
      <c r="F168" s="120">
        <v>1200000</v>
      </c>
      <c r="G168" s="85">
        <v>1</v>
      </c>
      <c r="I168" s="80">
        <v>1200000</v>
      </c>
    </row>
    <row r="169" spans="1:10" ht="18" customHeight="1" x14ac:dyDescent="0.3">
      <c r="A169" s="82">
        <v>2296</v>
      </c>
      <c r="B169" s="93">
        <v>45979</v>
      </c>
      <c r="C169" s="83" t="s">
        <v>2460</v>
      </c>
      <c r="D169" s="113" t="s">
        <v>1711</v>
      </c>
      <c r="F169" s="120">
        <v>200000</v>
      </c>
      <c r="G169" s="85">
        <v>1</v>
      </c>
      <c r="H169" s="126">
        <v>20000</v>
      </c>
      <c r="I169" s="80">
        <v>220000</v>
      </c>
    </row>
    <row r="170" spans="1:10" ht="18" customHeight="1" x14ac:dyDescent="0.3">
      <c r="A170" s="82">
        <v>2297</v>
      </c>
      <c r="B170" s="93">
        <v>45979</v>
      </c>
      <c r="C170" s="83" t="s">
        <v>1741</v>
      </c>
      <c r="D170" s="113" t="s">
        <v>1201</v>
      </c>
      <c r="F170" s="120">
        <v>1200000</v>
      </c>
      <c r="G170" s="85">
        <v>1</v>
      </c>
      <c r="H170" s="126">
        <v>120000</v>
      </c>
      <c r="I170" s="80">
        <v>1320000</v>
      </c>
    </row>
    <row r="171" spans="1:10" ht="18" customHeight="1" x14ac:dyDescent="0.3">
      <c r="A171" s="82">
        <v>2298</v>
      </c>
      <c r="B171" s="93">
        <v>45979</v>
      </c>
      <c r="C171" s="83" t="s">
        <v>1741</v>
      </c>
      <c r="D171" s="113" t="s">
        <v>1513</v>
      </c>
      <c r="F171" s="120">
        <v>20000</v>
      </c>
      <c r="G171" s="85">
        <v>1</v>
      </c>
      <c r="H171" s="126">
        <v>2000</v>
      </c>
      <c r="I171" s="80">
        <v>22000</v>
      </c>
    </row>
    <row r="172" spans="1:10" ht="18" customHeight="1" x14ac:dyDescent="0.3">
      <c r="A172" s="82">
        <v>2299</v>
      </c>
      <c r="B172" s="93">
        <v>45979</v>
      </c>
      <c r="C172" s="83" t="s">
        <v>4362</v>
      </c>
      <c r="D172" s="113" t="s">
        <v>1203</v>
      </c>
      <c r="F172" s="120">
        <v>1300000</v>
      </c>
      <c r="G172" s="85">
        <v>1</v>
      </c>
      <c r="I172" s="80">
        <v>1300000</v>
      </c>
    </row>
    <row r="173" spans="1:10" ht="18" customHeight="1" x14ac:dyDescent="0.3">
      <c r="A173" s="82">
        <v>2300</v>
      </c>
      <c r="B173" s="93">
        <v>45979</v>
      </c>
      <c r="C173" s="83" t="s">
        <v>2460</v>
      </c>
      <c r="D173" s="113" t="s">
        <v>1125</v>
      </c>
      <c r="J173" s="80">
        <v>-220000</v>
      </c>
    </row>
    <row r="174" spans="1:10" ht="18" customHeight="1" x14ac:dyDescent="0.3">
      <c r="A174" s="82">
        <v>2301</v>
      </c>
      <c r="B174" s="93">
        <v>45979</v>
      </c>
      <c r="C174" s="83" t="s">
        <v>3282</v>
      </c>
      <c r="D174" s="113" t="s">
        <v>1125</v>
      </c>
      <c r="J174" s="80">
        <v>-200000</v>
      </c>
    </row>
    <row r="175" spans="1:10" ht="18" customHeight="1" x14ac:dyDescent="0.3">
      <c r="A175" s="82">
        <v>2302</v>
      </c>
      <c r="B175" s="93">
        <v>45980</v>
      </c>
      <c r="C175" s="83" t="s">
        <v>2018</v>
      </c>
      <c r="D175" s="113" t="s">
        <v>4374</v>
      </c>
      <c r="J175" s="80">
        <v>-1200000</v>
      </c>
    </row>
    <row r="176" spans="1:10" ht="18" customHeight="1" x14ac:dyDescent="0.3">
      <c r="A176" s="82">
        <v>2303</v>
      </c>
      <c r="B176" s="93">
        <v>45980</v>
      </c>
      <c r="C176" s="83" t="s">
        <v>3194</v>
      </c>
      <c r="D176" s="113" t="s">
        <v>4182</v>
      </c>
      <c r="J176" s="80">
        <v>-1700000</v>
      </c>
    </row>
    <row r="177" spans="1:10" ht="18" customHeight="1" x14ac:dyDescent="0.3">
      <c r="A177" s="82">
        <v>2304</v>
      </c>
      <c r="B177" s="93">
        <v>45980</v>
      </c>
      <c r="C177" s="83" t="s">
        <v>2611</v>
      </c>
      <c r="D177" s="113" t="s">
        <v>1555</v>
      </c>
      <c r="F177" s="120">
        <v>1600000</v>
      </c>
      <c r="G177" s="85">
        <v>1</v>
      </c>
      <c r="H177" s="126">
        <v>160000</v>
      </c>
      <c r="I177" s="80">
        <v>1760000</v>
      </c>
    </row>
    <row r="178" spans="1:10" ht="18" customHeight="1" x14ac:dyDescent="0.3">
      <c r="A178" s="82">
        <v>2305</v>
      </c>
      <c r="B178" s="93">
        <v>45980</v>
      </c>
      <c r="C178" s="83" t="s">
        <v>1590</v>
      </c>
      <c r="D178" s="113" t="s">
        <v>2181</v>
      </c>
      <c r="F178" s="120">
        <v>130000</v>
      </c>
      <c r="G178" s="85">
        <v>1</v>
      </c>
      <c r="I178" s="80">
        <v>130000</v>
      </c>
    </row>
    <row r="179" spans="1:10" ht="18" customHeight="1" x14ac:dyDescent="0.3">
      <c r="A179" s="82">
        <v>2306</v>
      </c>
      <c r="B179" s="93">
        <v>45980</v>
      </c>
      <c r="C179" s="83" t="s">
        <v>1590</v>
      </c>
      <c r="D179" s="113" t="s">
        <v>2185</v>
      </c>
      <c r="F179" s="120">
        <v>10000</v>
      </c>
      <c r="G179" s="85">
        <v>1</v>
      </c>
      <c r="I179" s="80">
        <v>10000</v>
      </c>
    </row>
    <row r="180" spans="1:10" ht="18" customHeight="1" x14ac:dyDescent="0.3">
      <c r="A180" s="82">
        <v>2307</v>
      </c>
      <c r="B180" s="93">
        <v>45980</v>
      </c>
      <c r="C180" s="83" t="s">
        <v>2489</v>
      </c>
      <c r="D180" s="113" t="s">
        <v>3457</v>
      </c>
      <c r="F180" s="120">
        <v>550000</v>
      </c>
      <c r="G180" s="85">
        <v>1</v>
      </c>
      <c r="I180" s="80">
        <v>550000</v>
      </c>
    </row>
    <row r="181" spans="1:10" ht="18" customHeight="1" x14ac:dyDescent="0.3">
      <c r="A181" s="82">
        <v>2308</v>
      </c>
      <c r="B181" s="93">
        <v>45980</v>
      </c>
      <c r="C181" s="83" t="s">
        <v>4367</v>
      </c>
      <c r="D181" s="113" t="s">
        <v>1201</v>
      </c>
      <c r="F181" s="120">
        <v>1200000</v>
      </c>
      <c r="G181" s="85">
        <v>1</v>
      </c>
      <c r="H181" s="126">
        <v>120000</v>
      </c>
      <c r="I181" s="80">
        <v>1320000</v>
      </c>
    </row>
    <row r="182" spans="1:10" ht="18" customHeight="1" x14ac:dyDescent="0.3">
      <c r="A182" s="82">
        <v>2309</v>
      </c>
      <c r="B182" s="93">
        <v>45980</v>
      </c>
      <c r="C182" s="83" t="s">
        <v>4367</v>
      </c>
      <c r="D182" s="113" t="s">
        <v>1490</v>
      </c>
      <c r="F182" s="120">
        <v>350000</v>
      </c>
      <c r="G182" s="85">
        <v>1</v>
      </c>
      <c r="H182" s="126">
        <v>35000</v>
      </c>
      <c r="I182" s="80">
        <v>385000</v>
      </c>
    </row>
    <row r="183" spans="1:10" ht="18" customHeight="1" x14ac:dyDescent="0.3">
      <c r="A183" s="82">
        <v>2310</v>
      </c>
      <c r="B183" s="93">
        <v>45980</v>
      </c>
      <c r="C183" s="83" t="s">
        <v>1053</v>
      </c>
      <c r="D183" s="113" t="s">
        <v>1203</v>
      </c>
      <c r="F183" s="120">
        <v>1200000</v>
      </c>
      <c r="G183" s="85">
        <v>1</v>
      </c>
      <c r="I183" s="80">
        <v>1200000</v>
      </c>
    </row>
    <row r="184" spans="1:10" ht="18" customHeight="1" x14ac:dyDescent="0.3">
      <c r="A184" s="82">
        <v>2311</v>
      </c>
      <c r="B184" s="93">
        <v>45980</v>
      </c>
      <c r="C184" s="83" t="s">
        <v>4367</v>
      </c>
      <c r="D184" s="113" t="s">
        <v>4383</v>
      </c>
      <c r="J184" s="80">
        <v>-1705000</v>
      </c>
    </row>
    <row r="185" spans="1:10" ht="18" customHeight="1" x14ac:dyDescent="0.3">
      <c r="A185" s="82">
        <v>2312</v>
      </c>
      <c r="B185" s="93">
        <v>45980</v>
      </c>
      <c r="C185" s="83" t="s">
        <v>2611</v>
      </c>
      <c r="D185" s="113" t="s">
        <v>3886</v>
      </c>
      <c r="J185" s="80">
        <v>-1760000</v>
      </c>
    </row>
    <row r="186" spans="1:10" ht="18" customHeight="1" x14ac:dyDescent="0.3">
      <c r="A186" s="82">
        <v>2313</v>
      </c>
      <c r="B186" s="93">
        <v>45980</v>
      </c>
      <c r="C186" s="83" t="s">
        <v>2312</v>
      </c>
      <c r="D186" s="113" t="s">
        <v>2173</v>
      </c>
      <c r="F186" s="120">
        <v>1300000</v>
      </c>
      <c r="G186" s="85">
        <v>1</v>
      </c>
      <c r="I186" s="80">
        <v>1300000</v>
      </c>
    </row>
    <row r="187" spans="1:10" ht="18" customHeight="1" x14ac:dyDescent="0.3">
      <c r="A187" s="82">
        <v>2314</v>
      </c>
      <c r="B187" s="93">
        <v>45981</v>
      </c>
      <c r="C187" s="83" t="s">
        <v>4303</v>
      </c>
      <c r="D187" s="113" t="s">
        <v>4390</v>
      </c>
      <c r="J187" s="80">
        <v>-2200000</v>
      </c>
    </row>
    <row r="188" spans="1:10" ht="18" customHeight="1" x14ac:dyDescent="0.3">
      <c r="A188" s="82">
        <v>2315</v>
      </c>
      <c r="B188" s="93">
        <v>45981</v>
      </c>
      <c r="C188" s="83" t="s">
        <v>3397</v>
      </c>
      <c r="D188" s="113" t="s">
        <v>4391</v>
      </c>
      <c r="J188" s="80">
        <v>-1000000</v>
      </c>
    </row>
    <row r="189" spans="1:10" ht="18" customHeight="1" x14ac:dyDescent="0.3">
      <c r="A189" s="82">
        <v>2316</v>
      </c>
      <c r="B189" s="93">
        <v>45981</v>
      </c>
      <c r="C189" s="83" t="s">
        <v>1590</v>
      </c>
      <c r="D189" s="113" t="s">
        <v>4392</v>
      </c>
      <c r="J189" s="80">
        <v>-800000</v>
      </c>
    </row>
    <row r="190" spans="1:10" ht="18" customHeight="1" x14ac:dyDescent="0.3">
      <c r="A190" s="82">
        <v>2317</v>
      </c>
      <c r="B190" s="93">
        <v>45981</v>
      </c>
      <c r="C190" s="83" t="s">
        <v>1438</v>
      </c>
      <c r="D190" s="113" t="s">
        <v>2683</v>
      </c>
      <c r="F190" s="120">
        <v>500000</v>
      </c>
      <c r="G190" s="85">
        <v>1</v>
      </c>
      <c r="I190" s="80">
        <v>500000</v>
      </c>
    </row>
    <row r="191" spans="1:10" ht="18" customHeight="1" x14ac:dyDescent="0.3">
      <c r="A191" s="82">
        <v>2318</v>
      </c>
      <c r="B191" s="93">
        <v>45981</v>
      </c>
      <c r="C191" s="83" t="s">
        <v>1574</v>
      </c>
      <c r="D191" s="113" t="s">
        <v>1887</v>
      </c>
      <c r="F191" s="120">
        <v>200000</v>
      </c>
      <c r="G191" s="85">
        <v>1</v>
      </c>
      <c r="H191" s="126">
        <v>20000</v>
      </c>
      <c r="I191" s="80">
        <v>220000</v>
      </c>
    </row>
    <row r="192" spans="1:10" ht="18" customHeight="1" x14ac:dyDescent="0.3">
      <c r="A192" s="82">
        <v>2319</v>
      </c>
      <c r="B192" s="93">
        <v>45981</v>
      </c>
      <c r="C192" s="83" t="s">
        <v>1741</v>
      </c>
      <c r="D192" s="113" t="s">
        <v>2153</v>
      </c>
      <c r="F192" s="120">
        <v>1200000</v>
      </c>
      <c r="G192" s="85">
        <v>1</v>
      </c>
      <c r="H192" s="126">
        <v>120000</v>
      </c>
      <c r="I192" s="80">
        <v>1320000</v>
      </c>
    </row>
    <row r="193" spans="1:10" ht="18" customHeight="1" x14ac:dyDescent="0.3">
      <c r="A193" s="82">
        <v>2320</v>
      </c>
      <c r="B193" s="93">
        <v>45981</v>
      </c>
      <c r="C193" s="83" t="s">
        <v>1574</v>
      </c>
      <c r="D193" s="113" t="s">
        <v>2189</v>
      </c>
      <c r="F193" s="120">
        <v>1700000</v>
      </c>
      <c r="G193" s="85">
        <v>1</v>
      </c>
      <c r="H193" s="126">
        <v>170000</v>
      </c>
      <c r="I193" s="80">
        <v>1870000</v>
      </c>
    </row>
    <row r="194" spans="1:10" ht="18" customHeight="1" x14ac:dyDescent="0.3">
      <c r="A194" s="82">
        <v>2321</v>
      </c>
      <c r="B194" s="93">
        <v>45982</v>
      </c>
      <c r="C194" s="83" t="s">
        <v>1574</v>
      </c>
      <c r="D194" s="113" t="s">
        <v>3953</v>
      </c>
      <c r="J194" s="80">
        <v>-3300000</v>
      </c>
    </row>
    <row r="195" spans="1:10" ht="18" customHeight="1" x14ac:dyDescent="0.3">
      <c r="A195" s="82">
        <v>2322</v>
      </c>
      <c r="B195" s="93">
        <v>45982</v>
      </c>
      <c r="C195" s="83" t="s">
        <v>1741</v>
      </c>
      <c r="D195" s="113" t="s">
        <v>1125</v>
      </c>
      <c r="J195" s="80">
        <v>-1320000</v>
      </c>
    </row>
    <row r="196" spans="1:10" ht="18" customHeight="1" x14ac:dyDescent="0.3">
      <c r="A196" s="82">
        <v>2323</v>
      </c>
      <c r="B196" s="93">
        <v>45982</v>
      </c>
      <c r="C196" s="83" t="s">
        <v>2765</v>
      </c>
      <c r="D196" s="113" t="s">
        <v>3457</v>
      </c>
      <c r="F196" s="120">
        <v>550000</v>
      </c>
      <c r="G196" s="85">
        <v>1</v>
      </c>
      <c r="I196" s="80">
        <v>550000</v>
      </c>
    </row>
    <row r="197" spans="1:10" ht="18" customHeight="1" x14ac:dyDescent="0.3">
      <c r="A197" s="82">
        <v>2324</v>
      </c>
      <c r="B197" s="93">
        <v>45982</v>
      </c>
      <c r="C197" s="83" t="s">
        <v>3282</v>
      </c>
      <c r="D197" s="113" t="s">
        <v>4413</v>
      </c>
      <c r="F197" s="120">
        <v>270000</v>
      </c>
      <c r="G197" s="85">
        <v>1</v>
      </c>
      <c r="I197" s="80">
        <v>270000</v>
      </c>
    </row>
    <row r="198" spans="1:10" ht="18" customHeight="1" x14ac:dyDescent="0.3">
      <c r="A198" s="82">
        <v>2325</v>
      </c>
      <c r="B198" s="93">
        <v>45982</v>
      </c>
      <c r="C198" s="83" t="s">
        <v>1385</v>
      </c>
      <c r="D198" s="113" t="s">
        <v>3457</v>
      </c>
      <c r="F198" s="120">
        <v>550000</v>
      </c>
      <c r="G198" s="85">
        <v>1</v>
      </c>
      <c r="I198" s="80">
        <v>550000</v>
      </c>
    </row>
    <row r="199" spans="1:10" ht="18" customHeight="1" x14ac:dyDescent="0.3">
      <c r="A199" s="82">
        <v>2326</v>
      </c>
      <c r="B199" s="93">
        <v>45982</v>
      </c>
      <c r="C199" s="83" t="s">
        <v>1385</v>
      </c>
      <c r="D199" s="113" t="s">
        <v>2183</v>
      </c>
      <c r="F199" s="120">
        <v>70000</v>
      </c>
      <c r="G199" s="85">
        <v>1</v>
      </c>
      <c r="I199" s="80">
        <v>70000</v>
      </c>
    </row>
    <row r="200" spans="1:10" ht="18" customHeight="1" x14ac:dyDescent="0.3">
      <c r="A200" s="82">
        <v>2327</v>
      </c>
      <c r="B200" s="93">
        <v>45982</v>
      </c>
      <c r="C200" s="83" t="s">
        <v>1385</v>
      </c>
      <c r="D200" s="113" t="s">
        <v>2184</v>
      </c>
      <c r="F200" s="120">
        <v>55000</v>
      </c>
      <c r="G200" s="85">
        <v>1</v>
      </c>
      <c r="I200" s="126">
        <v>55000</v>
      </c>
    </row>
    <row r="201" spans="1:10" ht="18" customHeight="1" x14ac:dyDescent="0.3">
      <c r="A201" s="82">
        <v>2328</v>
      </c>
      <c r="B201" s="93">
        <v>45982</v>
      </c>
      <c r="C201" s="83" t="s">
        <v>1385</v>
      </c>
      <c r="D201" s="113" t="s">
        <v>2185</v>
      </c>
      <c r="F201" s="120">
        <v>10000</v>
      </c>
      <c r="G201" s="85">
        <v>2</v>
      </c>
      <c r="I201" s="126">
        <v>20000</v>
      </c>
    </row>
    <row r="202" spans="1:10" ht="18" customHeight="1" x14ac:dyDescent="0.3">
      <c r="A202" s="82">
        <v>2329</v>
      </c>
      <c r="B202" s="93">
        <v>45982</v>
      </c>
      <c r="C202" s="83" t="s">
        <v>1385</v>
      </c>
      <c r="D202" s="113" t="s">
        <v>2181</v>
      </c>
      <c r="F202" s="120">
        <v>130000</v>
      </c>
      <c r="G202" s="85">
        <v>2</v>
      </c>
      <c r="I202" s="80">
        <v>260000</v>
      </c>
    </row>
    <row r="203" spans="1:10" ht="18" customHeight="1" x14ac:dyDescent="0.3">
      <c r="A203" s="82">
        <v>2330</v>
      </c>
      <c r="B203" s="93">
        <v>45982</v>
      </c>
      <c r="C203" s="83" t="s">
        <v>1488</v>
      </c>
      <c r="D203" s="113" t="s">
        <v>1711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2331</v>
      </c>
      <c r="B204" s="93">
        <v>45982</v>
      </c>
      <c r="C204" s="83" t="s">
        <v>1716</v>
      </c>
      <c r="D204" s="113" t="s">
        <v>1529</v>
      </c>
      <c r="F204" s="120">
        <v>450000</v>
      </c>
      <c r="G204" s="85">
        <v>1</v>
      </c>
      <c r="I204" s="80">
        <v>450000</v>
      </c>
    </row>
    <row r="205" spans="1:10" ht="18" customHeight="1" x14ac:dyDescent="0.3">
      <c r="A205" s="82">
        <v>2332</v>
      </c>
      <c r="B205" s="93">
        <v>45982</v>
      </c>
      <c r="C205" s="83" t="s">
        <v>2765</v>
      </c>
      <c r="D205" s="113" t="s">
        <v>4299</v>
      </c>
      <c r="J205" s="80">
        <v>-550000</v>
      </c>
    </row>
    <row r="206" spans="1:10" ht="18" customHeight="1" x14ac:dyDescent="0.3">
      <c r="A206" s="82">
        <v>2333</v>
      </c>
      <c r="B206" s="93">
        <v>45982</v>
      </c>
      <c r="C206" s="83" t="s">
        <v>3282</v>
      </c>
      <c r="D206" s="113" t="s">
        <v>4340</v>
      </c>
      <c r="J206" s="80">
        <v>-270000</v>
      </c>
    </row>
    <row r="207" spans="1:10" ht="18" customHeight="1" x14ac:dyDescent="0.3">
      <c r="A207" s="82">
        <v>2334</v>
      </c>
      <c r="B207" s="93">
        <v>45982</v>
      </c>
      <c r="C207" s="83" t="s">
        <v>4362</v>
      </c>
      <c r="D207" s="113" t="s">
        <v>4418</v>
      </c>
      <c r="J207" s="80">
        <v>-1300000</v>
      </c>
    </row>
    <row r="208" spans="1:10" ht="18" customHeight="1" x14ac:dyDescent="0.3">
      <c r="A208" s="82">
        <v>2335</v>
      </c>
      <c r="B208" s="93">
        <v>45982</v>
      </c>
      <c r="C208" s="83" t="s">
        <v>1488</v>
      </c>
      <c r="D208" s="113" t="s">
        <v>4136</v>
      </c>
      <c r="J208" s="80">
        <v>-150000</v>
      </c>
    </row>
    <row r="209" spans="1:10" ht="18" customHeight="1" x14ac:dyDescent="0.3">
      <c r="A209" s="82">
        <v>2336</v>
      </c>
      <c r="B209" s="93">
        <v>45981</v>
      </c>
      <c r="C209" s="83" t="s">
        <v>1841</v>
      </c>
      <c r="D209" s="113" t="s">
        <v>1125</v>
      </c>
      <c r="J209" s="80">
        <v>-200000</v>
      </c>
    </row>
    <row r="210" spans="1:10" ht="18" customHeight="1" x14ac:dyDescent="0.3">
      <c r="A210" s="82">
        <v>2337</v>
      </c>
      <c r="B210" s="93">
        <v>45983</v>
      </c>
      <c r="C210" s="83" t="s">
        <v>1574</v>
      </c>
      <c r="D210" s="113" t="s">
        <v>3953</v>
      </c>
      <c r="J210" s="80">
        <v>-2200000</v>
      </c>
    </row>
    <row r="211" spans="1:10" ht="18" customHeight="1" x14ac:dyDescent="0.3">
      <c r="A211" s="82">
        <v>2338</v>
      </c>
      <c r="B211" s="93">
        <v>45983</v>
      </c>
      <c r="C211" s="83" t="s">
        <v>1864</v>
      </c>
      <c r="D211" s="113" t="s">
        <v>1737</v>
      </c>
      <c r="F211" s="120">
        <v>650000</v>
      </c>
      <c r="G211" s="85">
        <v>1</v>
      </c>
      <c r="H211" s="126">
        <v>65000</v>
      </c>
      <c r="I211" s="80">
        <v>715000</v>
      </c>
    </row>
    <row r="212" spans="1:10" ht="18" customHeight="1" x14ac:dyDescent="0.3">
      <c r="A212" s="82">
        <v>2339</v>
      </c>
      <c r="B212" s="93">
        <v>45985</v>
      </c>
      <c r="C212" s="83" t="s">
        <v>3535</v>
      </c>
      <c r="D212" s="113" t="s">
        <v>3457</v>
      </c>
      <c r="F212" s="120">
        <v>535455</v>
      </c>
      <c r="G212" s="85">
        <v>1</v>
      </c>
      <c r="H212" s="126">
        <v>53546</v>
      </c>
      <c r="I212" s="80">
        <v>589001</v>
      </c>
    </row>
    <row r="213" spans="1:10" ht="18" customHeight="1" x14ac:dyDescent="0.3">
      <c r="A213" s="82">
        <v>2340</v>
      </c>
      <c r="B213" s="93">
        <v>45985</v>
      </c>
      <c r="C213" s="83" t="s">
        <v>1393</v>
      </c>
      <c r="D213" s="113" t="s">
        <v>2826</v>
      </c>
      <c r="F213" s="120">
        <v>550000</v>
      </c>
      <c r="G213" s="85">
        <v>2</v>
      </c>
      <c r="I213" s="80">
        <v>1100000</v>
      </c>
    </row>
    <row r="214" spans="1:10" ht="18" customHeight="1" x14ac:dyDescent="0.3">
      <c r="A214" s="82">
        <v>2341</v>
      </c>
      <c r="B214" s="93">
        <v>45985</v>
      </c>
      <c r="C214" s="83" t="s">
        <v>1393</v>
      </c>
      <c r="D214" s="113" t="s">
        <v>2283</v>
      </c>
      <c r="F214" s="120">
        <v>1700000</v>
      </c>
      <c r="G214" s="85">
        <v>1</v>
      </c>
      <c r="I214" s="80">
        <v>1700000</v>
      </c>
    </row>
    <row r="215" spans="1:10" ht="18" customHeight="1" x14ac:dyDescent="0.3">
      <c r="A215" s="82">
        <v>2342</v>
      </c>
      <c r="B215" s="93">
        <v>45985</v>
      </c>
      <c r="C215" s="83" t="s">
        <v>978</v>
      </c>
      <c r="D215" s="113" t="s">
        <v>1490</v>
      </c>
      <c r="F215" s="120">
        <v>350000</v>
      </c>
      <c r="G215" s="85">
        <v>1</v>
      </c>
      <c r="H215" s="126">
        <v>35000</v>
      </c>
      <c r="I215" s="80">
        <v>385000</v>
      </c>
    </row>
    <row r="216" spans="1:10" ht="18" customHeight="1" x14ac:dyDescent="0.3">
      <c r="A216" s="82">
        <v>2343</v>
      </c>
      <c r="B216" s="93">
        <v>45985</v>
      </c>
      <c r="C216" s="83" t="s">
        <v>2312</v>
      </c>
      <c r="D216" s="113" t="s">
        <v>3587</v>
      </c>
      <c r="F216" s="120">
        <v>350000</v>
      </c>
      <c r="G216" s="85">
        <v>1</v>
      </c>
      <c r="I216" s="80">
        <v>350000</v>
      </c>
    </row>
    <row r="217" spans="1:10" ht="18" customHeight="1" x14ac:dyDescent="0.3">
      <c r="A217" s="82">
        <v>2344</v>
      </c>
      <c r="B217" s="93">
        <v>45985</v>
      </c>
      <c r="C217" s="83" t="s">
        <v>1147</v>
      </c>
      <c r="D217" s="113" t="s">
        <v>1201</v>
      </c>
      <c r="F217" s="120">
        <v>1200000</v>
      </c>
      <c r="G217" s="85">
        <v>1</v>
      </c>
      <c r="I217" s="80">
        <v>1200000</v>
      </c>
    </row>
    <row r="218" spans="1:10" ht="18" customHeight="1" x14ac:dyDescent="0.3">
      <c r="A218" s="82">
        <v>2345</v>
      </c>
      <c r="B218" s="93">
        <v>45985</v>
      </c>
      <c r="C218" s="83" t="s">
        <v>1443</v>
      </c>
      <c r="D218" s="113" t="s">
        <v>1201</v>
      </c>
      <c r="F218" s="120">
        <v>1200000</v>
      </c>
      <c r="G218" s="85">
        <v>1</v>
      </c>
      <c r="H218" s="126">
        <v>120000</v>
      </c>
      <c r="I218" s="80">
        <v>1320000</v>
      </c>
    </row>
    <row r="219" spans="1:10" ht="18" customHeight="1" x14ac:dyDescent="0.3">
      <c r="A219" s="82">
        <v>2346</v>
      </c>
      <c r="B219" s="93">
        <v>45985</v>
      </c>
      <c r="C219" s="83" t="s">
        <v>1580</v>
      </c>
      <c r="D219" s="113" t="s">
        <v>2187</v>
      </c>
      <c r="F219" s="120">
        <v>700000</v>
      </c>
      <c r="G219" s="85">
        <v>1</v>
      </c>
      <c r="H219" s="126">
        <v>70000</v>
      </c>
      <c r="I219" s="80">
        <v>770000</v>
      </c>
    </row>
    <row r="220" spans="1:10" ht="18" customHeight="1" x14ac:dyDescent="0.3">
      <c r="A220" s="82">
        <v>2347</v>
      </c>
      <c r="B220" s="93">
        <v>45985</v>
      </c>
      <c r="C220" s="83" t="s">
        <v>1438</v>
      </c>
      <c r="D220" s="113" t="s">
        <v>1499</v>
      </c>
      <c r="F220" s="120">
        <v>1200000</v>
      </c>
      <c r="G220" s="85">
        <v>1</v>
      </c>
      <c r="I220" s="80">
        <v>1200000</v>
      </c>
    </row>
    <row r="221" spans="1:10" ht="18" customHeight="1" x14ac:dyDescent="0.3">
      <c r="A221" s="82">
        <v>2348</v>
      </c>
      <c r="B221" s="93">
        <v>45985</v>
      </c>
      <c r="C221" s="83" t="s">
        <v>3282</v>
      </c>
      <c r="D221" s="113" t="s">
        <v>1856</v>
      </c>
      <c r="F221" s="120">
        <v>3500000</v>
      </c>
      <c r="G221" s="85">
        <v>1</v>
      </c>
      <c r="H221" s="126">
        <v>350000</v>
      </c>
      <c r="I221" s="80">
        <v>3850000</v>
      </c>
    </row>
    <row r="222" spans="1:10" ht="18" customHeight="1" x14ac:dyDescent="0.3">
      <c r="A222" s="82">
        <v>2349</v>
      </c>
      <c r="B222" s="93">
        <v>45985</v>
      </c>
      <c r="C222" s="83" t="s">
        <v>3282</v>
      </c>
      <c r="D222" s="113" t="s">
        <v>1758</v>
      </c>
      <c r="F222" s="120">
        <v>25000</v>
      </c>
      <c r="G222" s="85">
        <v>1</v>
      </c>
      <c r="H222" s="126">
        <v>2500</v>
      </c>
      <c r="I222" s="80">
        <v>27500</v>
      </c>
    </row>
    <row r="223" spans="1:10" ht="18" customHeight="1" x14ac:dyDescent="0.3">
      <c r="A223" s="82">
        <v>2350</v>
      </c>
      <c r="B223" s="93">
        <v>45985</v>
      </c>
      <c r="C223" s="83" t="s">
        <v>3282</v>
      </c>
      <c r="D223" s="113" t="s">
        <v>1758</v>
      </c>
      <c r="F223" s="120">
        <v>65000</v>
      </c>
      <c r="G223" s="85">
        <v>1</v>
      </c>
      <c r="H223" s="126">
        <v>6500</v>
      </c>
      <c r="I223" s="80">
        <v>71500</v>
      </c>
    </row>
    <row r="224" spans="1:10" ht="18" customHeight="1" x14ac:dyDescent="0.3">
      <c r="A224" s="82">
        <v>2351</v>
      </c>
      <c r="B224" s="93">
        <v>45983</v>
      </c>
      <c r="C224" s="83" t="s">
        <v>1864</v>
      </c>
      <c r="D224" s="113" t="s">
        <v>2050</v>
      </c>
      <c r="J224" s="80">
        <v>-715000</v>
      </c>
    </row>
    <row r="225" spans="1:10" ht="18" customHeight="1" x14ac:dyDescent="0.3">
      <c r="A225" s="82">
        <v>2352</v>
      </c>
      <c r="B225" s="93">
        <v>45985</v>
      </c>
      <c r="C225" s="83" t="s">
        <v>978</v>
      </c>
      <c r="D225" s="113" t="s">
        <v>4277</v>
      </c>
      <c r="J225" s="80">
        <v>-385000</v>
      </c>
    </row>
    <row r="226" spans="1:10" ht="18" customHeight="1" x14ac:dyDescent="0.3">
      <c r="A226" s="82">
        <v>2353</v>
      </c>
      <c r="B226" s="93">
        <v>45985</v>
      </c>
      <c r="C226" s="83" t="s">
        <v>3282</v>
      </c>
      <c r="D226" s="113" t="s">
        <v>4300</v>
      </c>
      <c r="J226" s="80">
        <v>-3949000</v>
      </c>
    </row>
    <row r="227" spans="1:10" ht="18" customHeight="1" x14ac:dyDescent="0.3">
      <c r="A227" s="82">
        <v>2354</v>
      </c>
      <c r="B227" s="93">
        <v>45985</v>
      </c>
      <c r="C227" s="83" t="s">
        <v>3535</v>
      </c>
      <c r="D227" s="113" t="s">
        <v>4443</v>
      </c>
      <c r="J227" s="80">
        <v>-589001</v>
      </c>
    </row>
    <row r="228" spans="1:10" ht="18" customHeight="1" x14ac:dyDescent="0.3">
      <c r="A228" s="82">
        <v>2355</v>
      </c>
      <c r="B228" s="93">
        <v>45985</v>
      </c>
      <c r="C228" s="83" t="s">
        <v>4445</v>
      </c>
      <c r="D228" s="113" t="s">
        <v>1711</v>
      </c>
      <c r="F228" s="120">
        <v>150000</v>
      </c>
      <c r="G228" s="85">
        <v>1</v>
      </c>
      <c r="I228" s="80">
        <v>150000</v>
      </c>
    </row>
    <row r="229" spans="1:10" ht="18" customHeight="1" x14ac:dyDescent="0.3">
      <c r="A229" s="82">
        <v>2356</v>
      </c>
      <c r="B229" s="93">
        <v>45986</v>
      </c>
      <c r="C229" s="83" t="s">
        <v>2489</v>
      </c>
      <c r="D229" s="113" t="s">
        <v>4282</v>
      </c>
      <c r="J229" s="80">
        <v>-550000</v>
      </c>
    </row>
    <row r="230" spans="1:10" ht="18" customHeight="1" x14ac:dyDescent="0.3">
      <c r="A230" s="82">
        <v>2357</v>
      </c>
      <c r="B230" s="93">
        <v>45986</v>
      </c>
      <c r="C230" s="83" t="s">
        <v>1015</v>
      </c>
      <c r="D230" s="113" t="s">
        <v>3810</v>
      </c>
      <c r="J230" s="80">
        <v>-1200000</v>
      </c>
    </row>
    <row r="231" spans="1:10" ht="18" customHeight="1" x14ac:dyDescent="0.3">
      <c r="A231" s="82">
        <v>2358</v>
      </c>
      <c r="B231" s="93">
        <v>45986</v>
      </c>
      <c r="C231" s="83" t="s">
        <v>1385</v>
      </c>
      <c r="D231" s="113" t="s">
        <v>4317</v>
      </c>
      <c r="J231" s="80">
        <v>-955000</v>
      </c>
    </row>
    <row r="232" spans="1:10" ht="18" customHeight="1" x14ac:dyDescent="0.3">
      <c r="A232" s="82">
        <v>2359</v>
      </c>
      <c r="B232" s="93">
        <v>45986</v>
      </c>
      <c r="C232" s="83" t="s">
        <v>1053</v>
      </c>
      <c r="D232" s="113" t="s">
        <v>1856</v>
      </c>
      <c r="F232" s="120">
        <v>3500000</v>
      </c>
      <c r="G232" s="85">
        <v>1</v>
      </c>
      <c r="I232" s="80">
        <v>3500000</v>
      </c>
    </row>
    <row r="233" spans="1:10" ht="18" customHeight="1" x14ac:dyDescent="0.3">
      <c r="A233" s="82">
        <v>2360</v>
      </c>
      <c r="B233" s="93">
        <v>45986</v>
      </c>
      <c r="C233" s="83" t="s">
        <v>1053</v>
      </c>
      <c r="D233" s="113" t="s">
        <v>1758</v>
      </c>
      <c r="F233" s="120">
        <v>90000</v>
      </c>
      <c r="G233" s="85">
        <v>1</v>
      </c>
      <c r="I233" s="80">
        <v>90000</v>
      </c>
    </row>
    <row r="234" spans="1:10" ht="18" customHeight="1" x14ac:dyDescent="0.3">
      <c r="A234" s="82">
        <v>2361</v>
      </c>
      <c r="B234" s="93">
        <v>45986</v>
      </c>
      <c r="C234" s="83" t="s">
        <v>4453</v>
      </c>
      <c r="D234" s="113" t="s">
        <v>2190</v>
      </c>
      <c r="F234" s="120">
        <v>1200000</v>
      </c>
      <c r="G234" s="85">
        <v>1</v>
      </c>
      <c r="I234" s="80">
        <v>1200000</v>
      </c>
    </row>
    <row r="235" spans="1:10" ht="18" customHeight="1" x14ac:dyDescent="0.3">
      <c r="A235" s="82">
        <v>2362</v>
      </c>
      <c r="B235" s="93">
        <v>45986</v>
      </c>
      <c r="C235" s="83" t="s">
        <v>2595</v>
      </c>
      <c r="D235" s="113" t="s">
        <v>1201</v>
      </c>
      <c r="F235" s="120">
        <v>1300000</v>
      </c>
      <c r="G235" s="85">
        <v>1</v>
      </c>
      <c r="I235" s="80">
        <v>1300000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5100000</v>
      </c>
      <c r="D2" s="58">
        <f t="shared" ref="D2:D65" si="0">RANK(C2,C:C,0)</f>
        <v>6</v>
      </c>
    </row>
    <row r="3" spans="1:6" x14ac:dyDescent="0.3">
      <c r="B3" s="269" t="s">
        <v>1346</v>
      </c>
      <c r="C3" s="268">
        <f>SUMIF(BTS_매출관리!C:C,B3,BTS_매출관리!I:I)</f>
        <v>2494000</v>
      </c>
      <c r="D3" s="269">
        <f t="shared" si="0"/>
        <v>18</v>
      </c>
    </row>
    <row r="4" spans="1:6" x14ac:dyDescent="0.3">
      <c r="B4" s="58" t="s">
        <v>1273</v>
      </c>
      <c r="C4" s="301">
        <f>SUMIF(BTS_매출관리!C:C,B4,BTS_매출관리!I:I)</f>
        <v>400000</v>
      </c>
      <c r="D4" s="58">
        <f t="shared" si="0"/>
        <v>49</v>
      </c>
    </row>
    <row r="5" spans="1:6" x14ac:dyDescent="0.3">
      <c r="B5" s="58" t="s">
        <v>1330</v>
      </c>
      <c r="C5" s="301">
        <f>SUMIF(BTS_매출관리!C:C,B5,BTS_매출관리!I:I)</f>
        <v>6100000</v>
      </c>
      <c r="D5" s="58">
        <f t="shared" si="0"/>
        <v>4</v>
      </c>
    </row>
    <row r="6" spans="1:6" x14ac:dyDescent="0.3">
      <c r="B6" s="58" t="s">
        <v>1347</v>
      </c>
      <c r="C6" s="301">
        <f>SUMIF(BTS_매출관리!C:C,B6,BTS_매출관리!I:I)</f>
        <v>3355000</v>
      </c>
      <c r="D6" s="58">
        <f t="shared" si="0"/>
        <v>10</v>
      </c>
    </row>
    <row r="7" spans="1:6" x14ac:dyDescent="0.3">
      <c r="B7" s="58" t="s">
        <v>1284</v>
      </c>
      <c r="C7" s="301">
        <f>SUMIF(BTS_매출관리!C:C,B7,BTS_매출관리!I:I)</f>
        <v>1100000</v>
      </c>
      <c r="D7" s="58">
        <f t="shared" si="0"/>
        <v>38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53</v>
      </c>
    </row>
    <row r="9" spans="1:6" x14ac:dyDescent="0.3">
      <c r="B9" s="58" t="s">
        <v>2208</v>
      </c>
      <c r="C9" s="301">
        <f>SUMIF(BTS_매출관리!C:C,B9,BTS_매출관리!I:I)</f>
        <v>2850000</v>
      </c>
      <c r="D9" s="58">
        <f t="shared" si="0"/>
        <v>14</v>
      </c>
    </row>
    <row r="10" spans="1:6" x14ac:dyDescent="0.3">
      <c r="B10" s="269" t="s">
        <v>1318</v>
      </c>
      <c r="C10" s="268">
        <f>SUMIF(BTS_매출관리!C:C,B10,BTS_매출관리!I:I)</f>
        <v>1760000</v>
      </c>
      <c r="D10" s="269">
        <f t="shared" si="0"/>
        <v>23</v>
      </c>
    </row>
    <row r="11" spans="1:6" x14ac:dyDescent="0.3">
      <c r="B11" s="58" t="s">
        <v>1327</v>
      </c>
      <c r="C11" s="301">
        <f>SUMIF(BTS_매출관리!C:C,B11,BTS_매출관리!I:I)</f>
        <v>2300000</v>
      </c>
      <c r="D11" s="58">
        <f t="shared" si="0"/>
        <v>19</v>
      </c>
    </row>
    <row r="12" spans="1:6" x14ac:dyDescent="0.3">
      <c r="B12" s="58" t="s">
        <v>1328</v>
      </c>
      <c r="C12" s="301">
        <f>SUMIF(BTS_매출관리!C:C,B12,BTS_매출관리!I:I)</f>
        <v>1320000</v>
      </c>
      <c r="D12" s="58">
        <f t="shared" si="0"/>
        <v>31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53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36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53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53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53</v>
      </c>
    </row>
    <row r="18" spans="2:18" x14ac:dyDescent="0.3">
      <c r="B18" s="58" t="s">
        <v>1665</v>
      </c>
      <c r="C18" s="301">
        <f>SUMIF(BTS_매출관리!C:C,B18,BTS_매출관리!I:I)</f>
        <v>1340000</v>
      </c>
      <c r="D18" s="58">
        <f t="shared" si="0"/>
        <v>30</v>
      </c>
    </row>
    <row r="19" spans="2:18" x14ac:dyDescent="0.3">
      <c r="B19" s="58" t="s">
        <v>1148</v>
      </c>
      <c r="C19" s="301">
        <f>SUMIF(BTS_매출관리!C:C,B19,BTS_매출관리!I:I)</f>
        <v>1350000</v>
      </c>
      <c r="D19" s="58">
        <f t="shared" si="0"/>
        <v>29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53</v>
      </c>
    </row>
    <row r="21" spans="2:18" x14ac:dyDescent="0.3">
      <c r="B21" s="58" t="s">
        <v>1335</v>
      </c>
      <c r="C21" s="301">
        <f>SUMIF(BTS_매출관리!C:C,B21,BTS_매출관리!I:I)</f>
        <v>0</v>
      </c>
      <c r="D21" s="58">
        <f t="shared" si="0"/>
        <v>53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1947000</v>
      </c>
      <c r="D22" s="58">
        <f t="shared" si="0"/>
        <v>21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53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770000</v>
      </c>
      <c r="D24" s="58">
        <f t="shared" si="0"/>
        <v>43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53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53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53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4466000</v>
      </c>
      <c r="D28" s="58">
        <f t="shared" si="0"/>
        <v>7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53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53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150000</v>
      </c>
      <c r="D31" s="58">
        <f t="shared" si="0"/>
        <v>51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0</v>
      </c>
      <c r="D32" s="58">
        <f t="shared" si="0"/>
        <v>53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0</v>
      </c>
      <c r="D33" s="269">
        <f t="shared" si="0"/>
        <v>53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53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7838000</v>
      </c>
      <c r="D35" s="58">
        <f t="shared" si="0"/>
        <v>1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974000</v>
      </c>
      <c r="D36" s="58">
        <f t="shared" si="0"/>
        <v>40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53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150000</v>
      </c>
      <c r="D38" s="58">
        <f t="shared" si="0"/>
        <v>51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53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53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53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53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3800000</v>
      </c>
      <c r="D43" s="269">
        <f t="shared" si="0"/>
        <v>8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5170000</v>
      </c>
      <c r="D44" s="58">
        <f t="shared" si="0"/>
        <v>5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2530000</v>
      </c>
      <c r="D45" s="269">
        <f t="shared" si="0"/>
        <v>17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53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53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53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53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2046000</v>
      </c>
      <c r="D50" s="269">
        <f t="shared" si="0"/>
        <v>20</v>
      </c>
    </row>
    <row r="51" spans="2:7" x14ac:dyDescent="0.3">
      <c r="B51" s="269" t="s">
        <v>1313</v>
      </c>
      <c r="C51" s="268">
        <f>SUMIF(BTS_매출관리!C:C,B51,BTS_매출관리!I:I)</f>
        <v>550000</v>
      </c>
      <c r="D51" s="269">
        <f t="shared" si="0"/>
        <v>45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53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53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53</v>
      </c>
    </row>
    <row r="55" spans="2:7" x14ac:dyDescent="0.3">
      <c r="B55" t="s">
        <v>2697</v>
      </c>
      <c r="C55" s="52">
        <f>SUMIF(BTS_매출관리!C:C,B55,BTS_매출관리!I:I)</f>
        <v>880000</v>
      </c>
      <c r="D55">
        <f t="shared" si="0"/>
        <v>41</v>
      </c>
    </row>
    <row r="56" spans="2:7" x14ac:dyDescent="0.3">
      <c r="B56" s="47" t="s">
        <v>1018</v>
      </c>
      <c r="C56" s="302">
        <f>SUMIF(BTS_매출관리!C:C,B56,BTS_매출관리!I:I)</f>
        <v>3713000</v>
      </c>
      <c r="D56" s="47">
        <f t="shared" si="0"/>
        <v>9</v>
      </c>
    </row>
    <row r="57" spans="2:7" x14ac:dyDescent="0.3">
      <c r="B57" s="47" t="s">
        <v>1778</v>
      </c>
      <c r="C57" s="302">
        <f>SUMIF(BTS_매출관리!C:C,B57,BTS_매출관리!I:I)</f>
        <v>6690000</v>
      </c>
      <c r="D57" s="47">
        <f t="shared" si="0"/>
        <v>3</v>
      </c>
    </row>
    <row r="58" spans="2:7" x14ac:dyDescent="0.3">
      <c r="B58" s="47" t="s">
        <v>2465</v>
      </c>
      <c r="C58" s="302">
        <f>SUMIF(BTS_매출관리!C:C,B58,BTS_매출관리!I:I)</f>
        <v>1650000</v>
      </c>
      <c r="D58" s="47">
        <f t="shared" si="0"/>
        <v>24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53</v>
      </c>
    </row>
    <row r="60" spans="2:7" x14ac:dyDescent="0.3">
      <c r="B60" s="47" t="s">
        <v>1301</v>
      </c>
      <c r="C60" s="302">
        <f>SUMIF(BTS_매출관리!C:C,B60,BTS_매출관리!I:I)</f>
        <v>2600000</v>
      </c>
      <c r="D60" s="47">
        <f t="shared" si="0"/>
        <v>15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53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53</v>
      </c>
    </row>
    <row r="63" spans="2:7" x14ac:dyDescent="0.3">
      <c r="B63" s="47" t="s">
        <v>2909</v>
      </c>
      <c r="C63" s="302">
        <f>SUMIF(BTS_매출관리!C:C,B63,BTS_매출관리!I:I)</f>
        <v>1600000</v>
      </c>
      <c r="D63" s="47">
        <f t="shared" si="0"/>
        <v>26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53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53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53</v>
      </c>
    </row>
    <row r="67" spans="2:4" x14ac:dyDescent="0.3">
      <c r="B67" s="47" t="s">
        <v>1351</v>
      </c>
      <c r="C67" s="302">
        <f>SUMIF(BTS_매출관리!C:C,B67,BTS_매출관리!I:I)</f>
        <v>1500000</v>
      </c>
      <c r="D67" s="47">
        <f t="shared" si="1"/>
        <v>28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53</v>
      </c>
    </row>
    <row r="69" spans="2:4" x14ac:dyDescent="0.3">
      <c r="B69" s="47" t="s">
        <v>1297</v>
      </c>
      <c r="C69" s="302">
        <f>SUMIF(BTS_매출관리!C:C,B69,BTS_매출관리!I:I)</f>
        <v>2555000</v>
      </c>
      <c r="D69" s="47">
        <f t="shared" si="1"/>
        <v>16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53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53</v>
      </c>
    </row>
    <row r="72" spans="2:4" x14ac:dyDescent="0.3">
      <c r="B72" s="47" t="s">
        <v>2858</v>
      </c>
      <c r="C72" s="302">
        <f>SUMIF(BTS_매출관리!C:C,B72,BTS_매출관리!I:I)</f>
        <v>0</v>
      </c>
      <c r="D72" s="47">
        <f t="shared" si="1"/>
        <v>53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53</v>
      </c>
    </row>
    <row r="74" spans="2:4" x14ac:dyDescent="0.3">
      <c r="B74" s="47" t="s">
        <v>1353</v>
      </c>
      <c r="C74" s="302">
        <f>SUMIF(BTS_매출관리!C:C,B74,BTS_매출관리!I:I)</f>
        <v>200000</v>
      </c>
      <c r="D74" s="47">
        <f t="shared" si="1"/>
        <v>50</v>
      </c>
    </row>
    <row r="75" spans="2:4" x14ac:dyDescent="0.3">
      <c r="B75" s="47" t="s">
        <v>3282</v>
      </c>
      <c r="C75" s="302">
        <f>SUMIF(BTS_매출관리!C:C,B75,BTS_매출관리!I:I)</f>
        <v>7619000</v>
      </c>
      <c r="D75" s="47">
        <f t="shared" si="1"/>
        <v>2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53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53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53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53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53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53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53</v>
      </c>
    </row>
    <row r="83" spans="2:4" x14ac:dyDescent="0.3">
      <c r="B83" t="s">
        <v>2750</v>
      </c>
      <c r="C83" s="52">
        <f>SUMIF(BTS_매출관리!C:C,B83,BTS_매출관리!I:I)</f>
        <v>500000</v>
      </c>
      <c r="D83">
        <f t="shared" si="1"/>
        <v>46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53</v>
      </c>
    </row>
    <row r="85" spans="2:4" x14ac:dyDescent="0.3">
      <c r="B85" t="s">
        <v>3535</v>
      </c>
      <c r="C85" s="52">
        <f>SUMIF(BTS_매출관리!C:C,B85,BTS_매출관리!I:I)</f>
        <v>589001</v>
      </c>
      <c r="D85">
        <f t="shared" si="1"/>
        <v>44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53</v>
      </c>
    </row>
    <row r="87" spans="2:4" x14ac:dyDescent="0.3">
      <c r="B87" t="s">
        <v>1898</v>
      </c>
      <c r="C87" s="300">
        <f>SUMIF(BTS_매출관리!C:C,B87,BTS_매출관리!I:I)</f>
        <v>3135000</v>
      </c>
      <c r="D87">
        <f t="shared" si="1"/>
        <v>11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53</v>
      </c>
    </row>
    <row r="89" spans="2:4" x14ac:dyDescent="0.3">
      <c r="B89" t="s">
        <v>1277</v>
      </c>
      <c r="C89" s="300">
        <f>SUMIF(BTS_매출관리!C:C,B89,BTS_매출관리!I:I)</f>
        <v>800000</v>
      </c>
      <c r="D89">
        <f t="shared" si="1"/>
        <v>42</v>
      </c>
    </row>
    <row r="90" spans="2:4" x14ac:dyDescent="0.3">
      <c r="B90" t="s">
        <v>2862</v>
      </c>
      <c r="C90" s="52">
        <f>SUMIF(BTS_매출관리!C:C,B90,BTS_매출관리!I:I)</f>
        <v>1320000</v>
      </c>
      <c r="D90">
        <f t="shared" si="1"/>
        <v>31</v>
      </c>
    </row>
    <row r="91" spans="2:4" x14ac:dyDescent="0.3">
      <c r="B91" t="s">
        <v>2358</v>
      </c>
      <c r="C91" s="52">
        <f>SUMIF(BTS_매출관리!C:C,B91,BTS_매출관리!I:I)</f>
        <v>1200000</v>
      </c>
      <c r="D91">
        <f t="shared" si="1"/>
        <v>37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53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53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53</v>
      </c>
    </row>
    <row r="95" spans="2:4" x14ac:dyDescent="0.3">
      <c r="B95" t="s">
        <v>1225</v>
      </c>
      <c r="C95" s="52">
        <f>SUMIF(BTS_매출관리!C:C,B95,BTS_매출관리!I:I)</f>
        <v>1650000</v>
      </c>
      <c r="D95">
        <f t="shared" si="1"/>
        <v>24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53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53</v>
      </c>
    </row>
    <row r="98" spans="2:4" x14ac:dyDescent="0.3">
      <c r="B98" t="s">
        <v>2011</v>
      </c>
      <c r="C98" s="52">
        <f>SUMIF(BTS_매출관리!C:C,B98,BTS_매출관리!I:I)</f>
        <v>450000</v>
      </c>
      <c r="D98">
        <f t="shared" si="1"/>
        <v>47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53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53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53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53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53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53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53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53</v>
      </c>
    </row>
    <row r="107" spans="2:4" x14ac:dyDescent="0.3">
      <c r="B107" t="s">
        <v>2762</v>
      </c>
      <c r="C107" s="52">
        <f>SUMIF(BTS_매출관리!C:C,B107,BTS_매출관리!I:I)</f>
        <v>1265000</v>
      </c>
      <c r="D107">
        <f t="shared" si="1"/>
        <v>35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53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53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53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53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53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53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31</v>
      </c>
    </row>
    <row r="115" spans="2:4" x14ac:dyDescent="0.3">
      <c r="B115" t="s">
        <v>1323</v>
      </c>
      <c r="C115" s="52">
        <f>SUMIF(BTS_매출관리!C:C,B115,BTS_매출관리!I:I)</f>
        <v>3050000</v>
      </c>
      <c r="D115">
        <f t="shared" si="1"/>
        <v>12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53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53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53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53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53</v>
      </c>
    </row>
    <row r="121" spans="2:4" x14ac:dyDescent="0.3">
      <c r="B121" t="s">
        <v>2585</v>
      </c>
      <c r="C121" s="300">
        <f>SUMIF(BTS_매출관리!C:C,B121,BTS_매출관리!I:I)</f>
        <v>1600000</v>
      </c>
      <c r="D121">
        <f t="shared" si="1"/>
        <v>26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53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53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53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53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53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53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53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53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53</v>
      </c>
    </row>
    <row r="131" spans="2:4" x14ac:dyDescent="0.3">
      <c r="B131" t="s">
        <v>3566</v>
      </c>
      <c r="C131" s="52">
        <f>SUMIF(BTS_매출관리!C:C,B131,BTS_매출관리!I:I)</f>
        <v>0</v>
      </c>
      <c r="D131">
        <f t="shared" si="2"/>
        <v>53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53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53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53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53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53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53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53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53</v>
      </c>
    </row>
    <row r="140" spans="2:4" x14ac:dyDescent="0.3">
      <c r="B140" t="s">
        <v>2461</v>
      </c>
      <c r="C140" s="52">
        <f>SUMIF(BTS_매출관리!C:C,B140,BTS_매출관리!I:I)</f>
        <v>440000</v>
      </c>
      <c r="D140">
        <f t="shared" si="2"/>
        <v>48</v>
      </c>
    </row>
    <row r="141" spans="2:4" x14ac:dyDescent="0.3">
      <c r="B141" t="s">
        <v>1308</v>
      </c>
      <c r="C141" s="300">
        <f>SUMIF(BTS_매출관리!C:C,B141,BTS_매출관리!I:I)</f>
        <v>1900000</v>
      </c>
      <c r="D141">
        <f t="shared" si="2"/>
        <v>22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53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53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53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53</v>
      </c>
    </row>
    <row r="146" spans="2:4" x14ac:dyDescent="0.3">
      <c r="B146" t="s">
        <v>2047</v>
      </c>
      <c r="C146" s="52">
        <f>SUMIF(BTS_매출관리!C:C,B146,BTS_매출관리!I:I)</f>
        <v>2950000</v>
      </c>
      <c r="D146">
        <f t="shared" si="2"/>
        <v>13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53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53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53</v>
      </c>
    </row>
    <row r="150" spans="2:4" x14ac:dyDescent="0.3">
      <c r="B150" t="s">
        <v>3716</v>
      </c>
      <c r="C150" s="52">
        <f>SUMIF(BTS_매출관리!C:C,B150,BTS_매출관리!I:I)</f>
        <v>0</v>
      </c>
      <c r="D150">
        <f t="shared" si="2"/>
        <v>53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53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53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53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53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53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53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53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53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53</v>
      </c>
    </row>
    <row r="160" spans="2:4" x14ac:dyDescent="0.3">
      <c r="B160" t="s">
        <v>1329</v>
      </c>
      <c r="C160" s="52">
        <f>SUMIF(BTS_매출관리!C:C,B160,BTS_매출관리!I:I)</f>
        <v>1000000</v>
      </c>
      <c r="D160">
        <f t="shared" si="2"/>
        <v>39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53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53</v>
      </c>
    </row>
    <row r="163" spans="2:4" x14ac:dyDescent="0.3">
      <c r="B163" t="s">
        <v>1280</v>
      </c>
      <c r="C163" s="52">
        <f>SUMIF(BTS_매출관리!C:C,B163,BTS_매출관리!I:I)</f>
        <v>1300000</v>
      </c>
      <c r="D163">
        <f t="shared" si="2"/>
        <v>34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53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53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53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53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53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53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53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53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53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53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53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53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53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53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53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53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53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53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53</v>
      </c>
    </row>
    <row r="188" spans="2:4" x14ac:dyDescent="0.3">
      <c r="C188" s="52">
        <f>SUMIF(BTS_매출관리!C:C,B188,BTS_매출관리!I:I)</f>
        <v>0</v>
      </c>
      <c r="D188">
        <f t="shared" si="2"/>
        <v>53</v>
      </c>
    </row>
    <row r="189" spans="2:4" x14ac:dyDescent="0.3">
      <c r="C189" s="52">
        <f>SUMIF(BTS_매출관리!C:C,B189,BTS_매출관리!I:I)</f>
        <v>0</v>
      </c>
      <c r="D189">
        <f t="shared" si="2"/>
        <v>53</v>
      </c>
    </row>
    <row r="190" spans="2:4" x14ac:dyDescent="0.3">
      <c r="C190" s="52">
        <f>SUMIF(BTS_매출관리!C:C,B190,BTS_매출관리!I:I)</f>
        <v>0</v>
      </c>
      <c r="D190">
        <f t="shared" si="2"/>
        <v>53</v>
      </c>
    </row>
    <row r="191" spans="2:4" x14ac:dyDescent="0.3">
      <c r="C191" s="52">
        <f>SUMIF(BTS_매출관리!C:C,B191,BTS_매출관리!I:I)</f>
        <v>0</v>
      </c>
      <c r="D191">
        <f t="shared" si="2"/>
        <v>53</v>
      </c>
    </row>
    <row r="192" spans="2:4" x14ac:dyDescent="0.3">
      <c r="C192" s="52">
        <f>SUMIF(BTS_매출관리!C:C,B192,BTS_매출관리!I:I)</f>
        <v>0</v>
      </c>
      <c r="D192">
        <f t="shared" si="2"/>
        <v>53</v>
      </c>
    </row>
    <row r="193" spans="3:4" x14ac:dyDescent="0.3">
      <c r="C193" s="52">
        <f>SUMIF(BTS_매출관리!C:C,B193,BTS_매출관리!I:I)</f>
        <v>0</v>
      </c>
      <c r="D193">
        <f t="shared" si="2"/>
        <v>53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53</v>
      </c>
    </row>
    <row r="195" spans="3:4" x14ac:dyDescent="0.3">
      <c r="C195" s="52">
        <f>SUMIF(BTS_매출관리!C:C,B195,BTS_매출관리!I:I)</f>
        <v>0</v>
      </c>
      <c r="D195">
        <f t="shared" si="3"/>
        <v>53</v>
      </c>
    </row>
    <row r="196" spans="3:4" x14ac:dyDescent="0.3">
      <c r="C196" s="52">
        <f>SUMIF(BTS_매출관리!C:C,B196,BTS_매출관리!I:I)</f>
        <v>0</v>
      </c>
      <c r="D196">
        <f t="shared" si="3"/>
        <v>53</v>
      </c>
    </row>
    <row r="197" spans="3:4" x14ac:dyDescent="0.3">
      <c r="C197" s="52">
        <f>SUMIF(BTS_매출관리!C:C,B197,BTS_매출관리!I:I)</f>
        <v>0</v>
      </c>
      <c r="D197">
        <f t="shared" si="3"/>
        <v>53</v>
      </c>
    </row>
    <row r="198" spans="3:4" x14ac:dyDescent="0.3">
      <c r="C198" s="52">
        <f>SUMIF(BTS_매출관리!C:C,B198,BTS_매출관리!I:I)</f>
        <v>0</v>
      </c>
      <c r="D198">
        <f t="shared" si="3"/>
        <v>53</v>
      </c>
    </row>
    <row r="199" spans="3:4" x14ac:dyDescent="0.3">
      <c r="C199" s="52">
        <f>SUMIF(BTS_매출관리!C:C,B199,BTS_매출관리!I:I)</f>
        <v>0</v>
      </c>
      <c r="D199">
        <f t="shared" si="3"/>
        <v>53</v>
      </c>
    </row>
    <row r="200" spans="3:4" x14ac:dyDescent="0.3">
      <c r="C200" s="52">
        <f>SUMIF(BTS_매출관리!C:C,B200,BTS_매출관리!I:I)</f>
        <v>0</v>
      </c>
      <c r="D200">
        <f t="shared" si="3"/>
        <v>53</v>
      </c>
    </row>
    <row r="201" spans="3:4" x14ac:dyDescent="0.3">
      <c r="C201" s="52">
        <f>SUMIF(BTS_매출관리!C:C,B201,BTS_매출관리!I:I)</f>
        <v>0</v>
      </c>
      <c r="D201">
        <f t="shared" si="3"/>
        <v>53</v>
      </c>
    </row>
    <row r="202" spans="3:4" x14ac:dyDescent="0.3">
      <c r="C202" s="52">
        <f>SUMIF(BTS_매출관리!C:C,B202,BTS_매출관리!I:I)</f>
        <v>0</v>
      </c>
      <c r="D202">
        <f t="shared" si="3"/>
        <v>53</v>
      </c>
    </row>
    <row r="203" spans="3:4" x14ac:dyDescent="0.3">
      <c r="C203" s="52">
        <f>SUMIF(BTS_매출관리!C:C,B203,BTS_매출관리!I:I)</f>
        <v>0</v>
      </c>
      <c r="D203">
        <f t="shared" si="3"/>
        <v>53</v>
      </c>
    </row>
    <row r="204" spans="3:4" x14ac:dyDescent="0.3">
      <c r="C204" s="52">
        <f>SUMIF(BTS_매출관리!C:C,B204,BTS_매출관리!I:I)</f>
        <v>0</v>
      </c>
      <c r="D204">
        <f t="shared" si="3"/>
        <v>53</v>
      </c>
    </row>
    <row r="205" spans="3:4" x14ac:dyDescent="0.3">
      <c r="C205" s="52">
        <f>SUMIF(BTS_매출관리!C:C,B205,BTS_매출관리!I:I)</f>
        <v>0</v>
      </c>
      <c r="D205">
        <f t="shared" si="3"/>
        <v>53</v>
      </c>
    </row>
    <row r="206" spans="3:4" x14ac:dyDescent="0.3">
      <c r="C206" s="52">
        <f>SUMIF(BTS_매출관리!C:C,B206,BTS_매출관리!I:I)</f>
        <v>0</v>
      </c>
      <c r="D206">
        <f t="shared" si="3"/>
        <v>53</v>
      </c>
    </row>
    <row r="207" spans="3:4" x14ac:dyDescent="0.3">
      <c r="C207" s="52">
        <f>SUMIF(BTS_매출관리!C:C,B207,BTS_매출관리!I:I)</f>
        <v>0</v>
      </c>
      <c r="D207">
        <f t="shared" si="3"/>
        <v>53</v>
      </c>
    </row>
    <row r="208" spans="3:4" x14ac:dyDescent="0.3">
      <c r="C208" s="52">
        <f>SUMIF(BTS_매출관리!C:C,B208,BTS_매출관리!I:I)</f>
        <v>0</v>
      </c>
      <c r="D208">
        <f t="shared" si="3"/>
        <v>53</v>
      </c>
    </row>
    <row r="209" spans="3:4" x14ac:dyDescent="0.3">
      <c r="C209" s="52">
        <f>SUMIF(BTS_매출관리!C:C,B209,BTS_매출관리!I:I)</f>
        <v>0</v>
      </c>
      <c r="D209">
        <f t="shared" si="3"/>
        <v>53</v>
      </c>
    </row>
    <row r="210" spans="3:4" x14ac:dyDescent="0.3">
      <c r="C210" s="52">
        <f>SUMIF(BTS_매출관리!C:C,B210,BTS_매출관리!I:I)</f>
        <v>0</v>
      </c>
      <c r="D210">
        <f t="shared" si="3"/>
        <v>53</v>
      </c>
    </row>
    <row r="211" spans="3:4" x14ac:dyDescent="0.3">
      <c r="C211" s="52">
        <f>SUMIF(BTS_매출관리!C:C,B211,BTS_매출관리!I:I)</f>
        <v>0</v>
      </c>
      <c r="D211">
        <f t="shared" si="3"/>
        <v>53</v>
      </c>
    </row>
    <row r="212" spans="3:4" x14ac:dyDescent="0.3">
      <c r="C212" s="52">
        <f>SUMIF(BTS_매출관리!C:C,B212,BTS_매출관리!I:I)</f>
        <v>0</v>
      </c>
      <c r="D212">
        <f t="shared" si="3"/>
        <v>53</v>
      </c>
    </row>
    <row r="213" spans="3:4" x14ac:dyDescent="0.3">
      <c r="C213" s="52">
        <f>SUMIF(BTS_매출관리!C:C,B213,BTS_매출관리!I:I)</f>
        <v>0</v>
      </c>
      <c r="D213">
        <f t="shared" si="3"/>
        <v>53</v>
      </c>
    </row>
    <row r="214" spans="3:4" x14ac:dyDescent="0.3">
      <c r="C214" s="52">
        <f>SUMIF(BTS_매출관리!C:C,B214,BTS_매출관리!I:I)</f>
        <v>0</v>
      </c>
      <c r="D214">
        <f t="shared" si="3"/>
        <v>53</v>
      </c>
    </row>
    <row r="215" spans="3:4" x14ac:dyDescent="0.3">
      <c r="C215" s="52">
        <f>SUMIF(BTS_매출관리!C:C,B215,BTS_매출관리!I:I)</f>
        <v>0</v>
      </c>
      <c r="D215">
        <f t="shared" si="3"/>
        <v>53</v>
      </c>
    </row>
    <row r="216" spans="3:4" x14ac:dyDescent="0.3">
      <c r="C216" s="52">
        <f>SUMIF(BTS_매출관리!C:C,B216,BTS_매출관리!I:I)</f>
        <v>0</v>
      </c>
      <c r="D216">
        <f t="shared" si="3"/>
        <v>53</v>
      </c>
    </row>
    <row r="217" spans="3:4" x14ac:dyDescent="0.3">
      <c r="C217" s="52">
        <f>SUMIF(BTS_매출관리!C:C,B217,BTS_매출관리!I:I)</f>
        <v>0</v>
      </c>
      <c r="D217">
        <f t="shared" si="3"/>
        <v>53</v>
      </c>
    </row>
    <row r="218" spans="3:4" x14ac:dyDescent="0.3">
      <c r="C218" s="52">
        <f>SUMIF(BTS_매출관리!C:C,B218,BTS_매출관리!I:I)</f>
        <v>0</v>
      </c>
      <c r="D218">
        <f t="shared" si="3"/>
        <v>53</v>
      </c>
    </row>
    <row r="219" spans="3:4" x14ac:dyDescent="0.3">
      <c r="C219" s="52">
        <f>SUMIF(BTS_매출관리!C:C,B219,BTS_매출관리!I:I)</f>
        <v>0</v>
      </c>
      <c r="D219">
        <f t="shared" si="3"/>
        <v>53</v>
      </c>
    </row>
    <row r="220" spans="3:4" x14ac:dyDescent="0.3">
      <c r="C220" s="52">
        <f>SUMIF(BTS_매출관리!C:C,B220,BTS_매출관리!I:I)</f>
        <v>0</v>
      </c>
      <c r="D220">
        <f t="shared" si="3"/>
        <v>53</v>
      </c>
    </row>
    <row r="221" spans="3:4" x14ac:dyDescent="0.3">
      <c r="C221" s="52">
        <f>SUMIF(BTS_매출관리!C:C,B221,BTS_매출관리!I:I)</f>
        <v>0</v>
      </c>
      <c r="D221">
        <f t="shared" si="3"/>
        <v>53</v>
      </c>
    </row>
    <row r="222" spans="3:4" x14ac:dyDescent="0.3">
      <c r="C222" s="52">
        <f>SUMIF(BTS_매출관리!C:C,B222,BTS_매출관리!I:I)</f>
        <v>0</v>
      </c>
      <c r="D222">
        <f t="shared" si="3"/>
        <v>53</v>
      </c>
    </row>
    <row r="223" spans="3:4" x14ac:dyDescent="0.3">
      <c r="C223" s="52">
        <f>SUMIF(BTS_매출관리!C:C,B223,BTS_매출관리!I:I)</f>
        <v>0</v>
      </c>
      <c r="D223">
        <f t="shared" si="3"/>
        <v>53</v>
      </c>
    </row>
    <row r="224" spans="3:4" x14ac:dyDescent="0.3">
      <c r="C224" s="52">
        <f>SUMIF(BTS_매출관리!C:C,B224,BTS_매출관리!I:I)</f>
        <v>0</v>
      </c>
      <c r="D224">
        <f t="shared" si="3"/>
        <v>53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30" t="s">
        <v>1165</v>
      </c>
      <c r="B3" s="37" t="s">
        <v>59</v>
      </c>
      <c r="C3" s="490" t="s">
        <v>1535</v>
      </c>
      <c r="D3" s="491"/>
      <c r="E3" s="491"/>
      <c r="F3" s="491"/>
      <c r="G3" s="491"/>
      <c r="H3" s="491"/>
      <c r="I3" s="491"/>
      <c r="J3" s="492"/>
      <c r="K3" s="336" t="s">
        <v>1166</v>
      </c>
      <c r="L3" s="37" t="s">
        <v>59</v>
      </c>
      <c r="M3" s="487" t="s">
        <v>964</v>
      </c>
      <c r="N3" s="488"/>
      <c r="O3" s="488"/>
      <c r="P3" s="488"/>
      <c r="Q3" s="488"/>
      <c r="R3" s="488"/>
      <c r="S3" s="488"/>
      <c r="T3" s="488"/>
      <c r="U3" s="489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493" t="s">
        <v>73</v>
      </c>
      <c r="U4" s="494"/>
    </row>
    <row r="5" spans="1:21" ht="15.75" customHeight="1" x14ac:dyDescent="0.3">
      <c r="A5" s="331"/>
      <c r="B5" s="38" t="s">
        <v>60</v>
      </c>
      <c r="C5" s="321" t="s">
        <v>1093</v>
      </c>
      <c r="D5" s="322"/>
      <c r="E5" s="322"/>
      <c r="F5" s="322"/>
      <c r="G5" s="322"/>
      <c r="H5" s="322"/>
      <c r="I5" s="322"/>
      <c r="J5" s="323"/>
      <c r="K5" s="337"/>
      <c r="L5" s="38" t="s">
        <v>60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15.75" customHeight="1" x14ac:dyDescent="0.3">
      <c r="A6" s="332"/>
      <c r="B6" s="38" t="s">
        <v>75</v>
      </c>
      <c r="C6" s="321" t="s">
        <v>1092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973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78</v>
      </c>
      <c r="G7" s="326"/>
      <c r="H7" s="326"/>
      <c r="I7" s="327"/>
      <c r="J7" s="328" t="s">
        <v>67</v>
      </c>
      <c r="K7" s="327"/>
      <c r="L7" s="328" t="s">
        <v>42</v>
      </c>
      <c r="M7" s="326"/>
      <c r="N7" s="326"/>
      <c r="O7" s="326"/>
      <c r="P7" s="327"/>
      <c r="Q7" s="328" t="s">
        <v>68</v>
      </c>
      <c r="R7" s="326"/>
      <c r="S7" s="327"/>
      <c r="T7" s="328" t="s">
        <v>69</v>
      </c>
      <c r="U7" s="329"/>
    </row>
    <row r="8" spans="1:21" ht="15" customHeight="1" x14ac:dyDescent="0.3">
      <c r="A8" s="495" t="s">
        <v>1131</v>
      </c>
      <c r="B8" s="496"/>
      <c r="C8" s="496"/>
      <c r="D8" s="496"/>
      <c r="E8" s="497"/>
      <c r="F8" s="498"/>
      <c r="G8" s="496"/>
      <c r="H8" s="496"/>
      <c r="I8" s="497"/>
      <c r="J8" s="499">
        <v>1</v>
      </c>
      <c r="K8" s="356"/>
      <c r="L8" s="477">
        <v>1000000</v>
      </c>
      <c r="M8" s="478"/>
      <c r="N8" s="478"/>
      <c r="O8" s="478"/>
      <c r="P8" s="479"/>
      <c r="Q8" s="477">
        <v>1000000</v>
      </c>
      <c r="R8" s="478"/>
      <c r="S8" s="479"/>
      <c r="T8" s="363"/>
      <c r="U8" s="364"/>
    </row>
    <row r="9" spans="1:21" ht="15" customHeight="1" x14ac:dyDescent="0.3">
      <c r="A9" s="480"/>
      <c r="B9" s="481"/>
      <c r="C9" s="481"/>
      <c r="D9" s="481"/>
      <c r="E9" s="482"/>
      <c r="F9" s="483"/>
      <c r="G9" s="481"/>
      <c r="H9" s="481"/>
      <c r="I9" s="482"/>
      <c r="J9" s="348"/>
      <c r="K9" s="347"/>
      <c r="L9" s="484"/>
      <c r="M9" s="485"/>
      <c r="N9" s="485"/>
      <c r="O9" s="485"/>
      <c r="P9" s="486"/>
      <c r="Q9" s="484"/>
      <c r="R9" s="485"/>
      <c r="S9" s="486"/>
      <c r="T9" s="352"/>
      <c r="U9" s="353"/>
    </row>
    <row r="10" spans="1:21" ht="15" customHeight="1" x14ac:dyDescent="0.3">
      <c r="A10" s="480"/>
      <c r="B10" s="481"/>
      <c r="C10" s="481"/>
      <c r="D10" s="481"/>
      <c r="E10" s="482"/>
      <c r="F10" s="483"/>
      <c r="G10" s="481"/>
      <c r="H10" s="481"/>
      <c r="I10" s="482"/>
      <c r="J10" s="348"/>
      <c r="K10" s="347"/>
      <c r="L10" s="484"/>
      <c r="M10" s="485"/>
      <c r="N10" s="485"/>
      <c r="O10" s="485"/>
      <c r="P10" s="486"/>
      <c r="Q10" s="484"/>
      <c r="R10" s="485"/>
      <c r="S10" s="486"/>
      <c r="T10" s="352"/>
      <c r="U10" s="353"/>
    </row>
    <row r="11" spans="1:21" ht="15" customHeight="1" x14ac:dyDescent="0.3">
      <c r="A11" s="480"/>
      <c r="B11" s="481"/>
      <c r="C11" s="481"/>
      <c r="D11" s="481"/>
      <c r="E11" s="482"/>
      <c r="F11" s="483"/>
      <c r="G11" s="481"/>
      <c r="H11" s="481"/>
      <c r="I11" s="482"/>
      <c r="J11" s="348"/>
      <c r="K11" s="347"/>
      <c r="L11" s="484"/>
      <c r="M11" s="485"/>
      <c r="N11" s="485"/>
      <c r="O11" s="485"/>
      <c r="P11" s="486"/>
      <c r="Q11" s="484"/>
      <c r="R11" s="485"/>
      <c r="S11" s="486"/>
      <c r="T11" s="352"/>
      <c r="U11" s="353"/>
    </row>
    <row r="12" spans="1:21" ht="15" customHeight="1" x14ac:dyDescent="0.3">
      <c r="A12" s="480"/>
      <c r="B12" s="481"/>
      <c r="C12" s="481"/>
      <c r="D12" s="481"/>
      <c r="E12" s="482"/>
      <c r="F12" s="483"/>
      <c r="G12" s="481"/>
      <c r="H12" s="481"/>
      <c r="I12" s="482"/>
      <c r="J12" s="348"/>
      <c r="K12" s="347"/>
      <c r="L12" s="484"/>
      <c r="M12" s="485"/>
      <c r="N12" s="485"/>
      <c r="O12" s="485"/>
      <c r="P12" s="486"/>
      <c r="Q12" s="484"/>
      <c r="R12" s="485"/>
      <c r="S12" s="486"/>
      <c r="T12" s="352"/>
      <c r="U12" s="353"/>
    </row>
    <row r="13" spans="1:21" ht="15" customHeight="1" x14ac:dyDescent="0.3">
      <c r="A13" s="480"/>
      <c r="B13" s="481"/>
      <c r="C13" s="481"/>
      <c r="D13" s="481"/>
      <c r="E13" s="482"/>
      <c r="F13" s="500"/>
      <c r="G13" s="501"/>
      <c r="H13" s="501"/>
      <c r="I13" s="502"/>
      <c r="J13" s="348"/>
      <c r="K13" s="347"/>
      <c r="L13" s="484"/>
      <c r="M13" s="485"/>
      <c r="N13" s="485"/>
      <c r="O13" s="485"/>
      <c r="P13" s="486"/>
      <c r="Q13" s="484"/>
      <c r="R13" s="485"/>
      <c r="S13" s="486"/>
      <c r="T13" s="352"/>
      <c r="U13" s="353"/>
    </row>
    <row r="14" spans="1:21" ht="15" customHeight="1" x14ac:dyDescent="0.3">
      <c r="A14" s="480"/>
      <c r="B14" s="481"/>
      <c r="C14" s="481"/>
      <c r="D14" s="481"/>
      <c r="E14" s="482"/>
      <c r="F14" s="483"/>
      <c r="G14" s="481"/>
      <c r="H14" s="481"/>
      <c r="I14" s="482"/>
      <c r="J14" s="348"/>
      <c r="K14" s="347"/>
      <c r="L14" s="484"/>
      <c r="M14" s="485"/>
      <c r="N14" s="485"/>
      <c r="O14" s="485"/>
      <c r="P14" s="486"/>
      <c r="Q14" s="484"/>
      <c r="R14" s="485"/>
      <c r="S14" s="486"/>
      <c r="T14" s="352"/>
      <c r="U14" s="353"/>
    </row>
    <row r="15" spans="1:21" ht="15" customHeight="1" x14ac:dyDescent="0.3">
      <c r="A15" s="345"/>
      <c r="B15" s="346"/>
      <c r="C15" s="346"/>
      <c r="D15" s="346"/>
      <c r="E15" s="347"/>
      <c r="F15" s="348"/>
      <c r="G15" s="346"/>
      <c r="H15" s="346"/>
      <c r="I15" s="347"/>
      <c r="J15" s="348"/>
      <c r="K15" s="347"/>
      <c r="L15" s="503"/>
      <c r="M15" s="504"/>
      <c r="N15" s="504"/>
      <c r="O15" s="504"/>
      <c r="P15" s="505"/>
      <c r="Q15" s="503"/>
      <c r="R15" s="504"/>
      <c r="S15" s="505"/>
      <c r="T15" s="352"/>
      <c r="U15" s="353"/>
    </row>
    <row r="16" spans="1:21" ht="15" customHeight="1" x14ac:dyDescent="0.3">
      <c r="A16" s="345"/>
      <c r="B16" s="346"/>
      <c r="C16" s="346"/>
      <c r="D16" s="346"/>
      <c r="E16" s="347"/>
      <c r="F16" s="348"/>
      <c r="G16" s="346"/>
      <c r="H16" s="346"/>
      <c r="I16" s="347"/>
      <c r="J16" s="348"/>
      <c r="K16" s="347"/>
      <c r="L16" s="503"/>
      <c r="M16" s="504"/>
      <c r="N16" s="504"/>
      <c r="O16" s="504"/>
      <c r="P16" s="505"/>
      <c r="Q16" s="503"/>
      <c r="R16" s="504"/>
      <c r="S16" s="505"/>
      <c r="T16" s="352"/>
      <c r="U16" s="353"/>
    </row>
    <row r="17" spans="1:21" ht="15" customHeight="1" x14ac:dyDescent="0.3">
      <c r="A17" s="345"/>
      <c r="B17" s="346"/>
      <c r="C17" s="346"/>
      <c r="D17" s="346"/>
      <c r="E17" s="347"/>
      <c r="F17" s="348"/>
      <c r="G17" s="346"/>
      <c r="H17" s="346"/>
      <c r="I17" s="347"/>
      <c r="J17" s="348"/>
      <c r="K17" s="347"/>
      <c r="L17" s="503"/>
      <c r="M17" s="504"/>
      <c r="N17" s="504"/>
      <c r="O17" s="504"/>
      <c r="P17" s="505"/>
      <c r="Q17" s="503"/>
      <c r="R17" s="504"/>
      <c r="S17" s="505"/>
      <c r="T17" s="352"/>
      <c r="U17" s="353"/>
    </row>
    <row r="18" spans="1:21" ht="15" customHeight="1" x14ac:dyDescent="0.3">
      <c r="A18" s="345"/>
      <c r="B18" s="346"/>
      <c r="C18" s="346"/>
      <c r="D18" s="346"/>
      <c r="E18" s="347"/>
      <c r="F18" s="348"/>
      <c r="G18" s="346"/>
      <c r="H18" s="346"/>
      <c r="I18" s="347"/>
      <c r="J18" s="348"/>
      <c r="K18" s="347"/>
      <c r="L18" s="503"/>
      <c r="M18" s="504"/>
      <c r="N18" s="504"/>
      <c r="O18" s="504"/>
      <c r="P18" s="505"/>
      <c r="Q18" s="503"/>
      <c r="R18" s="504"/>
      <c r="S18" s="505"/>
      <c r="T18" s="352"/>
      <c r="U18" s="353"/>
    </row>
    <row r="19" spans="1:21" ht="15" customHeight="1" x14ac:dyDescent="0.3">
      <c r="A19" s="526"/>
      <c r="B19" s="527"/>
      <c r="C19" s="527"/>
      <c r="D19" s="527"/>
      <c r="E19" s="523"/>
      <c r="F19" s="522"/>
      <c r="G19" s="527"/>
      <c r="H19" s="527"/>
      <c r="I19" s="523"/>
      <c r="J19" s="522"/>
      <c r="K19" s="523"/>
      <c r="L19" s="473"/>
      <c r="M19" s="474"/>
      <c r="N19" s="474"/>
      <c r="O19" s="474"/>
      <c r="P19" s="475"/>
      <c r="Q19" s="473"/>
      <c r="R19" s="474"/>
      <c r="S19" s="475"/>
      <c r="T19" s="524"/>
      <c r="U19" s="525"/>
    </row>
    <row r="20" spans="1:21" x14ac:dyDescent="0.3">
      <c r="A20" s="325" t="s">
        <v>80</v>
      </c>
      <c r="B20" s="326"/>
      <c r="C20" s="326"/>
      <c r="D20" s="326"/>
      <c r="E20" s="326"/>
      <c r="F20" s="404">
        <v>2450000</v>
      </c>
      <c r="G20" s="404"/>
      <c r="H20" s="404"/>
      <c r="I20" s="405"/>
      <c r="J20" s="476">
        <f>SUM(J8:K19)</f>
        <v>1</v>
      </c>
      <c r="K20" s="476"/>
      <c r="L20" s="459" t="s">
        <v>959</v>
      </c>
      <c r="M20" s="460"/>
      <c r="N20" s="460"/>
      <c r="O20" s="460"/>
      <c r="P20" s="461"/>
      <c r="Q20" s="403">
        <f>SUM(Q8:S19)</f>
        <v>1000000</v>
      </c>
      <c r="R20" s="404"/>
      <c r="S20" s="404"/>
      <c r="T20" s="404"/>
      <c r="U20" s="406"/>
    </row>
    <row r="21" spans="1:21" ht="17.25" thickBot="1" x14ac:dyDescent="0.35">
      <c r="A21" s="428" t="s">
        <v>90</v>
      </c>
      <c r="B21" s="429"/>
      <c r="C21" s="429"/>
      <c r="D21" s="429"/>
      <c r="E21" s="429"/>
      <c r="F21" s="430">
        <f>F20+Q20</f>
        <v>3450000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34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5">
      <c r="A24" s="519" t="s">
        <v>71</v>
      </c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1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30" t="s">
        <v>1165</v>
      </c>
      <c r="B26" s="37" t="s">
        <v>59</v>
      </c>
      <c r="C26" s="509" t="str">
        <f>C3</f>
        <v>제이오토(대구)</v>
      </c>
      <c r="D26" s="510"/>
      <c r="E26" s="510"/>
      <c r="F26" s="510"/>
      <c r="G26" s="510"/>
      <c r="H26" s="510"/>
      <c r="I26" s="510"/>
      <c r="J26" s="511"/>
      <c r="K26" s="336" t="s">
        <v>1166</v>
      </c>
      <c r="L26" s="37" t="s">
        <v>59</v>
      </c>
      <c r="M26" s="487" t="str">
        <f>M3</f>
        <v>BTS&amp;P</v>
      </c>
      <c r="N26" s="488"/>
      <c r="O26" s="488"/>
      <c r="P26" s="488"/>
      <c r="Q26" s="488"/>
      <c r="R26" s="488"/>
      <c r="S26" s="488"/>
      <c r="T26" s="488"/>
      <c r="U26" s="489"/>
    </row>
    <row r="27" spans="1:21" ht="24.95" customHeight="1" x14ac:dyDescent="0.3">
      <c r="A27" s="331"/>
      <c r="B27" s="37" t="s">
        <v>61</v>
      </c>
      <c r="C27" s="470">
        <f>C4</f>
        <v>0</v>
      </c>
      <c r="D27" s="471"/>
      <c r="E27" s="471"/>
      <c r="F27" s="471"/>
      <c r="G27" s="471"/>
      <c r="H27" s="471"/>
      <c r="I27" s="471"/>
      <c r="J27" s="472"/>
      <c r="K27" s="337"/>
      <c r="L27" s="37" t="s">
        <v>61</v>
      </c>
      <c r="M27" s="321" t="str">
        <f>M4</f>
        <v>259-12-01768</v>
      </c>
      <c r="N27" s="322"/>
      <c r="O27" s="322"/>
      <c r="P27" s="322"/>
      <c r="Q27" s="322"/>
      <c r="R27" s="323"/>
      <c r="S27" s="38" t="s">
        <v>62</v>
      </c>
      <c r="T27" s="493" t="str">
        <f>T4</f>
        <v>장효주</v>
      </c>
      <c r="U27" s="494"/>
    </row>
    <row r="28" spans="1:21" ht="15.75" customHeight="1" x14ac:dyDescent="0.3">
      <c r="A28" s="331"/>
      <c r="B28" s="38" t="s">
        <v>10</v>
      </c>
      <c r="C28" s="321" t="str">
        <f>C5</f>
        <v>대구광역시 서구 가르뱅이로 53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tr">
        <f>M5</f>
        <v>대구 달서구 용산로 28(본리동)</v>
      </c>
      <c r="N28" s="322"/>
      <c r="O28" s="322"/>
      <c r="P28" s="322"/>
      <c r="Q28" s="322"/>
      <c r="R28" s="322"/>
      <c r="S28" s="322"/>
      <c r="T28" s="322"/>
      <c r="U28" s="324"/>
    </row>
    <row r="29" spans="1:21" ht="15.75" customHeight="1" x14ac:dyDescent="0.3">
      <c r="A29" s="332"/>
      <c r="B29" s="38" t="s">
        <v>75</v>
      </c>
      <c r="C29" s="321" t="str">
        <f>C6</f>
        <v>010-5102-8176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tr">
        <f>M6</f>
        <v>010-5168-3542</v>
      </c>
      <c r="N29" s="322"/>
      <c r="O29" s="322"/>
      <c r="P29" s="322"/>
      <c r="Q29" s="322"/>
      <c r="R29" s="323"/>
      <c r="S29" s="38" t="s">
        <v>22</v>
      </c>
      <c r="T29" s="321"/>
      <c r="U29" s="324"/>
    </row>
    <row r="30" spans="1:21" ht="15.75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67</v>
      </c>
      <c r="K30" s="327"/>
      <c r="L30" s="328" t="s">
        <v>42</v>
      </c>
      <c r="M30" s="326"/>
      <c r="N30" s="326"/>
      <c r="O30" s="326"/>
      <c r="P30" s="327"/>
      <c r="Q30" s="328" t="s">
        <v>68</v>
      </c>
      <c r="R30" s="326"/>
      <c r="S30" s="327"/>
      <c r="T30" s="328" t="s">
        <v>69</v>
      </c>
      <c r="U30" s="329"/>
    </row>
    <row r="31" spans="1:21" ht="15" customHeight="1" x14ac:dyDescent="0.3">
      <c r="A31" s="514" t="str">
        <f>A8</f>
        <v>8HP70 VALBEBODY</v>
      </c>
      <c r="B31" s="512"/>
      <c r="C31" s="512"/>
      <c r="D31" s="512"/>
      <c r="E31" s="512"/>
      <c r="F31" s="512">
        <f>F8</f>
        <v>0</v>
      </c>
      <c r="G31" s="512"/>
      <c r="H31" s="512"/>
      <c r="I31" s="512"/>
      <c r="J31" s="512">
        <f>J8</f>
        <v>1</v>
      </c>
      <c r="K31" s="512"/>
      <c r="L31" s="468">
        <f>L8</f>
        <v>1000000</v>
      </c>
      <c r="M31" s="468"/>
      <c r="N31" s="468"/>
      <c r="O31" s="468"/>
      <c r="P31" s="468"/>
      <c r="Q31" s="468">
        <f>Q8</f>
        <v>1000000</v>
      </c>
      <c r="R31" s="468"/>
      <c r="S31" s="468"/>
      <c r="T31" s="512">
        <f>T8</f>
        <v>0</v>
      </c>
      <c r="U31" s="513"/>
    </row>
    <row r="32" spans="1:21" ht="15" customHeight="1" x14ac:dyDescent="0.3">
      <c r="A32" s="508">
        <f t="shared" ref="A32:A42" si="0">A9</f>
        <v>0</v>
      </c>
      <c r="B32" s="506"/>
      <c r="C32" s="506"/>
      <c r="D32" s="506"/>
      <c r="E32" s="506"/>
      <c r="F32" s="506">
        <f t="shared" ref="F32:F42" si="1">F9</f>
        <v>0</v>
      </c>
      <c r="G32" s="506"/>
      <c r="H32" s="506"/>
      <c r="I32" s="506"/>
      <c r="J32" s="506">
        <f t="shared" ref="J32:J42" si="2">J9</f>
        <v>0</v>
      </c>
      <c r="K32" s="506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506">
        <f t="shared" ref="T32:T42" si="5">T9</f>
        <v>0</v>
      </c>
      <c r="U32" s="507"/>
    </row>
    <row r="33" spans="1:21" ht="15" customHeight="1" x14ac:dyDescent="0.3">
      <c r="A33" s="508">
        <f t="shared" si="0"/>
        <v>0</v>
      </c>
      <c r="B33" s="506"/>
      <c r="C33" s="506"/>
      <c r="D33" s="506"/>
      <c r="E33" s="506"/>
      <c r="F33" s="506">
        <f t="shared" si="1"/>
        <v>0</v>
      </c>
      <c r="G33" s="506"/>
      <c r="H33" s="506"/>
      <c r="I33" s="506"/>
      <c r="J33" s="506">
        <f t="shared" si="2"/>
        <v>0</v>
      </c>
      <c r="K33" s="506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506">
        <f t="shared" si="5"/>
        <v>0</v>
      </c>
      <c r="U33" s="507"/>
    </row>
    <row r="34" spans="1:21" ht="15" customHeight="1" x14ac:dyDescent="0.3">
      <c r="A34" s="508">
        <f t="shared" si="0"/>
        <v>0</v>
      </c>
      <c r="B34" s="506"/>
      <c r="C34" s="506"/>
      <c r="D34" s="506"/>
      <c r="E34" s="506"/>
      <c r="F34" s="506">
        <f t="shared" si="1"/>
        <v>0</v>
      </c>
      <c r="G34" s="506"/>
      <c r="H34" s="506"/>
      <c r="I34" s="506"/>
      <c r="J34" s="506">
        <v>1</v>
      </c>
      <c r="K34" s="506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506">
        <f t="shared" si="5"/>
        <v>0</v>
      </c>
      <c r="U34" s="507"/>
    </row>
    <row r="35" spans="1:21" ht="15" customHeight="1" x14ac:dyDescent="0.3">
      <c r="A35" s="508">
        <f t="shared" si="0"/>
        <v>0</v>
      </c>
      <c r="B35" s="506"/>
      <c r="C35" s="506"/>
      <c r="D35" s="506"/>
      <c r="E35" s="506"/>
      <c r="F35" s="506">
        <f t="shared" si="1"/>
        <v>0</v>
      </c>
      <c r="G35" s="506"/>
      <c r="H35" s="506"/>
      <c r="I35" s="506"/>
      <c r="J35" s="506">
        <f t="shared" si="2"/>
        <v>0</v>
      </c>
      <c r="K35" s="506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506">
        <f t="shared" si="5"/>
        <v>0</v>
      </c>
      <c r="U35" s="507"/>
    </row>
    <row r="36" spans="1:21" ht="15" customHeight="1" x14ac:dyDescent="0.3">
      <c r="A36" s="508">
        <f t="shared" si="0"/>
        <v>0</v>
      </c>
      <c r="B36" s="506"/>
      <c r="C36" s="506"/>
      <c r="D36" s="506"/>
      <c r="E36" s="506"/>
      <c r="F36" s="506">
        <f t="shared" si="1"/>
        <v>0</v>
      </c>
      <c r="G36" s="506"/>
      <c r="H36" s="506"/>
      <c r="I36" s="506"/>
      <c r="J36" s="506">
        <f t="shared" si="2"/>
        <v>0</v>
      </c>
      <c r="K36" s="506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506">
        <f t="shared" si="5"/>
        <v>0</v>
      </c>
      <c r="U36" s="507"/>
    </row>
    <row r="37" spans="1:21" ht="15" customHeight="1" x14ac:dyDescent="0.3">
      <c r="A37" s="508">
        <f t="shared" si="0"/>
        <v>0</v>
      </c>
      <c r="B37" s="506"/>
      <c r="C37" s="506"/>
      <c r="D37" s="506"/>
      <c r="E37" s="506"/>
      <c r="F37" s="506">
        <f t="shared" si="1"/>
        <v>0</v>
      </c>
      <c r="G37" s="506"/>
      <c r="H37" s="506"/>
      <c r="I37" s="506"/>
      <c r="J37" s="506">
        <f t="shared" si="2"/>
        <v>0</v>
      </c>
      <c r="K37" s="506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506">
        <f t="shared" si="5"/>
        <v>0</v>
      </c>
      <c r="U37" s="507"/>
    </row>
    <row r="38" spans="1:21" ht="15" customHeight="1" x14ac:dyDescent="0.3">
      <c r="A38" s="508">
        <f t="shared" si="0"/>
        <v>0</v>
      </c>
      <c r="B38" s="506"/>
      <c r="C38" s="506"/>
      <c r="D38" s="506"/>
      <c r="E38" s="506"/>
      <c r="F38" s="506">
        <f t="shared" si="1"/>
        <v>0</v>
      </c>
      <c r="G38" s="506"/>
      <c r="H38" s="506"/>
      <c r="I38" s="506"/>
      <c r="J38" s="506">
        <f t="shared" si="2"/>
        <v>0</v>
      </c>
      <c r="K38" s="506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506">
        <f t="shared" si="5"/>
        <v>0</v>
      </c>
      <c r="U38" s="507"/>
    </row>
    <row r="39" spans="1:21" ht="15" customHeight="1" x14ac:dyDescent="0.3">
      <c r="A39" s="508">
        <f t="shared" si="0"/>
        <v>0</v>
      </c>
      <c r="B39" s="506"/>
      <c r="C39" s="506"/>
      <c r="D39" s="506"/>
      <c r="E39" s="506"/>
      <c r="F39" s="506">
        <f t="shared" si="1"/>
        <v>0</v>
      </c>
      <c r="G39" s="506"/>
      <c r="H39" s="506"/>
      <c r="I39" s="506"/>
      <c r="J39" s="506">
        <f t="shared" si="2"/>
        <v>0</v>
      </c>
      <c r="K39" s="506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506">
        <f t="shared" si="5"/>
        <v>0</v>
      </c>
      <c r="U39" s="507"/>
    </row>
    <row r="40" spans="1:21" ht="15" customHeight="1" x14ac:dyDescent="0.3">
      <c r="A40" s="508">
        <f t="shared" si="0"/>
        <v>0</v>
      </c>
      <c r="B40" s="506"/>
      <c r="C40" s="506"/>
      <c r="D40" s="506"/>
      <c r="E40" s="506"/>
      <c r="F40" s="506">
        <f t="shared" si="1"/>
        <v>0</v>
      </c>
      <c r="G40" s="506"/>
      <c r="H40" s="506"/>
      <c r="I40" s="506"/>
      <c r="J40" s="506">
        <f t="shared" si="2"/>
        <v>0</v>
      </c>
      <c r="K40" s="506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506">
        <f t="shared" si="5"/>
        <v>0</v>
      </c>
      <c r="U40" s="507"/>
    </row>
    <row r="41" spans="1:21" ht="15" customHeight="1" x14ac:dyDescent="0.3">
      <c r="A41" s="508">
        <f t="shared" si="0"/>
        <v>0</v>
      </c>
      <c r="B41" s="506"/>
      <c r="C41" s="506"/>
      <c r="D41" s="506"/>
      <c r="E41" s="506"/>
      <c r="F41" s="506">
        <f t="shared" si="1"/>
        <v>0</v>
      </c>
      <c r="G41" s="506"/>
      <c r="H41" s="506"/>
      <c r="I41" s="506"/>
      <c r="J41" s="506">
        <f t="shared" si="2"/>
        <v>0</v>
      </c>
      <c r="K41" s="506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506">
        <f t="shared" si="5"/>
        <v>0</v>
      </c>
      <c r="U41" s="507"/>
    </row>
    <row r="42" spans="1:21" ht="15" customHeight="1" x14ac:dyDescent="0.3">
      <c r="A42" s="515">
        <f t="shared" si="0"/>
        <v>0</v>
      </c>
      <c r="B42" s="516"/>
      <c r="C42" s="516"/>
      <c r="D42" s="516"/>
      <c r="E42" s="516"/>
      <c r="F42" s="516">
        <f t="shared" si="1"/>
        <v>0</v>
      </c>
      <c r="G42" s="516"/>
      <c r="H42" s="516"/>
      <c r="I42" s="516"/>
      <c r="J42" s="516">
        <f t="shared" si="2"/>
        <v>0</v>
      </c>
      <c r="K42" s="516"/>
      <c r="L42" s="517">
        <f t="shared" si="3"/>
        <v>0</v>
      </c>
      <c r="M42" s="517"/>
      <c r="N42" s="517"/>
      <c r="O42" s="517"/>
      <c r="P42" s="517"/>
      <c r="Q42" s="517">
        <f t="shared" si="4"/>
        <v>0</v>
      </c>
      <c r="R42" s="517"/>
      <c r="S42" s="517"/>
      <c r="T42" s="516">
        <f t="shared" si="5"/>
        <v>0</v>
      </c>
      <c r="U42" s="518"/>
    </row>
    <row r="43" spans="1:21" x14ac:dyDescent="0.3">
      <c r="A43" s="325" t="s">
        <v>80</v>
      </c>
      <c r="B43" s="326"/>
      <c r="C43" s="326"/>
      <c r="D43" s="326"/>
      <c r="E43" s="326"/>
      <c r="F43" s="404">
        <f>F20</f>
        <v>2450000</v>
      </c>
      <c r="G43" s="404"/>
      <c r="H43" s="404"/>
      <c r="I43" s="405"/>
      <c r="J43" s="476">
        <f>J20</f>
        <v>1</v>
      </c>
      <c r="K43" s="476"/>
      <c r="L43" s="459" t="s">
        <v>959</v>
      </c>
      <c r="M43" s="460"/>
      <c r="N43" s="460"/>
      <c r="O43" s="460"/>
      <c r="P43" s="461"/>
      <c r="Q43" s="462">
        <f>Q20</f>
        <v>1000000</v>
      </c>
      <c r="R43" s="463"/>
      <c r="S43" s="463"/>
      <c r="T43" s="463"/>
      <c r="U43" s="464"/>
    </row>
    <row r="44" spans="1:21" ht="17.25" thickBot="1" x14ac:dyDescent="0.35">
      <c r="A44" s="428" t="s">
        <v>90</v>
      </c>
      <c r="B44" s="429"/>
      <c r="C44" s="429"/>
      <c r="D44" s="429"/>
      <c r="E44" s="429"/>
      <c r="F44" s="430">
        <f>F21</f>
        <v>3450000</v>
      </c>
      <c r="G44" s="430"/>
      <c r="H44" s="430"/>
      <c r="I44" s="431"/>
      <c r="J44" s="432" t="s">
        <v>965</v>
      </c>
      <c r="K44" s="429"/>
      <c r="L44" s="398" t="str">
        <f>L21</f>
        <v>장효주</v>
      </c>
      <c r="M44" s="398"/>
      <c r="N44" s="398"/>
      <c r="O44" s="432" t="s">
        <v>64</v>
      </c>
      <c r="P44" s="434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28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1253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4204</v>
      </c>
      <c r="D1129" t="s">
        <v>4208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4213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4227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4228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4232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4254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4260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4261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4271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4291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4294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4295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4297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4308</v>
      </c>
    </row>
    <row r="1170" spans="1:4" x14ac:dyDescent="0.3">
      <c r="A1170">
        <v>1194</v>
      </c>
      <c r="B1170" s="13">
        <v>45974</v>
      </c>
      <c r="C1170" t="s">
        <v>4303</v>
      </c>
      <c r="D1170" t="s">
        <v>4309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4326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4327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4329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4330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4331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4333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4335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4336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4337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4338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4339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4344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4345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4346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4347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4349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4350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4351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4352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4354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4356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4357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4358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4359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4360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4361</v>
      </c>
    </row>
    <row r="1199" spans="1:4" x14ac:dyDescent="0.3">
      <c r="A1199">
        <v>1223</v>
      </c>
      <c r="B1199" s="13">
        <v>45979</v>
      </c>
      <c r="C1199" t="s">
        <v>4362</v>
      </c>
      <c r="D1199" t="s">
        <v>4363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4378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4379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4380</v>
      </c>
    </row>
    <row r="1203" spans="1:4" x14ac:dyDescent="0.3">
      <c r="A1203">
        <v>1227</v>
      </c>
      <c r="B1203" s="13">
        <v>45980</v>
      </c>
      <c r="C1203" t="s">
        <v>4367</v>
      </c>
      <c r="D1203" t="s">
        <v>4381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4382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4384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4393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4394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4395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4409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4412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4414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4415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4416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4417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4423</v>
      </c>
    </row>
    <row r="1216" spans="1:4" x14ac:dyDescent="0.3">
      <c r="A1216">
        <v>1240</v>
      </c>
      <c r="B1216" s="13">
        <v>45985</v>
      </c>
      <c r="C1216" t="s">
        <v>3535</v>
      </c>
      <c r="D1216" t="s">
        <v>4428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4431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4433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4434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4435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4437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4439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4441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4442</v>
      </c>
    </row>
    <row r="1225" spans="1:4" x14ac:dyDescent="0.3">
      <c r="A1225">
        <v>1249</v>
      </c>
      <c r="B1225" s="13">
        <v>45985</v>
      </c>
      <c r="C1225" t="s">
        <v>4445</v>
      </c>
      <c r="D1225" t="s">
        <v>4447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4452</v>
      </c>
    </row>
    <row r="1227" spans="1:4" x14ac:dyDescent="0.3">
      <c r="A1227">
        <v>1251</v>
      </c>
      <c r="B1227" s="13">
        <v>45986</v>
      </c>
      <c r="C1227" t="s">
        <v>4453</v>
      </c>
      <c r="D1227" t="s">
        <v>4456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4457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2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3" sqref="H3:H5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208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400000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4366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14658000.200000003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10383000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4366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5100000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4419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1350000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4419</v>
      </c>
      <c r="J68" t="s">
        <v>4137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4444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4366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4900000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974000.09999999963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4444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4318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2035000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4265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769999.69999999925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J116" t="s">
        <v>4195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x14ac:dyDescent="0.3">
      <c r="A119" s="47">
        <v>118</v>
      </c>
      <c r="B119" t="s">
        <v>4283</v>
      </c>
      <c r="C119" t="s">
        <v>4284</v>
      </c>
      <c r="E119" t="s">
        <v>4285</v>
      </c>
      <c r="F119" t="s">
        <v>4286</v>
      </c>
      <c r="G119" t="s">
        <v>4287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4364</v>
      </c>
      <c r="G129" t="s">
        <v>4365</v>
      </c>
      <c r="H129" s="194">
        <f>SUMIF(주문_리스트!C:C,거래처!B129,주문_리스트!K:K)+SUMIF(주문_리스트!C:C,거래처!B129,주문_리스트!L:L)</f>
        <v>0</v>
      </c>
      <c r="I129" s="52" t="s">
        <v>4366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4313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880000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4315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4204</v>
      </c>
      <c r="C200" t="s">
        <v>4205</v>
      </c>
      <c r="E200" t="s">
        <v>4206</v>
      </c>
      <c r="F200" t="s">
        <v>963</v>
      </c>
      <c r="G200" t="s">
        <v>4207</v>
      </c>
      <c r="H200" s="194">
        <f>SUMIF(주문_리스트!C:C,거래처!B200,주문_리스트!K:K)+SUMIF(주문_리스트!C:C,거래처!B200,주문_리스트!L:L)</f>
        <v>0</v>
      </c>
      <c r="J200" t="s">
        <v>4316</v>
      </c>
    </row>
    <row r="201" spans="1:11" x14ac:dyDescent="0.3">
      <c r="A201" s="47">
        <v>201</v>
      </c>
      <c r="B201" t="s">
        <v>4303</v>
      </c>
      <c r="C201" t="s">
        <v>4304</v>
      </c>
      <c r="E201" t="s">
        <v>4305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4366</v>
      </c>
    </row>
    <row r="202" spans="1:11" x14ac:dyDescent="0.3">
      <c r="A202" s="47">
        <v>202</v>
      </c>
      <c r="B202" t="s">
        <v>4368</v>
      </c>
      <c r="C202" t="s">
        <v>4369</v>
      </c>
      <c r="E202" t="s">
        <v>4370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A203" s="47">
        <v>203</v>
      </c>
      <c r="B203" t="s">
        <v>4420</v>
      </c>
      <c r="C203" t="s">
        <v>4421</v>
      </c>
      <c r="E203" t="s">
        <v>4422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x14ac:dyDescent="0.3">
      <c r="A204" s="47">
        <v>204</v>
      </c>
      <c r="B204" t="s">
        <v>3535</v>
      </c>
      <c r="C204" t="s">
        <v>4424</v>
      </c>
      <c r="D204" t="s">
        <v>4425</v>
      </c>
      <c r="E204" t="s">
        <v>4426</v>
      </c>
      <c r="F204" t="s">
        <v>963</v>
      </c>
      <c r="G204" t="s">
        <v>4427</v>
      </c>
      <c r="H204" s="194">
        <f>SUMIF(주문_리스트!C:C,거래처!B204,주문_리스트!K:K)+SUMIF(주문_리스트!C:C,거래처!B204,주문_리스트!L:L)</f>
        <v>0</v>
      </c>
    </row>
    <row r="205" spans="1:11" x14ac:dyDescent="0.3">
      <c r="A205" s="47">
        <v>205</v>
      </c>
      <c r="B205" t="s">
        <v>4445</v>
      </c>
      <c r="C205" t="s">
        <v>1039</v>
      </c>
      <c r="E205" t="s">
        <v>4446</v>
      </c>
      <c r="F205" t="s">
        <v>973</v>
      </c>
      <c r="H205" s="194">
        <f>SUMIF(주문_리스트!C:C,거래처!B205,주문_리스트!K:K)+SUMIF(주문_리스트!C:C,거래처!B205,주문_리스트!L:L)</f>
        <v>150000</v>
      </c>
    </row>
    <row r="206" spans="1:11" x14ac:dyDescent="0.3">
      <c r="A206" s="47">
        <v>206</v>
      </c>
      <c r="B206" t="s">
        <v>4448</v>
      </c>
      <c r="C206" t="s">
        <v>4449</v>
      </c>
      <c r="E206" t="s">
        <v>4450</v>
      </c>
      <c r="F206" t="s">
        <v>1179</v>
      </c>
      <c r="H206" s="194">
        <f>SUMIF(주문_리스트!C:C,거래처!B206,주문_리스트!K:K)+SUMIF(주문_리스트!C:C,거래처!B206,주문_리스트!L:L)</f>
        <v>0</v>
      </c>
    </row>
    <row r="207" spans="1:11" x14ac:dyDescent="0.3">
      <c r="A207" s="47">
        <v>207</v>
      </c>
      <c r="B207" t="s">
        <v>4453</v>
      </c>
      <c r="C207" t="s">
        <v>4454</v>
      </c>
      <c r="E207" t="s">
        <v>4455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</sheetData>
  <autoFilter ref="A1:I219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8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262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-57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-23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-123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-39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-39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-5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-55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-32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-39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2743</v>
      </c>
      <c r="D85" s="288" t="s">
        <v>2730</v>
      </c>
      <c r="E85" s="288" t="s">
        <v>2743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-50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-61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-123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-15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-39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-16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-5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-5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0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4257</v>
      </c>
      <c r="D255" s="288" t="s">
        <v>4258</v>
      </c>
      <c r="E255" s="288" t="s">
        <v>4257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4272</v>
      </c>
      <c r="D256" s="288" t="s">
        <v>1203</v>
      </c>
      <c r="E256" s="288" t="s">
        <v>4272</v>
      </c>
      <c r="F256" s="52">
        <v>1200000</v>
      </c>
    </row>
    <row r="257" spans="1:6" x14ac:dyDescent="0.3">
      <c r="A257">
        <v>260</v>
      </c>
      <c r="D257" s="288" t="s">
        <v>4310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4410</v>
      </c>
      <c r="D258" s="288" t="s">
        <v>4411</v>
      </c>
      <c r="E258" s="288" t="s">
        <v>4410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2025-11-25T09:15:35Z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