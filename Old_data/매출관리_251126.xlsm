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8EFF406-A48C-4E04-9E46-A801A6F74183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<sst xmlns="http://schemas.openxmlformats.org/spreadsheetml/2006/main" count="13191" uniqueCount="4479">
  <si>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</si>
  <si>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</si>
  <si>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</si>
  <si>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</si>
  <si>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</si>
  <si>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</si>
  <si>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</si>
  <si>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</si>
  <si>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</si>
  <si>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</si>
  <si>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</si>
  <si>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</si>
  <si>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</si>
  <si>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</si>
  <si>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</si>
  <si>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</si>
  <si>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</si>
  <si>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</si>
  <si>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</si>
  <si>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</si>
  <si>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</si>
  <si>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</si>
  <si>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</si>
  <si>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</si>
  <si>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</si>
  <si>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</si>
  <si>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</si>
  <si>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</si>
  <si>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</si>
  <si>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</si>
  <si>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</si>
  <si>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</si>
  <si>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</si>
  <si>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</si>
  <si>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</si>
  <si>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</si>
  <si>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</si>
  <si>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</si>
  <si>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</si>
  <si>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</si>
  <si>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</si>
  <si>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</si>
  <si>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</si>
  <si>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</si>
  <si>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</si>
  <si>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</si>
  <si>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</si>
  <si>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</si>
  <si>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</si>
  <si>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</si>
  <si>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</si>
  <si>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</si>
  <si>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</si>
  <si>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</si>
  <si>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</si>
  <si>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</si>
  <si>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</si>
  <si>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</si>
  <si>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</si>
  <si>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</si>
  <si>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</si>
  <si>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</si>
  <si>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</si>
  <si>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</si>
  <si>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</si>
  <si>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</si>
  <si>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</si>
  <si>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</si>
  <si>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</si>
  <si>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</si>
  <si>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</si>
  <si>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</si>
  <si>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</si>
  <si>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</si>
  <si>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</si>
  <si>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</si>
  <si>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</si>
  <si>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</si>
  <si>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</si>
  <si>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</si>
  <si>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</si>
  <si>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</si>
  <si>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</si>
  <si>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</si>
  <si>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</si>
  <si>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</si>
  <si>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</si>
  <si>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</si>
  <si>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</si>
  <si>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</si>
  <si>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</si>
  <si>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</si>
  <si>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</si>
  <si>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</si>
  <si>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</si>
  <si>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</si>
  <si>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</si>
  <si>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</si>
  <si>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</si>
  <si>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</si>
  <si>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</si>
  <si>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</si>
  <si>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</si>
  <si>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</si>
  <si>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</si>
  <si>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</si>
  <si>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</si>
  <si>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</si>
  <si>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</si>
  <si>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</si>
  <si>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</si>
  <si>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</si>
  <si>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</si>
  <si>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</si>
  <si>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</si>
  <si>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</si>
  <si>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</si>
  <si>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</si>
  <si>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</si>
  <si>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</si>
  <si>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</si>
  <si>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</si>
  <si>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</si>
  <si>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</si>
  <si>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</si>
  <si>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</si>
  <si>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</si>
  <si>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</si>
  <si>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</si>
  <si>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</si>
  <si>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</si>
  <si>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</si>
  <si>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</si>
  <si>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</si>
  <si>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</si>
  <si>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</si>
  <si>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</si>
  <si>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</si>
  <si>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</si>
  <si>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</si>
  <si>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</si>
  <si>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</si>
  <si>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</si>
  <si>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</si>
  <si>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</si>
  <si>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</si>
  <si>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</si>
  <si>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</si>
  <si>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</si>
  <si>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</si>
  <si>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</si>
  <si>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</si>
  <si>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</si>
  <si>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</si>
  <si>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</si>
  <si>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</si>
  <si>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</si>
  <si>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</si>
  <si>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</si>
  <si>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</si>
  <si>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</si>
  <si>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</si>
  <si>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</si>
  <si>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</si>
  <si>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</si>
  <si>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</si>
  <si>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</si>
  <si>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</si>
  <si>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</si>
  <si>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</si>
  <si>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</si>
  <si>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</si>
  <si>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</si>
  <si>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</si>
  <si>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</si>
  <si>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</si>
  <si>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</si>
  <si>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</si>
  <si>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</si>
  <si>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</si>
  <si>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</si>
  <si>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</si>
  <si>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</si>
  <si>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</si>
  <si>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</si>
  <si>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</si>
  <si>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</si>
  <si>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</si>
  <si>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</si>
  <si>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</si>
  <si>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</si>
  <si>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</si>
  <si>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</si>
  <si>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</si>
  <si>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</si>
  <si>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</si>
  <si>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</si>
  <si>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</si>
  <si>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</si>
  <si>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</si>
  <si>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</si>
  <si>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</si>
  <si>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</si>
  <si>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</si>
  <si>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</si>
  <si>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</si>
  <si>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</si>
  <si>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</si>
  <si>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</si>
  <si>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</si>
  <si>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</si>
  <si>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</si>
  <si>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</si>
  <si>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</si>
  <si>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</si>
  <si>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</si>
  <si>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</si>
  <si>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</si>
  <si>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</si>
  <si>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</si>
  <si>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</si>
  <si>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</si>
  <si>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</si>
  <si>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</si>
  <si>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</si>
  <si>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</si>
  <si>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</si>
  <si>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</si>
  <si>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</si>
  <si>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</si>
  <si>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</si>
  <si>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</si>
  <si>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</si>
  <si>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</si>
  <si>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</si>
  <si>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</si>
  <si>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</si>
  <si>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</si>
  <si>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</si>
  <si>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</si>
  <si>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</si>
  <si>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</si>
  <si>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</si>
  <si>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</si>
  <si>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</si>
  <si>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</si>
  <si>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</si>
  <si>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</si>
  <si>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</si>
  <si>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</si>
  <si>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</si>
  <si>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</si>
  <si>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</si>
  <si>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</si>
  <si>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</si>
  <si>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</si>
  <si>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</si>
  <si>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</si>
  <si>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</si>
  <si>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</si>
  <si>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</si>
  <si>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</si>
  <si>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</si>
  <si>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</si>
  <si>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</si>
  <si>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</si>
  <si>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</si>
  <si>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</si>
  <si>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</si>
  <si>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</si>
  <si>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</si>
  <si>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</si>
  <si>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</si>
  <si>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</si>
  <si>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</si>
  <si>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</si>
  <si>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</si>
  <si>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</si>
  <si>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</si>
  <si>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</si>
  <si>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</si>
  <si>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</si>
  <si>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</si>
  <si>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</si>
  <si>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</si>
  <si>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</si>
  <si>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</si>
  <si>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</si>
  <si>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</si>
  <si>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</si>
  <si>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</si>
  <si>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</si>
  <si>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</si>
  <si>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</si>
  <si>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</si>
  <si>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</si>
  <si>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</si>
  <si>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</si>
  <si>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</si>
  <si>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</si>
  <si>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</si>
  <si>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</si>
  <si>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</si>
  <si>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</si>
  <si>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</si>
  <si>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</si>
  <si>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</si>
  <si>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</si>
  <si>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</si>
  <si>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</si>
  <si>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</si>
  <si>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</si>
  <si>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</si>
  <si>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</si>
  <si>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</si>
  <si>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</si>
  <si>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</si>
  <si>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</si>
  <si>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</si>
  <si>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</si>
  <si>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</si>
  <si>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</si>
  <si>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</si>
  <si>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</si>
  <si>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</si>
  <si>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</si>
  <si>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</si>
  <si>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</si>
  <si>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</si>
  <si>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</si>
  <si>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</si>
  <si>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</si>
  <si>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</si>
  <si>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</si>
  <si>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</si>
  <si>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</si>
  <si>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</si>
  <si>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</si>
  <si>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</si>
  <si>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</si>
  <si>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</si>
  <si>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</si>
  <si>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</si>
  <si>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</si>
  <si>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</si>
  <si>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</si>
  <si>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</si>
  <si>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</si>
  <si>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</si>
  <si>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</si>
  <si>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</si>
  <si>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</si>
  <si>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</si>
  <si>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</si>
  <si>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</si>
  <si>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</si>
  <si>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</si>
  <si>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</si>
  <si>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</si>
  <si>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</si>
  <si>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</si>
  <si>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</si>
  <si>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</si>
  <si>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</si>
  <si>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</si>
  <si>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</si>
  <si>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</si>
  <si>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</si>
  <si>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</si>
  <si>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</si>
  <si>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</si>
  <si>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</si>
  <si>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</si>
  <si>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</si>
  <si>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</si>
  <si>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</si>
  <si>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</si>
  <si>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</si>
  <si>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</si>
  <si>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</si>
  <si>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</si>
  <si>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</si>
  <si>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</si>
  <si>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</si>
  <si>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</si>
  <si>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</si>
  <si>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</si>
  <si>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</si>
  <si>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</si>
  <si>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</si>
  <si>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</si>
  <si>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</si>
  <si>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</si>
  <si>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</si>
  <si>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</si>
  <si>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</si>
  <si>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</si>
  <si>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</si>
  <si>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</si>
  <si>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</si>
  <si>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</si>
  <si>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</si>
  <si>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</si>
  <si>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</si>
  <si>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</si>
  <si>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</si>
  <si>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</si>
  <si>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</si>
  <si>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</si>
  <si>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</si>
  <si>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</si>
  <si>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</si>
  <si>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</si>
  <si>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</si>
  <si>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</si>
  <si>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</si>
  <si>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</si>
  <si>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</si>
  <si>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</si>
  <si>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</si>
  <si>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</si>
  <si>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</si>
  <si>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</si>
  <si>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</si>
  <si>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</si>
  <si>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</si>
  <si>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</si>
  <si>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</si>
  <si>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</si>
  <si>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</si>
  <si>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</si>
  <si>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</si>
  <si>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</si>
  <si>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</si>
  <si>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</si>
  <si>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</si>
  <si>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</si>
  <si>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</si>
  <si>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</si>
  <si>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</si>
  <si>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</si>
  <si>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</si>
  <si>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</si>
  <si>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</si>
  <si>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</si>
  <si>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</si>
  <si>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</si>
  <si>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</si>
  <si>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</si>
  <si>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</si>
  <si>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</si>
  <si>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</si>
  <si>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</si>
  <si>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</si>
  <si>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</si>
  <si>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</si>
  <si>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</si>
  <si>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</si>
  <si>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</si>
  <si>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</si>
  <si>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</si>
  <si>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</si>
  <si>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</si>
  <si>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</si>
  <si>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</si>
  <si>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</si>
  <si>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</si>
  <si>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</si>
  <si>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</si>
  <si>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</si>
  <si>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</si>
  <si>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</si>
  <si>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</si>
  <si>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</si>
  <si>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</si>
  <si>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</si>
  <si>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</si>
  <si>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</si>
  <si>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</si>
  <si>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</si>
  <si>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</si>
  <si>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</si>
  <si>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</si>
  <si>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</si>
  <si>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</si>
  <si>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</si>
  <si>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</si>
  <si>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</si>
  <si>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</si>
  <si>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</si>
  <si>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</si>
  <si>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</si>
  <si>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</si>
  <si>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</si>
  <si>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</si>
  <si>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</si>
  <si>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</si>
  <si>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</si>
  <si>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</si>
  <si>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</si>
  <si>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</si>
  <si>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</si>
  <si>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</si>
  <si>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</si>
  <si>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</si>
  <si>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</si>
  <si>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</si>
  <si>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</si>
  <si>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</si>
  <si>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</si>
  <si>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</si>
  <si>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</si>
  <si>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</si>
  <si>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</si>
  <si>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</si>
  <si>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</si>
  <si>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</si>
  <si>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</si>
  <si>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</si>
  <si>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</si>
  <si>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</si>
  <si>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</si>
  <si>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</si>
  <si>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</si>
  <si>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</si>
  <si>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</si>
  <si>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</si>
  <si>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</si>
  <si>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</si>
  <si>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</si>
  <si>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</si>
  <si>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</si>
  <si>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</si>
  <si>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</si>
  <si>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</si>
  <si>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</si>
  <si>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</si>
  <si>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</si>
  <si>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</si>
  <si>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</si>
  <si>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</si>
  <si>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</si>
  <si>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</si>
  <si>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</si>
  <si>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</si>
  <si>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</si>
  <si>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</si>
  <si>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</si>
  <si>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</si>
  <si>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</si>
  <si>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</si>
  <si>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</si>
  <si>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</si>
  <si>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</si>
  <si>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</si>
  <si>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</si>
  <si>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</si>
  <si>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</si>
  <si>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</si>
  <si>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</si>
  <si>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</si>
  <si>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</si>
  <si>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</si>
  <si>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</si>
  <si>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</si>
  <si>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</si>
  <si>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</si>
  <si>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</si>
  <si>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</si>
  <si>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</si>
  <si>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</si>
  <si>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</si>
  <si>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</si>
  <si>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</si>
  <si>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</si>
  <si>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</si>
  <si>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</si>
  <si>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</si>
  <si>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</si>
  <si>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</si>
  <si>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</si>
  <si>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</si>
  <si>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</si>
  <si>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</si>
  <si>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</si>
  <si>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</si>
  <si>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</si>
  <si>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</si>
  <si>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</si>
  <si>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</si>
  <si>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</si>
  <si>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</si>
  <si>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</si>
  <si>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</si>
  <si>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</si>
  <si>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</si>
  <si>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</si>
  <si>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</si>
  <si>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</si>
  <si>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</si>
  <si>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</si>
  <si>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</si>
  <si>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</si>
  <si>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</si>
  <si>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</si>
  <si>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</si>
  <si>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</si>
  <si>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</si>
  <si>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</si>
  <si>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</si>
  <si>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</si>
  <si>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</si>
  <si>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</si>
  <si>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</si>
  <si>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</si>
  <si>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</si>
  <si>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</si>
  <si>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</si>
  <si>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</si>
  <si>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</si>
  <si>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</si>
  <si>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</si>
  <si>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</si>
  <si>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</si>
  <si>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</si>
  <si>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</si>
  <si>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</si>
  <si>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</si>
  <si>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</si>
  <si>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</si>
  <si>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</si>
  <si>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</si>
  <si>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</si>
  <si>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</si>
  <si>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</si>
  <si>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</si>
  <si>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</si>
  <si>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</si>
  <si>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</si>
  <si>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</si>
  <si>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</si>
  <si>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</si>
  <si>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</si>
  <si>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</si>
  <si>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</si>
  <si>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</si>
  <si>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</si>
  <si>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</si>
  <si>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</si>
  <si>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</si>
  <si>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</si>
  <si>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</si>
  <si>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</si>
  <si>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</si>
  <si>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</si>
  <si>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</si>
  <si>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</si>
  <si>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</si>
  <si>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</si>
  <si>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</si>
  <si>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</si>
  <si>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</si>
  <si>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</si>
  <si>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</si>
  <si>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</si>
  <si>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</si>
  <si>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</si>
  <si>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</si>
  <si>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</si>
  <si>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</si>
  <si>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</si>
  <si>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</si>
  <si>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</si>
  <si>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</si>
  <si>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</si>
  <si>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</si>
  <si>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</si>
  <si>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</si>
  <si>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</si>
  <si>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</si>
  <si>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</si>
  <si>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</si>
  <si>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</si>
  <si>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</si>
  <si>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</si>
  <si>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</si>
  <si>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</si>
  <si>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</si>
  <si>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</si>
  <si>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</si>
  <si>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</si>
  <si>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</si>
  <si>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</si>
  <si>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</si>
  <si>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</si>
  <si>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</si>
  <si>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</si>
  <si>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</si>
  <si>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</si>
  <si>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</si>
  <si>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</si>
  <si>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</si>
  <si>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</si>
  <si>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</si>
  <si>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</si>
  <si>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</si>
  <si>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</si>
  <si>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</si>
  <si>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</si>
  <si>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</si>
  <si>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</si>
  <si>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</si>
  <si>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</si>
  <si>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</si>
  <si>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</si>
  <si>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</si>
  <si>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</si>
  <si>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</si>
  <si>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</si>
  <si>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</si>
  <si>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</si>
  <si>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</si>
  <si>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</si>
  <si>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</si>
  <si>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</si>
  <si>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</si>
  <si>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</si>
  <si>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</si>
  <si>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</si>
  <si>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</si>
  <si>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</si>
  <si>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</si>
  <si>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</si>
  <si>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</si>
  <si>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</si>
  <si>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</si>
  <si>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</si>
  <si>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</si>
  <si>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</si>
  <si>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</si>
  <si>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</si>
  <si>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</si>
  <si>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</si>
  <si>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</si>
  <si>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</si>
  <si>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</si>
  <si>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</si>
  <si>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</si>
  <si>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</si>
  <si>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</si>
  <si>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</si>
  <si>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</si>
  <si>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</si>
  <si>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</si>
  <si>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</si>
  <si>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</si>
  <si>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</si>
  <si>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</si>
  <si>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</si>
  <si>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</si>
  <si>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</si>
  <si>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</si>
  <si>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</si>
  <si>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</si>
  <si>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</si>
  <si>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</si>
  <si>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</si>
  <si>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</si>
  <si>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</si>
  <si>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</si>
  <si>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</si>
  <si>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</si>
  <si>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</si>
  <si>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</si>
  <si>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</si>
  <si>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</si>
  <si>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</si>
  <si>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</si>
  <si>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</si>
  <si>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</si>
  <si>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</si>
  <si>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</si>
  <si>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</si>
  <si>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</si>
  <si>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</si>
  <si>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</si>
  <si>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</si>
  <si>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</si>
  <si>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</si>
  <si>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</si>
  <si>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</si>
  <si>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</si>
  <si>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</si>
  <si>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</si>
  <si>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</si>
  <si>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</si>
  <si>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</si>
  <si>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</si>
  <si>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</si>
  <si>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</si>
  <si>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</si>
  <si>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</si>
  <si>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</si>
  <si>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</si>
  <si>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</si>
  <si>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</si>
  <si>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</si>
  <si>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</si>
  <si>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</si>
  <si>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</si>
  <si>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</si>
  <si>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</si>
  <si>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</si>
  <si>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</si>
  <si>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</si>
  <si>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</si>
  <si>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</si>
  <si>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</si>
  <si>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</si>
  <si>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</si>
  <si>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</si>
  <si>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</si>
  <si>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</si>
  <si>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</si>
  <si>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</si>
  <si>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</si>
  <si>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</si>
  <si>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</si>
  <si>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</si>
  <si>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</si>
  <si>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</si>
  <si>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</si>
  <si>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</si>
  <si>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</si>
  <si>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</si>
  <si>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</si>
  <si>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</si>
  <si>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</si>
  <si>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</si>
  <si>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</si>
  <si>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</si>
  <si>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</si>
  <si>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</si>
  <si>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</si>
  <si>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</si>
  <si>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</si>
  <si>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</si>
  <si>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</si>
  <si>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</si>
  <si>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</si>
  <si>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</si>
  <si>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</si>
  <si>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</si>
  <si>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</si>
  <si>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</si>
  <si>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</si>
  <si>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</si>
  <si>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</si>
  <si>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</si>
  <si>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</si>
  <si>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</si>
  <si>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</si>
  <si>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</si>
  <si>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</si>
  <si>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</si>
  <si>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</si>
  <si>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</si>
  <si>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</si>
  <si>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</si>
  <si>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</si>
  <si>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</si>
  <si>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</si>
  <si>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</si>
  <si>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</si>
  <si>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</si>
  <si>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</si>
  <si>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</si>
  <si>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</si>
  <si>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</si>
  <si>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</si>
  <si>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</si>
  <si>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</si>
  <si>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</si>
  <si>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</si>
  <si>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</si>
  <si>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</si>
  <si>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</si>
  <si>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</si>
  <si>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</si>
  <si>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</si>
  <si>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</si>
  <si>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</si>
  <si>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</si>
  <si>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</si>
  <si>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</si>
  <si>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</si>
  <si>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</si>
  <si>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</si>
  <si>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</si>
  <si>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</si>
  <si>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</si>
  <si>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</si>
  <si>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</si>
  <si>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</si>
  <si>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</si>
  <si>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</si>
  <si>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</si>
  <si>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</si>
  <si>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</si>
  <si>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</si>
  <si>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</si>
  <si>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</si>
  <si>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</si>
  <si>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</si>
  <si>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</si>
  <si>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</si>
  <si>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</si>
  <si>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</si>
  <si>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</si>
  <si>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</si>
  <si>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</si>
  <si>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</si>
  <si>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</si>
  <si>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</si>
  <si>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</si>
  <si>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</si>
  <si>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</si>
  <si>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</si>
  <si>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</si>
  <si>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</si>
  <si>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</si>
  <si>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</si>
  <si>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</si>
  <si>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</si>
  <si>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</si>
  <si>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</si>
  <si>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</si>
  <si>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</si>
  <si>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</si>
  <si>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</si>
  <si>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</si>
  <si>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</si>
  <si>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</si>
  <si>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</si>
  <si>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</si>
  <si>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</si>
  <si>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</si>
  <si>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</si>
  <si>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</si>
  <si>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</si>
  <si>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</si>
  <si>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</si>
  <si>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</si>
  <si>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</si>
  <si>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</si>
  <si>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</si>
  <si>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</si>
  <si>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</si>
  <si>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</si>
  <si>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</si>
  <si>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</si>
  <si>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</si>
  <si>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</si>
  <si>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</si>
  <si>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</si>
  <si>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</si>
  <si>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</si>
  <si>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</si>
  <si>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</si>
  <si>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</si>
  <si>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</si>
  <si>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</si>
  <si>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</si>
  <si>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</si>
  <si>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</si>
  <si>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</si>
  <si>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</si>
  <si>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</si>
  <si>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</si>
  <si>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</si>
  <si>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</si>
  <si>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</si>
  <si>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</si>
  <si>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</si>
  <si>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</si>
  <si>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</si>
  <si>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</si>
  <si>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</si>
  <si>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</si>
  <si>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</si>
  <si>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</si>
  <si>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</si>
  <si>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</si>
  <si>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</si>
  <si>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</si>
  <si>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</si>
  <si>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</si>
  <si>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</si>
  <si>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</si>
  <si>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</si>
  <si>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</si>
  <si>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</si>
  <si>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</si>
  <si>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</si>
  <si>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</si>
  <si>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</si>
  <si>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</si>
  <si>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</si>
  <si>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</si>
  <si>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</si>
  <si>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</si>
  <si>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</si>
  <si>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</si>
  <si>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</si>
  <si>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</si>
  <si>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</si>
  <si>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</si>
  <si>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</si>
  <si>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</si>
  <si>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</si>
  <si>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</si>
  <si>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</si>
  <si>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</si>
  <si>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</si>
  <si>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</si>
  <si>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</si>
  <si>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</si>
  <si>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</si>
  <si>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</si>
  <si>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</si>
  <si>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</si>
  <si>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</si>
  <si>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</si>
  <si>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</si>
  <si>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</si>
  <si>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</si>
  <si>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</si>
  <si>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</si>
  <si>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</si>
  <si>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</si>
  <si>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</si>
  <si>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</si>
  <si>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</si>
  <si>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</si>
  <si>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</si>
  <si>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</si>
  <si>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</si>
  <si>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</si>
  <si>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</si>
  <si>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</si>
  <si>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</si>
  <si>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</si>
  <si>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</si>
  <si>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</si>
  <si>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</si>
  <si>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</si>
  <si>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</si>
  <si>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</si>
  <si>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</si>
  <si>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</si>
  <si>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</si>
  <si>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</si>
  <si>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</si>
  <si>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</si>
  <si>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</si>
  <si>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</si>
  <si>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</si>
  <si>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</si>
  <si>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</si>
  <si>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</si>
  <si>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</si>
  <si>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</si>
  <si>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</si>
  <si>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</si>
  <si>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</si>
  <si>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</si>
  <si>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</si>
  <si>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</si>
  <si>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</si>
  <si>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</si>
  <si>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</si>
  <si>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</si>
  <si>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</si>
  <si>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</si>
  <si>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</si>
  <si>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</si>
  <si>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</si>
  <si>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</si>
  <si>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</si>
  <si>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</si>
  <si>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</si>
  <si>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</si>
  <si>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</si>
  <si>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</si>
  <si>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</si>
  <si>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</si>
  <si>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</si>
  <si>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</si>
  <si>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</si>
  <si>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</si>
  <si>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</si>
  <si>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</si>
  <si>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</si>
  <si>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</si>
  <si>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</si>
  <si>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</si>
  <si>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</si>
  <si>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</si>
  <si>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</si>
  <si>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</si>
  <si>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</si>
  <si>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</si>
  <si>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</si>
  <si>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</si>
  <si>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</si>
  <si>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</si>
  <si>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</si>
  <si>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</si>
  <si>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</si>
  <si>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</si>
  <si>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</si>
  <si>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</si>
  <si>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</si>
  <si>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</si>
  <si>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</si>
  <si>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</si>
  <si>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</si>
  <si>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</si>
  <si>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</si>
  <si>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</si>
  <si>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</si>
  <si>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</si>
  <si>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</si>
  <si>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</si>
  <si>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</si>
  <si>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</si>
  <si>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</si>
  <si>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</si>
  <si>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</si>
  <si>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</si>
  <si>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</si>
  <si>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</si>
  <si>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</si>
  <si>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</si>
  <si>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</si>
  <si>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</si>
  <si>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</si>
  <si>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</si>
  <si>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</si>
  <si>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</si>
  <si>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</si>
  <si>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</si>
  <si>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</si>
  <si>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</si>
  <si>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</si>
  <si>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</si>
  <si>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</si>
  <si>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</si>
  <si>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</si>
  <si>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</si>
  <si>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</si>
  <si>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</si>
  <si>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</si>
  <si>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</si>
  <si>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</si>
  <si>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</si>
  <si>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</si>
  <si>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</si>
  <si>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</si>
  <si>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</si>
  <si>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</si>
  <si>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</si>
  <si>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</si>
  <si>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</si>
  <si>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</si>
  <si>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</si>
  <si>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</si>
  <si>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</si>
  <si>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</si>
  <si>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</si>
  <si>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</si>
  <si>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</si>
  <si>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</si>
  <si>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</si>
  <si>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</si>
  <si>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</si>
  <si>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</si>
  <si>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</si>
  <si>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</si>
  <si>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</si>
  <si>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</si>
  <si>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</si>
  <si>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</si>
  <si>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</si>
  <si>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</si>
  <si>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</si>
  <si>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</si>
  <si>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</si>
  <si>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</si>
  <si>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</si>
  <si>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</si>
  <si>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</si>
  <si>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</si>
  <si>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</si>
  <si>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</si>
  <si>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</si>
  <si>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</si>
  <si>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</si>
  <si>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</si>
  <si>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</si>
  <si>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</si>
  <si>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</si>
  <si>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</si>
  <si>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</si>
  <si>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</si>
  <si>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</si>
  <si>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</si>
  <si>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</si>
  <si>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</si>
  <si>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</si>
  <si>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</si>
  <si>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</si>
  <si>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</si>
  <si>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</si>
  <si>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</si>
  <si>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</si>
  <si>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</si>
  <si>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</si>
  <si>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</si>
  <si>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</si>
  <si>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</si>
  <si>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</si>
  <si>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</si>
  <si>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</si>
  <si>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</si>
  <si>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</si>
  <si>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</si>
  <si>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</si>
  <si>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</si>
  <si>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</si>
  <si>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</si>
  <si>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</si>
  <si>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</si>
  <si>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</si>
  <si>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</si>
  <si>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</si>
  <si>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</si>
  <si>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</si>
  <si>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</si>
  <si>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</si>
  <si>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</si>
  <si>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</si>
  <si>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</si>
  <si>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</si>
  <si>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</si>
  <si>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</si>
  <si>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</si>
  <si>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</si>
  <si>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</si>
  <si>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</si>
  <si>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</si>
  <si>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</si>
  <si>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</si>
  <si>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</si>
  <si>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</si>
  <si>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</si>
  <si>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</si>
  <si>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</si>
  <si>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</si>
  <si>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</si>
  <si>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</si>
  <si>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</si>
  <si>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</si>
  <si>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</si>
  <si>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</si>
  <si>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</si>
  <si>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</si>
  <si>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</si>
  <si>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</si>
  <si>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</si>
  <si>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</si>
  <si>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</si>
  <si>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</si>
  <si>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</si>
  <si>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</si>
  <si>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</si>
  <si>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</si>
  <si>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</si>
  <si>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</si>
  <si>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</si>
  <si>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</si>
  <si>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</si>
  <si>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</si>
  <si>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</si>
  <si>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</si>
  <si>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</si>
  <si>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</si>
  <si>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</si>
  <si>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</si>
  <si>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</si>
  <si>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</si>
  <si>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</si>
  <si>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</si>
  <si>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</si>
  <si>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</si>
  <si>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</si>
  <si>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</si>
  <si>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</si>
  <si>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</si>
  <si>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</si>
  <si>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</si>
  <si>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</si>
  <si>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</si>
  <si>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</si>
  <si>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</si>
  <si>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</si>
  <si>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</si>
  <si>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</si>
  <si>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</si>
  <si>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</si>
  <si>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</si>
  <si>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</si>
  <si>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</si>
  <si>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</si>
  <si>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</si>
  <si>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</si>
  <si>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</si>
  <si>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</si>
  <si>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</si>
  <si>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</si>
  <si>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</si>
  <si>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</si>
  <si>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</si>
  <si>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</si>
  <si>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</si>
  <si>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</si>
  <si>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</si>
  <si>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</si>
  <si>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</si>
  <si>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</si>
  <si>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</si>
  <si>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</si>
  <si>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</si>
  <si>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</si>
  <si>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</si>
  <si>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</si>
  <si>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</si>
  <si>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</si>
  <si>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</si>
  <si>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</si>
  <si>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</si>
  <si>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</si>
  <si>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</si>
  <si>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</si>
  <si>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</si>
  <si>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</si>
  <si>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</si>
  <si>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</si>
  <si>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</si>
  <si>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</si>
  <si>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</si>
  <si>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</si>
  <si>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</si>
  <si>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</si>
  <si>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</si>
  <si>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</si>
  <si>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</si>
  <si>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</si>
  <si>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</si>
  <si>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</si>
  <si>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</si>
  <si>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</si>
  <si>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</si>
  <si>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</si>
  <si>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</si>
  <si>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</si>
  <si>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</si>
  <si>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</si>
  <si>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</si>
  <si>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</si>
  <si>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</si>
  <si>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</si>
  <si>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</si>
  <si>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</si>
  <si>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</si>
  <si>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</si>
  <si>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</si>
  <si>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</si>
  <si>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</si>
  <si>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</si>
  <si>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</si>
  <si>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</si>
  <si>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</si>
  <si>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</si>
  <si>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</si>
  <si>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</si>
  <si>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</si>
  <si>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</si>
  <si>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</si>
  <si>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</si>
  <si>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</si>
  <si>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</si>
  <si>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</si>
  <si>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</si>
  <si>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</si>
  <si>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</si>
  <si>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</si>
  <si>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</si>
  <si>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</si>
  <si>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</si>
  <si>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</si>
  <si>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</si>
  <si>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</si>
  <si>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</si>
  <si>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</si>
  <si>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</si>
  <si>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</si>
  <si>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</si>
  <si>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</si>
  <si>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</si>
  <si>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</si>
  <si>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</si>
  <si>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</si>
  <si>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</si>
  <si>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</si>
  <si>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</si>
  <si>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</si>
  <si>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</si>
  <si>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</si>
  <si>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</si>
  <si>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</si>
  <si>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</si>
  <si>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</si>
  <si>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</si>
  <si>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</si>
  <si>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</si>
  <si>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</si>
  <si>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</si>
  <si>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</si>
  <si>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</si>
  <si>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</si>
  <si>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</si>
  <si>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</si>
  <si>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</si>
  <si>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</si>
  <si>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</si>
  <si>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</si>
  <si>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</si>
  <si>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</si>
  <si>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</si>
  <si>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</si>
  <si>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</si>
  <si>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</si>
  <si>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</si>
  <si>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</si>
  <si>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</si>
  <si>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</si>
  <si>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</si>
  <si>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</si>
  <si>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</si>
  <si>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</si>
  <si>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</si>
  <si>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</si>
  <si>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</si>
  <si>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</si>
  <si>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</si>
  <si>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</si>
  <si>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</si>
  <si>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</si>
  <si>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</si>
  <si>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</si>
  <si>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</si>
  <si>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</si>
  <si>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</si>
  <si>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</si>
  <si>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</si>
  <si>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</si>
  <si>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</si>
  <si>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</si>
  <si>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</si>
  <si>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</si>
  <si>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</si>
  <si>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</si>
  <si>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</si>
  <si>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</si>
  <si>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</si>
  <si>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</si>
  <si>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</si>
  <si>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</si>
  <si>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</si>
  <si>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</si>
  <si>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</si>
  <si>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</si>
  <si>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</si>
  <si>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</si>
  <si>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</si>
  <si>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</si>
  <si>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</si>
  <si>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</si>
  <si>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</si>
  <si>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</si>
  <si>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</si>
  <si>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</si>
  <si>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</si>
  <si>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</si>
  <si>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</si>
  <si>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</si>
  <si>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</si>
  <si>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</si>
  <si>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</si>
  <si>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</si>
  <si>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</si>
  <si>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</si>
  <si>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</si>
  <si>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</si>
  <si>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</si>
  <si>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</si>
  <si>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</si>
  <si>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</si>
  <si>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</si>
  <si>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</si>
  <si>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</si>
  <si>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</si>
  <si>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</si>
  <si>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</si>
  <si>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</si>
  <si>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</si>
  <si>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</si>
  <si>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</si>
  <si>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</si>
  <si>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</si>
  <si>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</si>
  <si>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</si>
  <si>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</si>
  <si>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</si>
  <si>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</si>
  <si>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</si>
  <si>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</si>
  <si>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</si>
  <si>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</si>
  <si>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</si>
  <si>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</si>
  <si>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</si>
  <si>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</si>
  <si>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</si>
  <si>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</si>
  <si>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</si>
  <si>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</si>
  <si>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</si>
  <si>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</si>
  <si>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</si>
  <si>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</si>
  <si>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</si>
  <si>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</si>
  <si>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</si>
  <si>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</si>
  <si>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</si>
  <si>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</si>
  <si>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</si>
  <si>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</si>
  <si>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</si>
  <si>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</si>
  <si>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</si>
  <si>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</si>
  <si>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</si>
  <si>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</si>
  <si>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</si>
  <si>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</si>
  <si>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</si>
  <si>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</si>
  <si>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</si>
  <si>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</si>
  <si>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</si>
  <si>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</si>
  <si>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</si>
  <si>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</si>
  <si>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</si>
  <si>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</si>
  <si>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</si>
  <si>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</si>
  <si>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</si>
  <si>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</si>
  <si>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</si>
  <si>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</si>
  <si>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</si>
  <si>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</si>
  <si>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</si>
  <si>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</si>
  <si>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</si>
  <si>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</si>
  <si>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</si>
  <si>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</si>
  <si>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</si>
  <si>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</si>
  <si>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</si>
  <si>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</si>
  <si>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</si>
  <si>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</si>
  <si>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</si>
  <si>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</si>
  <si>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</si>
  <si>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</si>
  <si>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</si>
  <si>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</si>
  <si>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</si>
  <si>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</si>
  <si>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</si>
  <si>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</si>
  <si>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</si>
  <si>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</si>
  <si>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</si>
  <si>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</si>
  <si>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</si>
  <si>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</si>
  <si>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</si>
  <si>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</si>
  <si>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</si>
  <si>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</si>
  <si>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</si>
  <si>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</si>
  <si>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</si>
  <si>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</si>
  <si>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</si>
  <si>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</si>
  <si>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</si>
  <si>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</si>
  <si>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</si>
  <si>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</si>
  <si>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</si>
  <si>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</si>
  <si>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</si>
  <si>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</si>
  <si>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</si>
  <si>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</si>
  <si>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</si>
  <si>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</si>
  <si>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</si>
  <si>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</si>
  <si>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</si>
  <si>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</si>
  <si>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</si>
  <si>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</si>
  <si>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</si>
  <si>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</si>
  <si>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</si>
  <si>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</si>
  <si>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</si>
  <si>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</si>
  <si>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</si>
  <si>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</si>
  <si>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</si>
  <si>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</si>
  <si>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</si>
  <si>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</si>
  <si>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</si>
  <si>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</si>
  <si>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</si>
  <si>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</si>
  <si>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</si>
  <si>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</si>
  <si>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</si>
  <si>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</si>
  <si>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</si>
  <si>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</si>
  <si>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</si>
  <si>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</si>
  <si>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</si>
  <si>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</si>
  <si>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</si>
  <si>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</si>
  <si>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</si>
  <si>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</si>
  <si>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</si>
  <si>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</si>
  <si>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</si>
  <si>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</si>
  <si>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</si>
  <si>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</si>
  <si>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</si>
  <si>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</si>
  <si>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</si>
  <si>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</si>
  <si>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</si>
  <si>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</si>
  <si>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</si>
  <si>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</si>
  <si>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</si>
  <si>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</si>
  <si>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</si>
  <si>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</si>
  <si>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</si>
  <si>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</si>
  <si>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</si>
  <si>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</si>
  <si>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</si>
  <si>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</si>
  <si>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</si>
  <si>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</si>
  <si>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</si>
  <si>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</si>
  <si>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</si>
  <si>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</si>
  <si>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</si>
  <si>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</si>
  <si>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</si>
  <si>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</si>
  <si>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</si>
  <si>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</si>
  <si>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</si>
  <si>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</si>
  <si>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</si>
  <si>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</si>
  <si>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</si>
  <si>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</si>
  <si>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</si>
  <si>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</si>
  <si>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</si>
  <si>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</si>
  <si>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</si>
  <si>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</si>
  <si>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</si>
  <si>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</si>
  <si>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</si>
  <si>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</si>
  <si>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</si>
  <si>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</si>
  <si>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</si>
  <si>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</si>
  <si>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</si>
  <si>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</si>
  <si>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</si>
  <si>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</si>
  <si>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</si>
  <si>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</si>
  <si>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</si>
  <si>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</si>
  <si>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</si>
  <si>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</si>
  <si>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</si>
  <si>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</si>
  <si>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</si>
  <si>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</si>
  <si>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</si>
  <si>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</si>
  <si>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</si>
  <si>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</si>
  <si>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</si>
  <si>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</si>
  <si>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</si>
  <si>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</si>
  <si>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</si>
  <si>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</si>
  <si>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</si>
  <si>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</si>
  <si>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</si>
  <si>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</si>
  <si>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</si>
  <si>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</si>
  <si>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</si>
  <si>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</si>
  <si>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</si>
  <si>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</si>
  <si>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</si>
  <si>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</si>
  <si>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</si>
  <si>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</si>
  <si>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</si>
  <si>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</si>
  <si>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</si>
  <si>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</si>
  <si>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</si>
  <si>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</si>
  <si>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</si>
  <si>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</si>
  <si>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</si>
  <si>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</si>
  <si>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</si>
  <si>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</si>
  <si>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</si>
  <si>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</si>
  <si>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</si>
  <si>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</si>
  <si>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</si>
  <si>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</si>
  <si>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</si>
  <si>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</si>
  <si>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</si>
  <si>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</si>
  <si>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</si>
  <si>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</si>
  <si>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</si>
  <si>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</si>
  <si>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</si>
  <si>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</si>
  <si>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</si>
  <si>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</si>
  <si>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</si>
  <si>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</si>
  <si>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</si>
  <si>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</si>
  <si>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</si>
  <si>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</si>
  <si>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</si>
  <si>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</si>
  <si>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</si>
  <si>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</si>
  <si>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</si>
  <si>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</si>
  <si>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</si>
  <si>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</si>
  <si>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</si>
  <si>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</si>
  <si>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</si>
  <si>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</si>
  <si>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</si>
  <si>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</si>
  <si>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</si>
  <si>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</si>
  <si>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</si>
  <si>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</si>
  <si>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</si>
  <si>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</si>
  <si>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</si>
  <si>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</si>
  <si>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</si>
  <si>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</si>
  <si>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</si>
  <si>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</si>
  <si>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</si>
  <si>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</si>
  <si>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</si>
  <si>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</si>
  <si>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</si>
  <si>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</si>
  <si>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</si>
  <si>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</si>
  <si>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</si>
  <si>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</si>
  <si>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</si>
  <si>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</si>
  <si>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</si>
  <si>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</si>
  <si>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</si>
  <si>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</si>
  <si>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</si>
  <si>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</si>
  <si>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</si>
  <si>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</si>
  <si>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</si>
  <si>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</si>
  <si>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</si>
  <si>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</si>
  <si>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</si>
  <si>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</si>
  <si>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</si>
  <si>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</si>
  <si>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</si>
  <si>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</si>
  <si>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</si>
  <si>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</si>
  <si>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</si>
  <si>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</si>
  <si>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</si>
  <si>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</si>
  <si>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</si>
  <si>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</si>
  <si>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</si>
  <si>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</si>
  <si>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</si>
  <si>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</si>
  <si>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</si>
  <si>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</si>
  <si>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</si>
  <si>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</si>
  <si>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</si>
  <si>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</si>
  <si>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</si>
  <si>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</si>
  <si>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</si>
  <si>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</si>
  <si>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</si>
  <si>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</si>
  <si>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</si>
  <si>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</si>
  <si>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</si>
  <si>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</si>
  <si>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</si>
  <si>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</si>
  <si>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</si>
  <si>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</si>
  <si>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</si>
  <si>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</si>
  <si>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</si>
  <si>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</si>
  <si>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</si>
  <si>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</si>
  <si>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</si>
  <si>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</si>
  <si>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</si>
  <si>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</si>
  <si>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</si>
  <si>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</si>
  <si>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</si>
  <si>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</si>
  <si>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</si>
  <si>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</si>
  <si>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</si>
  <si>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</si>
  <si>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</si>
  <si>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</si>
  <si>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</si>
  <si>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</si>
  <si>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</si>
  <si>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</si>
  <si>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</si>
  <si>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</si>
  <si>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</si>
  <si>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</si>
  <si>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</si>
  <si>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</si>
  <si>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</si>
  <si>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</si>
  <si>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</si>
  <si>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</si>
  <si>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</si>
  <si>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</si>
  <si>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</si>
  <si>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</si>
  <si>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</si>
  <si>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</si>
  <si>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</si>
  <si>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</si>
  <si>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</si>
  <si>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</si>
  <si>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</si>
  <si>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</si>
  <si>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</si>
  <si>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</si>
  <si>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</si>
  <si>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</si>
  <si>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</si>
  <si>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</si>
  <si>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</si>
  <si>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</si>
  <si>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</si>
  <si>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</si>
  <si>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</si>
  <si>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</si>
  <si>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</si>
  <si>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</si>
  <si>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</si>
  <si>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</si>
  <si>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</si>
  <si>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</si>
  <si>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</si>
  <si>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</si>
  <si>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</si>
  <si>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</si>
  <si>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</si>
  <si>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</si>
  <si>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</si>
  <si>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</si>
  <si>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</si>
  <si>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</si>
  <si>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</si>
  <si>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</si>
  <si>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</si>
  <si>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</si>
  <si>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</si>
  <si>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</si>
  <si>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</si>
  <si>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</si>
  <si>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</si>
  <si>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</si>
  <si>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</si>
  <si>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</si>
  <si>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</si>
  <si>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</si>
  <si>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</si>
  <si>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</si>
  <si>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</si>
  <si>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</si>
  <si>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</si>
  <si>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</si>
  <si>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</si>
  <si>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</si>
  <si>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</si>
  <si>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</si>
  <si>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</si>
  <si>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</si>
  <si>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</si>
  <si>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</si>
  <si>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</si>
  <si>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</si>
  <si>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</si>
  <si>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</si>
  <si>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</si>
  <si>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</si>
  <si>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</si>
  <si>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</si>
  <si>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</si>
  <si>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</si>
  <si>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</si>
  <si>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</si>
  <si>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</si>
  <si>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</si>
  <si>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</si>
  <si>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</si>
  <si>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</si>
  <si>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</si>
  <si>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</si>
  <si>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</si>
  <si>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</si>
  <si>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</si>
  <si>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</si>
  <si>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</si>
  <si>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</si>
  <si>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</si>
  <si>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</si>
  <si>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</si>
  <si>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</si>
  <si>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</si>
  <si>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</si>
  <si>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</si>
  <si>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</si>
  <si>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</si>
  <si>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</si>
  <si>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</si>
  <si>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</si>
  <si>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</si>
  <si>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</si>
  <si>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</si>
  <si>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</si>
  <si>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</si>
  <si>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</si>
  <si>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</si>
  <si>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</si>
  <si>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</si>
  <si>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</si>
  <si>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</si>
  <si>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</si>
  <si>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</si>
  <si>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</si>
  <si>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</si>
  <si>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</si>
  <si>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</si>
  <si>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</si>
  <si>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</si>
  <si>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</si>
  <si>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</si>
  <si>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</si>
  <si>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</si>
  <si>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</si>
  <si>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</si>
  <si>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</si>
  <si>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</si>
  <si>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</si>
  <si>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</si>
  <si>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</si>
  <si>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</si>
  <si>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</si>
  <si>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</si>
  <si>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</si>
  <si>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</si>
  <si>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</si>
  <si>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</si>
  <si>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</si>
  <si>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</si>
  <si>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</si>
  <si>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</si>
  <si>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</si>
  <si>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</si>
  <si>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</si>
  <si>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</si>
  <si>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</si>
  <si>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</si>
  <si>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</si>
  <si>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</si>
  <si>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</si>
  <si>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</si>
  <si>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</si>
  <si>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</si>
  <si>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</si>
  <si>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</si>
  <si>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</si>
  <si>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</si>
  <si>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</si>
  <si>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</si>
  <si>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</si>
  <si>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</si>
  <si>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</si>
  <si>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</si>
  <si>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</si>
  <si>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</si>
  <si>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</si>
  <si>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</si>
  <si>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</si>
  <si>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</si>
  <si>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</si>
  <si>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</si>
  <si>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</si>
  <si>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</si>
  <si>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</si>
  <si>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</si>
  <si>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</si>
  <si>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</si>
  <si>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</si>
  <si>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</si>
  <si>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</si>
  <si>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</si>
  <si>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</si>
  <si>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</si>
  <si>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</si>
  <si>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</si>
  <si>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</si>
  <si>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</si>
  <si>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</si>
  <si>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</si>
  <si>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</si>
  <si>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</si>
  <si>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</si>
  <si>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</si>
  <si>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</si>
  <si>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</si>
  <si>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</si>
  <si>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</si>
  <si>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</si>
  <si>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</si>
  <si>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</si>
  <si>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</si>
  <si>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</si>
  <si>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</si>
  <si>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</si>
  <si>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</si>
  <si>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</si>
  <si>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</si>
  <si>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</si>
  <si>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</si>
  <si>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</si>
  <si>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</si>
  <si>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</si>
  <si>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</si>
  <si>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</si>
  <si>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</si>
  <si>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</si>
  <si>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</si>
  <si>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</si>
  <si>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</si>
  <si>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</si>
  <si>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</si>
  <si>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</si>
  <si>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</si>
  <si>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</si>
  <si>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</si>
  <si>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</si>
  <si>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</si>
  <si>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</si>
  <si>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</si>
  <si>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</si>
  <si>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</si>
  <si>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</si>
  <si>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</si>
  <si>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</si>
  <si>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</si>
  <si>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</si>
  <si>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</si>
  <si>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</si>
  <si>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</si>
  <si>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</si>
  <si>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</si>
  <si>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</si>
  <si>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</si>
  <si>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</si>
  <si>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</si>
  <si>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</si>
  <si>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</si>
  <si>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</si>
  <si>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</si>
  <si>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</si>
  <si>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</si>
  <si>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</si>
  <si>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</si>
  <si>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</si>
  <si>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</si>
  <si>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</si>
  <si>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</si>
  <si>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</si>
  <si>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</si>
  <si>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</si>
  <si>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</si>
  <si>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</si>
  <si>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</si>
  <si>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</si>
  <si>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</si>
  <si>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</si>
  <si>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</si>
  <si>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</si>
  <si>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</si>
  <si>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</si>
  <si>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</si>
  <si>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</si>
  <si>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</si>
  <si>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</si>
  <si>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</si>
  <si>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</si>
  <si>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</si>
  <si>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</si>
  <si>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</si>
  <si>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</si>
  <si>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</si>
  <si>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</si>
  <si>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</si>
  <si>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</si>
  <si>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</si>
  <si>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</si>
  <si>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</si>
  <si>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</si>
  <si>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</si>
  <si>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</si>
  <si>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</si>
  <si>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</si>
  <si>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</si>
  <si>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</si>
  <si>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</si>
  <si>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</si>
  <si>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</si>
  <si>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</si>
  <si>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</si>
  <si>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</si>
  <si>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</si>
  <si>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</si>
  <si>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</si>
  <si>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</si>
  <si>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</si>
  <si>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</si>
  <si>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</si>
  <si>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</si>
  <si>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</si>
  <si>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</si>
  <si>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</si>
  <si>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</si>
  <si>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</si>
  <si>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</si>
  <si>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</si>
  <si>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</si>
  <si>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</si>
  <si>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</si>
  <si>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</si>
  <si>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</si>
  <si>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</si>
  <si>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</si>
  <si>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</si>
  <si>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</si>
  <si>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</si>
  <si>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</si>
  <si>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</si>
  <si>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</si>
  <si>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</si>
  <si>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</si>
  <si>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</si>
  <si>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</si>
  <si>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</si>
  <si>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</si>
  <si>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</si>
  <si>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</si>
  <si>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</si>
  <si>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</si>
  <si>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</si>
  <si>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</si>
  <si>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</si>
  <si>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</si>
  <si>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</si>
  <si>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</si>
  <si>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</si>
  <si>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</si>
  <si>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</si>
  <si>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</si>
  <si>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</si>
  <si>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</si>
  <si>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</si>
  <si>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</si>
  <si>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</si>
  <si>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</si>
  <si>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</si>
  <si>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</si>
  <si>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</si>
  <si>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</si>
  <si>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</si>
  <si>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</si>
  <si>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</si>
  <si>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</si>
  <si>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</si>
  <si>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</si>
  <si>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</si>
  <si>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</si>
  <si>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</si>
  <si>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</si>
  <si>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</si>
  <si>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</si>
  <si>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</si>
  <si>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</si>
  <si>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</si>
  <si>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</si>
  <si>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</si>
  <si>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</si>
  <si>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</si>
  <si>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</si>
  <si>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</si>
  <si>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</si>
  <si>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</si>
  <si>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</si>
  <si>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</si>
  <si>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</si>
  <si>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</si>
  <si>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</si>
  <si>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</si>
  <si>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</si>
  <si>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</si>
  <si>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</si>
  <si>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</si>
  <si>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</si>
  <si>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</si>
  <si>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</si>
  <si>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</si>
  <si>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</si>
  <si>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</si>
  <si>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</si>
  <si>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</si>
  <si>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</si>
  <si>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</si>
  <si>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</si>
  <si>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</si>
  <si>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</si>
  <si>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</si>
  <si>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</si>
  <si>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</si>
  <si>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</si>
  <si>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</si>
  <si>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</si>
  <si>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</si>
  <si>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</si>
  <si>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</si>
  <si>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</si>
  <si>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</si>
  <si>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</si>
  <si>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</si>
  <si>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</si>
  <si>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</si>
  <si>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</si>
  <si>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</si>
  <si>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</si>
  <si>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</si>
  <si>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</si>
  <si>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</si>
  <si>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</si>
  <si>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</si>
  <si>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</si>
  <si>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</si>
  <si>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</si>
  <si>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</si>
  <si>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</si>
  <si>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</si>
  <si>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</si>
  <si>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</si>
  <si>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</si>
  <si>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</si>
  <si>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</si>
  <si>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</si>
  <si>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</si>
  <si>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</si>
  <si>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</si>
  <si>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</si>
  <si>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</si>
  <si>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</si>
  <si>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</si>
  <si>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</si>
  <si>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</si>
  <si>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</si>
  <si>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</si>
  <si>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</si>
  <si>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</si>
  <si>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</si>
  <si>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</si>
  <si>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</si>
  <si>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</si>
  <si>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</si>
  <si>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</si>
  <si>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</si>
  <si>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</si>
  <si>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</si>
  <si>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</si>
  <si>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</si>
  <si>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</si>
  <si>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</si>
  <si>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</si>
  <si>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</si>
  <si>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</si>
  <si>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</si>
  <si>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</si>
  <si>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</si>
  <si>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</si>
  <si>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</si>
  <si>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</si>
  <si>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</si>
  <si>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</si>
  <si>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</si>
  <si>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</si>
  <si>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</si>
  <si>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</si>
  <si>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</si>
  <si>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</si>
  <si>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</si>
  <si>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</si>
  <si>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</si>
  <si>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</si>
  <si>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</si>
  <si>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</si>
  <si>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</si>
  <si>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</si>
  <si>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</si>
  <si>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</si>
  <si>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</si>
  <si>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</si>
  <si>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</si>
  <si>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</si>
  <si>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</si>
  <si>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</si>
  <si>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</si>
  <si>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</si>
  <si>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</si>
  <si>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</si>
  <si>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</si>
  <si>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</si>
  <si>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</si>
  <si>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</si>
  <si>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</si>
  <si>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</si>
  <si>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</si>
  <si>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</si>
  <si>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</si>
  <si>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</si>
  <si>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</si>
  <si>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</si>
  <si>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</si>
  <si>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</si>
  <si>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</si>
  <si>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</si>
  <si>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</si>
  <si>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</si>
  <si>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</si>
  <si>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</si>
  <si>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</si>
  <si>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</si>
  <si>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</si>
  <si>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</si>
  <si>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</si>
  <si>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</si>
  <si>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</si>
  <si>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</si>
  <si>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</si>
  <si>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</si>
  <si>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</si>
  <si>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</si>
  <si>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</si>
  <si>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</si>
  <si>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</si>
  <si>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</si>
  <si>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</si>
  <si>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</si>
  <si>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</si>
  <si>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</si>
  <si>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</si>
  <si>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</si>
  <si>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</si>
  <si>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</si>
  <si>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</si>
  <si>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</si>
  <si>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</si>
  <si>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</si>
  <si>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</si>
  <si>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</si>
  <si>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</si>
  <si>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</si>
  <si>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</si>
  <si>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</si>
  <si>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</si>
  <si>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</si>
  <si>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</si>
  <si>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</si>
  <si>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</si>
  <si>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</si>
  <si>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</si>
  <si>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</si>
  <si>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</si>
  <si>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</si>
  <si>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</si>
  <si>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</si>
  <si>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</si>
  <si>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</si>
  <si>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</si>
  <si>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</si>
  <si>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</si>
  <si>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</si>
  <si>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</si>
  <si>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</si>
  <si>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</si>
  <si>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</si>
  <si>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</si>
  <si>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</si>
  <si>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</si>
  <si>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</si>
  <si>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</si>
  <si>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</si>
  <si>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</si>
  <si>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</si>
  <si>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</si>
  <si>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</si>
  <si>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</si>
  <si>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</si>
  <si>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</si>
  <si>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</si>
  <si>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</si>
  <si>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</si>
  <si>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</si>
  <si>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</si>
  <si>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</si>
  <si>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</si>
  <si>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</si>
  <si>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</si>
  <si>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</si>
  <si>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</si>
  <si>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</si>
  <si>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</si>
  <si>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</si>
  <si>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</si>
  <si>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</si>
  <si>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</si>
  <si>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</si>
  <si>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</si>
  <si>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</si>
  <si>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</si>
  <si>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</si>
  <si>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</si>
  <si>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</si>
  <si>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</si>
  <si>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</si>
  <si>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</si>
  <si>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</si>
  <si>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</si>
  <si>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</si>
  <si>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</si>
  <si>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</si>
  <si>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</si>
  <si>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</si>
  <si>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</si>
  <si>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</si>
  <si>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</si>
  <si>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</si>
  <si>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</si>
  <si>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</si>
  <si>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</si>
  <si>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</si>
  <si>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</si>
  <si>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</si>
  <si>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</si>
  <si>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</si>
  <si>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</si>
  <si>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</si>
  <si>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</si>
  <si>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</si>
  <si>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</si>
  <si>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</si>
  <si>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</si>
  <si>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</si>
  <si>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</si>
  <si>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</si>
  <si>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</si>
  <si>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</si>
  <si>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</si>
  <si>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</si>
  <si>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</si>
  <si>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</si>
  <si>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</si>
  <si>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</si>
  <si>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</si>
  <si>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</si>
  <si>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</si>
  <si>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</si>
  <si>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</si>
  <si>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</si>
  <si>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</si>
  <si>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</si>
  <si>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</si>
  <si>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</si>
  <si>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</si>
  <si>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</si>
  <si>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</si>
  <si>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</si>
  <si>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</si>
  <si>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</si>
  <si>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</si>
  <si>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</si>
  <si>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</si>
  <si>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</si>
  <si>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</si>
  <si>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</si>
  <si>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</si>
  <si>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</si>
  <si>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</si>
  <si>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</si>
  <si>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</si>
  <si>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</si>
  <si>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</si>
  <si>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</si>
  <si>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</si>
  <si>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</si>
  <si>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</si>
  <si>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</si>
  <si>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</si>
  <si>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</si>
  <si>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</si>
  <si>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</si>
  <si>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</si>
  <si>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</si>
  <si>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</si>
  <si>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</si>
  <si>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</si>
  <si>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</si>
  <si>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</si>
  <si>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</si>
  <si>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</si>
  <si>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</si>
  <si>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</si>
  <si>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</si>
  <si>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</si>
  <si>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</si>
  <si>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</si>
  <si>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</si>
  <si>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</si>
  <si>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</si>
  <si>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</si>
  <si>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</si>
  <si>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</si>
  <si>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</si>
  <si>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</si>
  <si>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</si>
  <si>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</si>
  <si>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</si>
  <si>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</si>
  <si>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</si>
  <si>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</si>
  <si>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</si>
  <si>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</si>
  <si>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</si>
  <si>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</si>
  <si>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</si>
  <si>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</si>
  <si>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</si>
  <si>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</si>
  <si>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</si>
  <si>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</si>
  <si>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</si>
  <si>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</si>
  <si>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</si>
  <si>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</si>
  <si>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</si>
  <si>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</si>
  <si>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</si>
  <si>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</si>
  <si>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</si>
  <si>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</si>
  <si>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</si>
  <si>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</si>
  <si>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</si>
  <si>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</si>
  <si>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</si>
  <si>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</si>
  <si>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</si>
  <si>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</si>
  <si>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</si>
  <si>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</si>
  <si>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</si>
  <si>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</si>
  <si>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</si>
  <si>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</si>
  <si>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</si>
  <si>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</si>
  <si>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</si>
  <si>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</si>
  <si>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</si>
  <si>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</si>
  <si>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</si>
  <si>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</si>
  <si>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</si>
  <si>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</si>
  <si>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</si>
  <si>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</si>
  <si>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</si>
  <si>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</si>
  <si>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</si>
  <si>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</si>
  <si>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</si>
  <si>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</si>
  <si>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</si>
  <si>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</si>
  <si>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</si>
  <si>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</si>
  <si>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</si>
  <si>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</si>
  <si>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</si>
  <si>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</si>
  <si>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</si>
  <si>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</si>
  <si>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</si>
  <si>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</si>
  <si>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</si>
  <si>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</si>
  <si>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</si>
  <si>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</si>
  <si>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</si>
  <si>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</si>
  <si>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</si>
  <si>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</si>
  <si>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</si>
  <si>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</si>
  <si>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</si>
  <si>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</si>
  <si>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</si>
  <si>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</si>
  <si>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</si>
  <si>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</si>
  <si>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</si>
  <si>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</si>
  <si>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</si>
  <si>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</si>
  <si>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</si>
  <si>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</si>
  <si>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</si>
  <si>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</si>
  <si>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</si>
  <si>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</si>
  <si>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</si>
  <si>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</si>
  <si>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</si>
  <si>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</si>
  <si>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</si>
  <si>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</si>
  <si>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</si>
  <si>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</si>
  <si>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</si>
  <si>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</si>
  <si>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</si>
  <si>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</si>
  <si>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</si>
  <si>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</si>
  <si>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</si>
  <si>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</si>
  <si>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</si>
  <si>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</si>
  <si>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</si>
  <si>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</si>
  <si>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</si>
  <si>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</si>
  <si>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</si>
  <si>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</si>
  <si>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</si>
  <si>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</si>
  <si>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</si>
  <si>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</si>
  <si>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</si>
  <si>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</si>
  <si>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</si>
  <si>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</si>
  <si>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</si>
  <si>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</si>
  <si>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</si>
  <si>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</si>
  <si>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</si>
  <si>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</si>
  <si>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</si>
  <si>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</si>
  <si>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</si>
  <si>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</si>
  <si>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</si>
  <si>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</si>
  <si>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</si>
  <si>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</si>
  <si>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</si>
  <si>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</si>
  <si>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</si>
  <si>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</si>
  <si>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</si>
  <si>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</si>
  <si>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</si>
  <si>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</si>
  <si>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</si>
  <si>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</si>
  <si>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</si>
  <si>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</si>
  <si>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</si>
  <si>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</si>
  <si>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</si>
  <si>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</si>
  <si>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</si>
  <si>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</si>
  <si>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</si>
  <si>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</si>
  <si>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</si>
  <si>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</si>
  <si>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</si>
  <si>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</si>
  <si>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</si>
  <si>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</si>
  <si>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</si>
  <si>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</si>
  <si>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</si>
  <si>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</si>
  <si>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</si>
  <si>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</si>
  <si>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</si>
  <si>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</si>
  <si>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</si>
  <si>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</si>
  <si>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</si>
  <si>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</si>
  <si>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</si>
  <si>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</si>
  <si>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</si>
  <si>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</si>
  <si>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</si>
  <si>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</si>
  <si>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</si>
  <si>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</si>
  <si>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</si>
  <si>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</si>
  <si>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</si>
  <si>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</si>
  <si>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</si>
  <si>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</si>
  <si>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</si>
  <si>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</si>
  <si>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</si>
  <si>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</si>
  <si>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</si>
  <si>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</si>
  <si>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</si>
  <si>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</si>
  <si>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</si>
  <si>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</si>
  <si>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</si>
  <si>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</si>
  <si>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</si>
  <si>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</si>
  <si>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</si>
  <si>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</si>
  <si>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</si>
  <si>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</si>
  <si>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</si>
  <si>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</si>
  <si>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</si>
  <si>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</si>
  <si>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</si>
  <si>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</si>
  <si>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</si>
  <si>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</si>
  <si>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</si>
  <si>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</si>
  <si>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</si>
  <si>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</si>
  <si>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</si>
  <si>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</si>
  <si>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</si>
  <si>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</si>
  <si>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</si>
  <si>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</si>
  <si>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</si>
  <si>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</si>
  <si>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</si>
  <si>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</si>
  <si>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</si>
  <si>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</si>
  <si>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</si>
  <si>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</si>
  <si>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</si>
  <si>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</si>
  <si>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</si>
  <si>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</si>
  <si>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</si>
  <si>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</si>
  <si>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</si>
  <si>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</si>
  <si>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</si>
  <si>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</si>
  <si>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</si>
  <si>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</si>
  <si>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</si>
  <si>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</si>
  <si>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</si>
  <si>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</si>
  <si>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</si>
  <si>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</si>
  <si>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</si>
  <si>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</si>
  <si>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</si>
  <si>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</si>
  <si>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</si>
  <si>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</si>
  <si>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</si>
  <si>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</si>
  <si>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</si>
  <si>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</si>
  <si>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</si>
  <si>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</si>
  <si>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</si>
  <si>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</si>
  <si>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</si>
  <si>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</si>
  <si>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</si>
  <si>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</si>
  <si>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</si>
  <si>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</si>
  <si>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</si>
  <si>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</si>
  <si>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</si>
  <si>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</si>
  <si>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</si>
  <si>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</si>
  <si>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</si>
  <si>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</si>
  <si>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</si>
  <si>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</si>
  <si>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</si>
  <si>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</si>
  <si>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</si>
  <si>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</si>
  <si>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</si>
  <si>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</si>
  <si>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</si>
  <si>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</si>
  <si>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</si>
  <si>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</si>
  <si>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</si>
  <si>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</si>
  <si>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</si>
  <si>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</si>
  <si>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</si>
  <si>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</si>
  <si>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</si>
  <si>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</si>
  <si>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</si>
  <si>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</si>
  <si>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</si>
  <si>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</si>
  <si>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</si>
  <si>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</si>
  <si>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</si>
  <si>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</si>
  <si>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</si>
  <si>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</si>
  <si>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</si>
  <si>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</si>
  <si>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</si>
  <si>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</si>
  <si>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</si>
  <si>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</si>
  <si>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</si>
  <si>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</si>
  <si>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</si>
  <si>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</si>
  <si>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</si>
  <si>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</si>
  <si>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</si>
  <si>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</si>
  <si>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</si>
  <si>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</si>
  <si>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</si>
  <si>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</si>
  <si>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</si>
  <si>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</si>
  <si>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</si>
  <si>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</si>
  <si>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</si>
  <si>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</si>
  <si>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</si>
  <si>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</si>
  <si>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</si>
  <si>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</si>
  <si>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</si>
  <si>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</si>
  <si>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</si>
  <si>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</si>
  <si>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</si>
  <si>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</si>
  <si>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</si>
  <si>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</si>
  <si>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</si>
  <si>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</si>
  <si>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</si>
  <si>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</si>
  <si>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</si>
  <si>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</si>
  <si>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</si>
  <si>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</si>
  <si>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</si>
  <si>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</si>
  <si>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</si>
  <si>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</si>
  <si>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</si>
  <si>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</si>
  <si>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</si>
  <si>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</si>
  <si>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</si>
  <si>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</si>
  <si>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</si>
  <si>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</si>
  <si>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</si>
  <si>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</si>
  <si>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</si>
  <si>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</si>
  <si>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</si>
  <si>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</si>
  <si>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</si>
  <si>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</si>
  <si>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</si>
  <si>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</si>
  <si>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</si>
  <si>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</si>
  <si>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</si>
  <si>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</si>
  <si>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</si>
  <si>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</si>
  <si>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</si>
  <si>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</si>
  <si>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</si>
  <si>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</si>
  <si>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</si>
  <si>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</si>
  <si>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</si>
  <si>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</si>
  <si>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</si>
  <si>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</si>
  <si>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</si>
  <si>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</si>
  <si>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</si>
  <si>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</si>
  <si>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</si>
  <si>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</si>
  <si>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</si>
  <si>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</si>
  <si>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</si>
  <si>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</si>
  <si>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</si>
  <si>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</si>
  <si>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</si>
  <si>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</si>
  <si>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</si>
  <si>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</si>
  <si>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</si>
  <si>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</si>
  <si>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</si>
  <si>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</si>
  <si>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</si>
  <si>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</si>
  <si>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</si>
  <si>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</si>
  <si>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</si>
  <si>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</si>
  <si>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</si>
  <si>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</si>
  <si>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</si>
  <si>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</si>
  <si>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</si>
  <si>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</si>
  <si>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</si>
  <si>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</si>
  <si>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</si>
  <si>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</si>
  <si>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</si>
  <si>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</si>
  <si>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</si>
  <si>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</si>
  <si>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</si>
  <si>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</si>
  <si>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</si>
  <si>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</si>
  <si>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</si>
  <si>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</si>
  <si>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</si>
  <si>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</si>
  <si>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</si>
  <si>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</si>
  <si>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</si>
  <si>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</si>
  <si>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</si>
  <si>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</si>
  <si>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</si>
  <si>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</si>
  <si>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</si>
  <si>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</si>
  <si>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</si>
  <si>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</si>
  <si>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</si>
  <si>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</si>
  <si>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</si>
  <si>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</si>
  <si>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</si>
  <si>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</si>
  <si>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</si>
  <si>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</si>
  <si>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</si>
  <si>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</si>
  <si>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</si>
  <si>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</si>
  <si>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</si>
  <si>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</si>
  <si>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</si>
  <si>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</si>
  <si>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</si>
  <si>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</si>
  <si>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</si>
  <si>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</si>
  <si>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</si>
  <si>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</si>
  <si>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</si>
  <si>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</si>
  <si>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</si>
  <si>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</si>
  <si>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</si>
  <si>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</si>
  <si>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</si>
  <si>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</si>
  <si>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</si>
  <si>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</si>
  <si>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</si>
  <si>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</si>
  <si>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</si>
  <si>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</si>
  <si>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</si>
  <si>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</si>
  <si>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</si>
  <si>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</si>
  <si>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</si>
  <si>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</si>
  <si>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</si>
  <si>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</si>
  <si>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</si>
  <si>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</si>
  <si>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</si>
  <si>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</si>
  <si>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</si>
  <si>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</si>
  <si>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</si>
  <si>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</si>
  <si>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</si>
  <si>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</si>
  <si>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</si>
  <si>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</si>
  <si>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</si>
  <si>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</si>
  <si>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</si>
  <si>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</si>
  <si>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</si>
  <si>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</si>
  <si>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</si>
  <si>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</si>
  <si>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</si>
  <si>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</si>
  <si>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</si>
  <si>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</si>
  <si>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</si>
  <si>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</si>
  <si>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</si>
  <si>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</si>
  <si>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</si>
  <si>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</si>
  <si>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</si>
  <si>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</si>
  <si>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</si>
  <si>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</si>
  <si>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</si>
  <si>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</si>
  <si>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</si>
  <si>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</si>
  <si>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</si>
  <si>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</si>
  <si>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</si>
  <si>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</si>
  <si>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</si>
  <si>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</si>
  <si>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</si>
  <si>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</si>
  <si>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</si>
  <si>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</si>
  <si>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</si>
  <si>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</si>
  <si>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</si>
  <si>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</si>
  <si>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</si>
  <si>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</si>
  <si>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</si>
  <si>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</si>
  <si>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</si>
  <si>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</si>
  <si>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</si>
  <si>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</si>
  <si>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</si>
  <si>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</si>
  <si>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</si>
  <si>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</si>
  <si>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</si>
  <si>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</si>
  <si>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</si>
  <si>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</si>
  <si>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</si>
  <si>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</si>
  <si>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</si>
  <si>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</si>
  <si>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</si>
  <si>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</si>
  <si>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</si>
  <si>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</si>
  <si>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</si>
  <si>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</si>
  <si>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</si>
  <si>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</si>
  <si>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</si>
  <si>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</si>
  <si>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</si>
  <si>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</si>
  <si>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</si>
  <si>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</si>
  <si>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</si>
  <si>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</si>
  <si>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</si>
  <si>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</si>
  <si>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</si>
  <si>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</si>
  <si>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</si>
  <si>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</si>
  <si>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</si>
  <si>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</si>
  <si>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</si>
  <si>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</si>
  <si>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</si>
  <si>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</si>
  <si>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</si>
  <si>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</si>
  <si>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</si>
  <si>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</si>
  <si>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</si>
  <si>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</si>
  <si>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</si>
  <si>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</si>
  <si>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</si>
  <si>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</si>
  <si>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</si>
  <si>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</si>
  <si>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</si>
  <si>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</si>
  <si>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</si>
  <si>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</si>
  <si>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</si>
  <si>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</si>
  <si>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</si>
  <si>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</si>
  <si>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</si>
  <si>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</si>
  <si>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</si>
  <si>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</si>
  <si>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</si>
  <si>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</si>
  <si>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</si>
  <si>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</si>
  <si>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</si>
  <si>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</si>
  <si>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</si>
  <si>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</si>
  <si>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</si>
  <si>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</si>
  <si>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</si>
  <si>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</si>
  <si>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</si>
  <si>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</si>
  <si>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</si>
  <si>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</si>
  <si>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</si>
  <si>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</si>
  <si>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</si>
  <si>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</si>
  <si>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</si>
  <si>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</si>
  <si>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</si>
  <si>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</si>
  <si>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</si>
  <si>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</si>
  <si>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</si>
  <si>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</si>
  <si>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</si>
  <si>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</si>
  <si>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</si>
  <si>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</si>
  <si>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</si>
  <si>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</si>
  <si>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</si>
  <si>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</si>
  <si>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</si>
  <si>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</si>
  <si>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</si>
  <si>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</si>
  <si>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</si>
  <si>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</si>
  <si>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</si>
  <si>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</si>
  <si>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</si>
  <si>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</si>
  <si>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</si>
  <si>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</si>
  <si>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</si>
  <si>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</si>
  <si>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</si>
  <si>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</si>
  <si>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</si>
  <si>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</si>
  <si>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</si>
  <si>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</si>
  <si>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</si>
  <si>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</si>
  <si>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</si>
  <si>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</si>
  <si>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</si>
  <si>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</si>
  <si>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</si>
  <si>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</si>
  <si>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</si>
  <si>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</si>
  <si>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</si>
  <si>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</si>
  <si>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</si>
  <si>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</si>
  <si>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</si>
  <si>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</si>
  <si>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</si>
  <si>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</si>
  <si>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</si>
  <si>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</si>
  <si>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</si>
  <si>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</si>
  <si>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</si>
  <si>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</si>
  <si>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</si>
  <si>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</si>
  <si>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</si>
  <si>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</si>
  <si>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</si>
  <si>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</si>
  <si>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</si>
  <si>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</si>
  <si>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</si>
  <si>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</si>
  <si>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</si>
  <si>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</si>
  <si>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</si>
  <si>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</si>
  <si>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</si>
  <si>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</si>
  <si>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</si>
  <si>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</si>
  <si>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</si>
  <si>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</si>
  <si>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</si>
  <si>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</si>
  <si>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</si>
  <si>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</si>
  <si>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</si>
  <si>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</si>
  <si>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</si>
  <si>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</si>
  <si>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</si>
  <si>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</si>
  <si>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</si>
  <si>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</si>
  <si>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</si>
  <si>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</si>
  <si>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</si>
  <si>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</si>
  <si>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</si>
  <si>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</si>
  <si>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</si>
  <si>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</si>
  <si>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</si>
  <si>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</si>
  <si>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</si>
  <si>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</si>
  <si>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</si>
  <si>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</si>
  <si>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</si>
  <si>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</si>
  <si>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</si>
  <si>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</si>
  <si>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</si>
  <si>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</si>
  <si>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</si>
  <si>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</si>
  <si>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</si>
  <si>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</si>
  <si>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</si>
  <si>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</si>
  <si>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</si>
  <si>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</si>
  <si>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</si>
  <si>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</si>
  <si>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</si>
  <si>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</si>
  <si>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</si>
  <si>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</si>
  <si>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</si>
  <si>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</si>
  <si>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</si>
  <si>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</si>
  <si>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</si>
  <si>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</si>
  <si>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</si>
  <si>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</si>
  <si>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</si>
  <si>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</si>
  <si>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</si>
  <si>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</si>
  <si>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</si>
  <si>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</si>
  <si>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</si>
  <si>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</si>
  <si>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</si>
  <si>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</si>
  <si>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</si>
  <si>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</si>
  <si>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</si>
  <si>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</si>
  <si>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</si>
  <si>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</si>
  <si>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</si>
  <si>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</si>
  <si>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</si>
  <si>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</si>
  <si>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</si>
  <si>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</si>
  <si>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</si>
  <si>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</si>
  <si>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</si>
  <si>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</si>
  <si>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</si>
  <si>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</si>
  <si>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</si>
  <si>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</si>
  <si>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</si>
  <si>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</si>
  <si>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</si>
  <si>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</si>
  <si>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</si>
  <si>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</si>
  <si>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</si>
  <si>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</si>
  <si>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</si>
  <si>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</si>
  <si>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</si>
  <si>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</si>
  <si>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</si>
  <si>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</si>
  <si>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</si>
  <si>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</si>
  <si>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</si>
  <si>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</si>
  <si>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</si>
  <si>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</si>
  <si>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</si>
  <si>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</si>
  <si>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</si>
  <si>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</si>
  <si>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</si>
  <si>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</si>
  <si>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</si>
  <si>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</si>
  <si>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</si>
  <si>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</si>
  <si>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</si>
  <si>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</si>
  <si>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</si>
  <si>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</si>
  <si>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</si>
  <si>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</si>
  <si>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</si>
  <si>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</si>
  <si>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</si>
  <si>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</si>
  <si>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</si>
  <si>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</si>
  <si>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</si>
  <si>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</si>
  <si>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</si>
  <si>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</si>
  <si>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</si>
  <si>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</si>
  <si>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</si>
  <si>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</si>
  <si>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</si>
  <si>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</si>
  <si>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</si>
  <si>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</si>
  <si>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</si>
  <si>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</si>
  <si>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</si>
  <si>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</si>
  <si>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</si>
  <si>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</si>
  <si>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</si>
  <si>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</si>
  <si>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</si>
  <si>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</si>
  <si>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</si>
  <si>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</si>
  <si>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</si>
  <si>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</si>
  <si>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</si>
  <si>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</si>
  <si>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</si>
  <si>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</si>
  <si>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</si>
  <si>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</si>
  <si>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</si>
  <si>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</si>
  <si>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</si>
  <si>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</si>
  <si>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</si>
  <si>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</si>
  <si>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</si>
  <si>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</si>
  <si>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</si>
  <si>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</si>
  <si>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</si>
  <si>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</si>
  <si>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</si>
  <si>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</si>
  <si>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</si>
  <si>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</si>
  <si>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</si>
  <si>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</si>
  <si>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</si>
  <si>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</si>
  <si>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</si>
  <si>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</si>
  <si>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</si>
  <si>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</si>
  <si>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</si>
  <si>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</si>
  <si>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</si>
  <si>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</si>
  <si>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</si>
  <si>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</si>
  <si>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</si>
  <si>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</si>
  <si>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</si>
  <si>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</si>
  <si>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</si>
  <si>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</si>
  <si>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</si>
  <si>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</si>
  <si>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</si>
  <si>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</si>
  <si>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</si>
  <si>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</si>
  <si>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</si>
  <si>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</si>
  <si>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</si>
  <si>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</si>
  <si>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</si>
  <si>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</si>
  <si>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</si>
  <si>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</si>
  <si>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</si>
  <si>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</si>
  <si>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</si>
  <si>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</si>
  <si>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</si>
  <si>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</si>
  <si>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</si>
  <si>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</si>
  <si>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</si>
  <si>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</si>
  <si>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</si>
  <si>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</si>
  <si>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</si>
  <si>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</si>
  <si>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</si>
  <si>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</si>
  <si>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</si>
  <si>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</si>
  <si>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</si>
  <si>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</si>
  <si>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</si>
  <si>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</si>
  <si>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</si>
  <si>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</si>
  <si>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</si>
  <si>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</si>
  <si>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</si>
  <si>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</si>
  <si>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</si>
  <si>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</si>
  <si>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</si>
  <si>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</si>
  <si>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</si>
  <si>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</si>
  <si>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</si>
  <si>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</si>
  <si>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</si>
  <si>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</si>
  <si>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</si>
  <si>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</si>
  <si>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</si>
  <si>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</si>
  <si>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</si>
  <si>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</si>
  <si>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</si>
  <si>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</si>
  <si>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</si>
  <si>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</si>
  <si>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</si>
  <si>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</si>
  <si>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</si>
  <si>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</si>
  <si>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</si>
  <si>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</si>
  <si>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</si>
  <si>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</si>
  <si>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</si>
  <si>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</si>
  <si>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</si>
  <si>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</si>
  <si>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</si>
  <si>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</si>
  <si>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</si>
  <si>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</si>
  <si>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</si>
  <si>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</si>
  <si>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</si>
  <si>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</si>
  <si>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</si>
  <si>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</si>
  <si>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</si>
  <si>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</si>
  <si>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</si>
  <si>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</si>
  <si>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</si>
  <si>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</si>
  <si>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</si>
  <si>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</si>
  <si>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</si>
  <si>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</si>
  <si>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</si>
  <si>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</si>
  <si>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</si>
  <si>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</si>
  <si>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</si>
  <si>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</si>
  <si>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</si>
  <si>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</si>
  <si>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</si>
  <si>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</si>
  <si>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</si>
  <si>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</si>
  <si>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</si>
  <si>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</si>
  <si>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</si>
  <si>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</si>
  <si>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</si>
  <si>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</si>
  <si>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</si>
  <si>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</si>
  <si>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</si>
  <si>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</si>
  <si>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</si>
  <si>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</si>
  <si>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</si>
  <si>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</si>
  <si>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</si>
  <si>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</si>
  <si>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</si>
  <si>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</si>
  <si>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</si>
  <si>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</si>
  <si>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</si>
  <si>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</si>
  <si>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</si>
  <si>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</si>
  <si>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</si>
  <si>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</si>
  <si>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</si>
  <si>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</si>
  <si>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</si>
  <si>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</si>
  <si>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</si>
  <si>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</si>
  <si>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</si>
  <si>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</si>
  <si>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</si>
  <si>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</si>
  <si>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</si>
  <si>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</si>
  <si>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</si>
  <si>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</si>
  <si>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</si>
  <si>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</si>
  <si>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</si>
  <si>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</si>
  <si>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</si>
  <si>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</si>
  <si>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</si>
  <si>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</si>
  <si>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</si>
  <si>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</si>
  <si>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</si>
  <si>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</si>
  <si>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</si>
  <si>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</si>
  <si>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</si>
  <si>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</si>
  <si>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</si>
  <si>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</si>
  <si>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</si>
  <si>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</si>
  <si>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</si>
  <si>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</si>
  <si>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</si>
  <si>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</si>
  <si>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</si>
  <si>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</si>
  <si>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</si>
  <si>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</si>
  <si>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</si>
  <si>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</si>
  <si>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</si>
  <si>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</si>
  <si>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</si>
  <si>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</si>
  <si>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</si>
  <si>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</si>
  <si>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</si>
  <si>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</si>
  <si>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</si>
  <si>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</si>
  <si>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</si>
  <si>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</si>
  <si>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</si>
  <si>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</si>
  <si>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</si>
  <si>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</si>
  <si>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</si>
  <si>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</si>
  <si>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</si>
  <si>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</si>
  <si>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</si>
  <si>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</si>
  <si>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</si>
  <si>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</si>
  <si>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</si>
  <si>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</si>
  <si>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</si>
  <si>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</si>
  <si>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</si>
  <si>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</si>
  <si>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</si>
  <si>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</si>
  <si>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</si>
  <si>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</si>
  <si>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</si>
  <si>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</si>
  <si>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</si>
  <si>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</si>
  <si>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</si>
  <si>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</si>
  <si>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</si>
  <si>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</si>
  <si>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</si>
  <si>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</si>
  <si>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</si>
  <si>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</si>
  <si>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</si>
  <si>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</si>
  <si>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</si>
  <si>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</si>
  <si>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</si>
  <si>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</si>
  <si>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</si>
  <si>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</si>
  <si>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</si>
  <si>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</si>
  <si>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</si>
  <si>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</si>
  <si>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</si>
  <si>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</si>
  <si>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</si>
  <si>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</si>
  <si>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</si>
  <si>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</si>
  <si>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</si>
  <si>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</si>
  <si>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</si>
  <si>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</si>
  <si>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</si>
  <si>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</si>
  <si>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</si>
  <si>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</si>
  <si>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</si>
  <si>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</si>
  <si>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</si>
  <si>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</si>
  <si>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</si>
  <si>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</si>
  <si>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</si>
  <si>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</si>
  <si>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</si>
  <si>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</si>
  <si>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</si>
  <si>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</si>
  <si>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</si>
  <si>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</si>
  <si>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</si>
  <si>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</si>
  <si>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</si>
  <si>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</si>
  <si>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</si>
  <si>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</si>
  <si>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</si>
  <si>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</si>
  <si>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</si>
  <si>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</si>
  <si>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</si>
  <si>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</si>
  <si>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</si>
  <si>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</si>
  <si>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</si>
  <si>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</si>
  <si>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</si>
  <si>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</si>
  <si>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</si>
  <si>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</si>
  <si>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</si>
  <si>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</si>
  <si>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</si>
  <si>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</si>
  <si>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</si>
  <si>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</si>
  <si>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</si>
  <si>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</si>
  <si>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</si>
  <si>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</si>
  <si>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</si>
  <si>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</si>
  <si>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</si>
  <si>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</si>
  <si>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</si>
  <si>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</si>
  <si>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</si>
  <si>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</si>
  <si>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</si>
  <si>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</si>
  <si>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</si>
  <si>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</si>
  <si>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</si>
  <si>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</si>
  <si>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</si>
  <si>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</si>
  <si>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</si>
  <si>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</si>
  <si>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</si>
  <si>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</si>
  <si>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</si>
  <si>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</si>
  <si>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</si>
  <si>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</si>
  <si>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</si>
  <si>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</si>
  <si>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</si>
  <si>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</si>
  <si>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</si>
  <si>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</si>
  <si>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</si>
  <si>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</si>
  <si>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</si>
  <si>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</si>
  <si>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</si>
  <si>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</si>
  <si>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</si>
  <si>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</si>
  <si>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</si>
  <si>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</si>
  <si>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</si>
  <si>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</si>
  <si>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</si>
  <si>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</si>
  <si>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</si>
  <si>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</si>
  <si>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</si>
  <si>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</si>
  <si>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</si>
  <si>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</si>
  <si>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</si>
  <si>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</si>
  <si>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</si>
  <si>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</si>
  <si>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</si>
  <si>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</si>
  <si>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</si>
  <si>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</si>
  <si>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</si>
  <si>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</si>
  <si>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</si>
  <si>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</si>
  <si>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</si>
  <si>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</si>
  <si>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</si>
  <si>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</si>
  <si>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</si>
  <si>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</si>
  <si>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</si>
  <si>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</si>
  <si>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</si>
  <si>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</si>
  <si>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</si>
  <si>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</si>
  <si>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</si>
  <si>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</si>
  <si>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</si>
  <si>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</si>
  <si>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</si>
  <si>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</si>
  <si>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</si>
  <si>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</si>
  <si>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</si>
  <si>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</si>
  <si>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</si>
  <si>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</si>
  <si>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</si>
  <si>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</si>
  <si>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</si>
  <si>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</si>
  <si>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</si>
  <si>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</si>
  <si>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</si>
  <si>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</si>
  <si>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</si>
  <si>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</si>
  <si>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</si>
  <si>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</si>
  <si>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</si>
  <si>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</si>
  <si>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</si>
  <si>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</si>
  <si>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</si>
  <si>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</si>
  <si>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</si>
  <si>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</si>
  <si>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</si>
  <si>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</si>
  <si>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</si>
  <si>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</si>
  <si>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</si>
  <si>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</si>
  <si>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</si>
  <si>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</si>
  <si>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</si>
  <si>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</si>
  <si>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</si>
  <si>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</si>
  <si>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</si>
  <si>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</si>
  <si>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</si>
  <si>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</si>
  <si>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</si>
  <si>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</si>
  <si>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</si>
  <si>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</si>
  <si>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</si>
  <si>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</si>
  <si>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</si>
  <si>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</si>
  <si>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</si>
  <si>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</si>
  <si>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</si>
  <si>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</si>
  <si>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</si>
  <si>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</si>
  <si>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</si>
  <si>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</si>
  <si>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</si>
  <si>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</si>
  <si>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</si>
  <si>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</si>
  <si>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</si>
  <si>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</si>
  <si>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</si>
  <si>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</si>
  <si>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</si>
  <si>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</si>
  <si>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</si>
  <si>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</si>
  <si>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</si>
  <si>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</si>
  <si>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</si>
  <si>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</si>
  <si>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</si>
  <si>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</si>
  <si>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</si>
  <si>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</si>
  <si>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</si>
  <si>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</si>
  <si>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</si>
  <si>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</si>
  <si>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</si>
  <si>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</si>
  <si>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</si>
  <si>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</si>
  <si>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</si>
  <si>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</si>
  <si>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</si>
  <si>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</si>
  <si>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</si>
  <si>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</si>
  <si>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</si>
  <si>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</si>
  <si>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</si>
  <si>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</si>
  <si>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</si>
  <si>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</si>
  <si>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</si>
  <si>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</si>
  <si>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</si>
  <si>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</si>
  <si>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</si>
  <si>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</si>
  <si>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</si>
  <si>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</si>
  <si>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</si>
  <si>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</si>
  <si>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</si>
  <si>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</si>
  <si>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</si>
  <si>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</si>
  <si>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</si>
  <si>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</si>
  <si>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</si>
  <si>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</si>
  <si>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</si>
  <si>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</si>
  <si>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</si>
  <si>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</si>
  <si>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</si>
  <si>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</si>
  <si>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</si>
  <si>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</si>
  <si>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</si>
  <si>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</si>
  <si>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</si>
  <si>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</si>
  <si>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</si>
  <si>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</si>
  <si>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</si>
  <si>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</si>
  <si>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</si>
  <si>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</si>
  <si>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</si>
  <si>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</si>
  <si>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</si>
  <si>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</si>
  <si>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</si>
  <si>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</si>
  <si>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</si>
  <si>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</si>
  <si>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</si>
  <si>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</si>
  <si>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</si>
  <si>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</si>
  <si>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</si>
  <si>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</si>
  <si>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</si>
  <si>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</si>
  <si>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</si>
  <si>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</si>
  <si>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</si>
  <si>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</si>
  <si>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</si>
  <si>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</si>
  <si>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</si>
  <si>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</si>
  <si>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</si>
  <si>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</si>
  <si>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</si>
  <si>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</si>
  <si>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</si>
  <si>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</si>
  <si>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</si>
  <si>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</si>
  <si>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</si>
  <si>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</si>
  <si>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</si>
  <si>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</si>
  <si>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</si>
  <si>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</si>
  <si>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</si>
  <si>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</si>
  <si>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</si>
  <si>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</si>
  <si>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</si>
  <si>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</si>
  <si>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</si>
  <si>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</si>
  <si>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</si>
  <si>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</si>
  <si>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</si>
  <si>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</si>
  <si>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</si>
  <si>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</si>
  <si>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</si>
  <si>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</si>
  <si>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</si>
  <si>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</si>
  <si>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</si>
  <si>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</si>
  <si>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</si>
  <si>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</si>
  <si>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</si>
  <si>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</si>
  <si>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</si>
  <si>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</si>
  <si>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</si>
  <si>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</si>
  <si>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</si>
  <si>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</si>
  <si>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</si>
  <si>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</si>
  <si>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</si>
  <si>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</si>
  <si>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</si>
  <si>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</si>
  <si>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</si>
  <si>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</si>
  <si>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</si>
  <si>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</si>
  <si>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</si>
  <si>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</si>
  <si>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</si>
  <si>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</si>
  <si>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</si>
  <si>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</si>
  <si>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</si>
  <si>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</si>
  <si>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</si>
  <si>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</si>
  <si>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</si>
  <si>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</si>
  <si>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</si>
  <si>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</si>
  <si>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</si>
  <si>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</si>
  <si>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</si>
  <si>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</si>
  <si>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</si>
  <si>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</si>
  <si>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</si>
  <si>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</si>
  <si>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</si>
  <si>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</si>
  <si>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</si>
  <si>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</si>
  <si>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</si>
  <si>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</si>
  <si>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</si>
  <si>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</si>
  <si>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</si>
  <si>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</si>
  <si>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</si>
  <si>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</si>
  <si>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</si>
  <si>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</si>
  <si>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</si>
  <si>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</si>
  <si>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</si>
  <si>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</si>
  <si>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</si>
  <si>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</si>
  <si>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</si>
  <si>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</si>
  <si>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</si>
  <si>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</si>
  <si>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</si>
  <si>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</si>
  <si>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</si>
  <si>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</si>
  <si>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</si>
  <si>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</si>
  <si>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</si>
  <si>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</si>
  <si>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</si>
  <si>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</si>
  <si>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</si>
  <si>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</si>
  <si>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</si>
  <si>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</si>
  <si>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</si>
  <si>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</si>
  <si>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</si>
  <si>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</si>
  <si>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</si>
  <si>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</si>
  <si>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</si>
  <si>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</si>
  <si>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</si>
  <si>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</si>
  <si>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</si>
  <si>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</si>
  <si>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</si>
  <si>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</si>
  <si>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</si>
  <si>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</si>
  <si>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</si>
  <si>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</si>
  <si>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</si>
  <si>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</si>
  <si>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</si>
  <si>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</si>
  <si>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</si>
  <si>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</si>
  <si>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</si>
  <si>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</si>
  <si>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</si>
  <si>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</si>
  <si>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</si>
  <si>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</si>
  <si>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</si>
  <si>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</si>
  <si>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</si>
  <si>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</si>
  <si>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</si>
  <si>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</si>
  <si>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</si>
  <si>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</si>
  <si>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</si>
  <si>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</si>
  <si>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</si>
  <si>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</si>
  <si>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</si>
  <si>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</si>
  <si>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</si>
  <si>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</si>
  <si>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</si>
  <si>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</si>
  <si>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</si>
  <si>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</si>
  <si>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</si>
  <si>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</si>
  <si>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</si>
  <si>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</si>
  <si>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</si>
  <si>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</si>
  <si>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</si>
  <si>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</si>
  <si>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</si>
  <si>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</si>
  <si>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</si>
  <si>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</si>
  <si>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</si>
  <si>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</si>
  <si>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</si>
  <si>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</si>
  <si>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</si>
  <si>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</si>
  <si>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</si>
  <si>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</si>
  <si>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</si>
  <si>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</si>
  <si>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</si>
  <si>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</si>
  <si>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</si>
  <si>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</si>
  <si>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</si>
  <si>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</si>
  <si>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</si>
  <si>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</si>
  <si>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</si>
  <si>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</si>
  <si>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</si>
  <si>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</si>
  <si>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</si>
  <si>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</si>
  <si>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</si>
  <si>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</si>
  <si>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</si>
  <si>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</si>
  <si>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</si>
  <si>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</si>
  <si>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</si>
  <si>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</si>
  <si>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</si>
  <si>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</si>
  <si>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</si>
  <si>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</si>
  <si>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</si>
  <si>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</si>
  <si>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</si>
  <si>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</si>
  <si>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</si>
  <si>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</si>
  <si>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</si>
  <si>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</si>
  <si>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</si>
  <si>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</si>
  <si>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</si>
  <si>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</si>
  <si>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</si>
  <si>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</si>
  <si>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</si>
  <si>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</si>
  <si>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</si>
  <si>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</si>
  <si>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</si>
  <si>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</si>
  <si>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</si>
  <si>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</si>
  <si>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</si>
  <si>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</si>
  <si>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</si>
  <si>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</si>
  <si>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</si>
  <si>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</si>
  <si>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</si>
  <si>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</si>
  <si>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</si>
  <si>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</si>
  <si>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</si>
  <si>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</si>
  <si>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</si>
  <si>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</si>
  <si>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</si>
  <si>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</si>
  <si>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</si>
  <si>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</si>
  <si>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</si>
  <si>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</si>
  <si>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</si>
  <si>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</si>
  <si>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</si>
  <si>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</si>
  <si>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</si>
  <si>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</si>
  <si>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</si>
  <si>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</si>
  <si>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</si>
  <si>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</si>
  <si>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</si>
  <si>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</si>
  <si>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</si>
  <si>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</si>
  <si>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</si>
  <si>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</si>
  <si>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</si>
  <si>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</si>
  <si>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</si>
  <si>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</si>
  <si>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</si>
  <si>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</si>
  <si>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</si>
  <si>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</si>
  <si>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</si>
  <si>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</si>
  <si>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</si>
  <si>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</si>
  <si>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</si>
  <si>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</si>
  <si>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</si>
  <si>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</si>
  <si>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</si>
  <si>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</si>
  <si>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</si>
  <si>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</si>
  <si>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</si>
  <si>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</si>
  <si>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</si>
  <si>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</si>
  <si>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</si>
  <si>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</si>
  <si>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</si>
  <si>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</si>
  <si>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</si>
  <si>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</si>
  <si>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</si>
  <si>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</si>
  <si>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</si>
  <si>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</si>
  <si>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</si>
  <si>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</si>
  <si>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</si>
  <si>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</si>
  <si>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</si>
  <si>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</si>
  <si>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</si>
  <si>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</si>
  <si>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</si>
  <si>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</si>
  <si>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</si>
  <si>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</si>
  <si>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</si>
  <si>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</si>
  <si>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</si>
  <si>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</si>
  <si>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</si>
  <si>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</si>
  <si>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</si>
  <si>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</si>
  <si>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</si>
  <si>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</si>
  <si>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</si>
  <si>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</si>
  <si>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</si>
  <si>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</si>
  <si>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</si>
  <si>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</si>
  <si>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</si>
  <si>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</si>
  <si>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</si>
  <si>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</si>
  <si>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</si>
  <si>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</si>
  <si>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</si>
  <si>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</si>
  <si>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</si>
  <si>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</si>
  <si>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</si>
  <si>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</si>
  <si>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</si>
  <si>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</si>
  <si>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</si>
  <si>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</si>
  <si>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</si>
  <si>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</si>
  <si>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</si>
  <si>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</si>
  <si>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</si>
  <si>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</si>
  <si>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</si>
  <si>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</si>
  <si>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</si>
  <si>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</si>
  <si>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</si>
  <si>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</si>
  <si>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</si>
  <si>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</si>
  <si>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</si>
  <si>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</si>
  <si>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</si>
  <si>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</si>
  <si>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</si>
  <si>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</si>
  <si>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</si>
  <si>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</si>
  <si>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</si>
  <si>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</si>
  <si>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2025-11-26</t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</si>
  <si>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</si>
  <si>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</si>
  <si>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</si>
  <si>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</si>
  <si>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</si>
  <si>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</si>
  <si>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대구광역시 달서구 장기로65번길 7</t>
    <phoneticPr fontId="2" type="noConversion"/>
  </si>
  <si>
    <t>010-3542-4069</t>
    <phoneticPr fontId="2" type="noConversion"/>
  </si>
  <si>
    <t>대구오토(대구)_251126_171915.xlsx</t>
  </si>
  <si>
    <t>대구오토(대구)_251126_171915.xlsx</t>
    <phoneticPr fontId="2" type="noConversion"/>
  </si>
  <si>
    <t>DNN</t>
  </si>
  <si>
    <t>강동수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</si>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</sst>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5100000</c:v>
                </c:pt>
                <c:pt idx="1">
                  <c:v>2494000</c:v>
                </c:pt>
                <c:pt idx="2">
                  <c:v>1050000</c:v>
                </c:pt>
                <c:pt idx="3">
                  <c:v>6100000</c:v>
                </c:pt>
                <c:pt idx="4">
                  <c:v>3498000</c:v>
                </c:pt>
                <c:pt idx="5">
                  <c:v>1100000</c:v>
                </c:pt>
                <c:pt idx="6">
                  <c:v>1540000</c:v>
                </c:pt>
                <c:pt idx="7">
                  <c:v>2850000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19</c:v>
                      </c:pt>
                      <c:pt idx="2">
                        <c:v>41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40</c:v>
                      </c:pt>
                      <c:pt idx="6">
                        <c:v>29</c:v>
                      </c:pt>
                      <c:pt idx="7">
                        <c:v>14</c:v>
                      </c:pt>
                      <c:pt idx="8">
                        <c:v>25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4467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45987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1281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4472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4473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1252</v>
      </c>
      <c r="B8" s="426"/>
      <c r="C8" s="426"/>
      <c r="D8" s="426"/>
      <c r="E8" s="427"/>
      <c r="F8" s="428" t="s">
        <v>1251</v>
      </c>
      <c r="G8" s="429"/>
      <c r="H8" s="429"/>
      <c r="I8" s="430"/>
      <c r="J8" s="436">
        <v>750000</v>
      </c>
      <c r="K8" s="436"/>
      <c r="L8" s="436"/>
      <c r="M8" s="436"/>
      <c r="N8" s="436"/>
      <c r="O8" s="437">
        <v>1</v>
      </c>
      <c r="P8" s="437"/>
      <c r="Q8" s="431">
        <v>75000</v>
      </c>
      <c r="R8" s="432"/>
      <c r="S8" s="433"/>
      <c r="T8" s="434">
        <v>825000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14658000.199999999</v>
      </c>
      <c r="G20" s="320"/>
      <c r="H20" s="320"/>
      <c r="I20" s="321"/>
      <c r="J20" s="357">
        <f>SUM(J8:N19)</f>
        <v>750000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75000</v>
      </c>
      <c r="R20" s="320"/>
      <c r="S20" s="321"/>
      <c r="T20" s="320">
        <f>SUM(T8:U15)</f>
        <v>825000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15483000.199999999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대구오토(대구)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4475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농협 3520106511413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45987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대구오토(대구)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대구광역시 달서구 장기로65번길 7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010-3542-4069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ISM</v>
      </c>
      <c r="B31" s="375"/>
      <c r="C31" s="375"/>
      <c r="D31" s="375"/>
      <c r="E31" s="375"/>
      <c r="F31" s="375" t="str">
        <f>F8</f>
        <v>A0002701852</v>
      </c>
      <c r="G31" s="375"/>
      <c r="H31" s="375"/>
      <c r="I31" s="375"/>
      <c r="J31" s="379">
        <f>J8</f>
        <v>750000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75000</v>
      </c>
      <c r="R31" s="376"/>
      <c r="S31" s="376"/>
      <c r="T31" s="377">
        <f>T8</f>
        <v>825000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14658000.199999999</v>
      </c>
      <c r="G43" s="320"/>
      <c r="H43" s="320"/>
      <c r="I43" s="321"/>
      <c r="J43" s="357">
        <f>J20</f>
        <v>750000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75000</v>
      </c>
      <c r="R43" s="320"/>
      <c r="S43" s="320"/>
      <c r="T43" s="320">
        <f>T20</f>
        <v>825000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15483000.199999999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대구오토(대구)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750000</v>
      </c>
      <c r="H1" s="107">
        <f>SUM(H2:H2)</f>
        <v>1</v>
      </c>
      <c r="I1" s="107">
        <f>SUM(I2:I2)</f>
        <v>75000</v>
      </c>
      <c r="J1" s="107">
        <f>SUM(J2:J2)</f>
        <v>825000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4465</v>
      </c>
      <c r="C2" s="47" t="s">
        <v>1574</v>
      </c>
      <c r="D2" s="290" t="s">
        <v>2869</v>
      </c>
      <c r="E2" t="s">
        <v>2377</v>
      </c>
      <c r="F2" s="290" t="s">
        <v>2869</v>
      </c>
      <c r="G2">
        <v>750000</v>
      </c>
      <c r="H2">
        <v>1</v>
      </c>
      <c r="I2" s="226">
        <v>75000</v>
      </c>
      <c r="J2" s="226">
        <v>825000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76"/>
  <sheetViews>
    <sheetView workbookViewId="0">
      <pane xSplit="1" ySplit="1" topLeftCell="B2340" activePane="bottomRight" state="frozen"/>
      <selection activeCell="N26" sqref="N26"/>
      <selection pane="topRight" activeCell="N26" sqref="N26"/>
      <selection pane="bottomLeft" activeCell="N26" sqref="N26"/>
      <selection pane="bottomRight" activeCell="J2349" sqref="J2349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2377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4320</v>
      </c>
      <c r="E2165" s="292" t="s">
        <v>4321</v>
      </c>
      <c r="F2165" s="269" t="s">
        <v>4322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4385</v>
      </c>
      <c r="E2245" s="292" t="s">
        <v>4386</v>
      </c>
      <c r="F2245" s="269" t="s">
        <v>4387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4385</v>
      </c>
      <c r="E2246" s="292" t="s">
        <v>4388</v>
      </c>
      <c r="F2246" s="269" t="s">
        <v>4389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4319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4323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4324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4325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4328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4332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4334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4340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4341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4342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4343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4371</v>
      </c>
      <c r="E2279" s="292" t="s">
        <v>4372</v>
      </c>
      <c r="F2279" s="269" t="s">
        <v>4373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4348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4353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4355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4362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4367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4367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4367</v>
      </c>
      <c r="E2311" s="292" t="s">
        <v>4383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4459</v>
      </c>
      <c r="E2313" s="292" t="s">
        <v>4460</v>
      </c>
      <c r="F2313" s="269" t="s">
        <v>4461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4340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4362</v>
      </c>
      <c r="E2334" s="292" t="s">
        <v>4418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4429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4430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4432</v>
      </c>
    </row>
    <row r="2343" spans="1:13" x14ac:dyDescent="0.3">
      <c r="A2343" s="58">
        <v>2343</v>
      </c>
      <c r="B2343" s="264">
        <v>45985</v>
      </c>
      <c r="C2343" s="292" t="s">
        <v>4459</v>
      </c>
      <c r="E2343" s="292" t="s">
        <v>4462</v>
      </c>
      <c r="F2343" s="269" t="s">
        <v>4463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4464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4436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4438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4440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4277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4300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4443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4445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4282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4317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4452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4458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4452</v>
      </c>
      <c r="E2365" s="292" t="s">
        <v>4457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4476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4477</v>
      </c>
      <c r="L2376" s="265">
        <v>-770000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4396</v>
      </c>
    </row>
    <row r="4" spans="1:1" x14ac:dyDescent="0.3">
      <c r="A4" s="306" t="s">
        <v>4398</v>
      </c>
    </row>
    <row r="5" spans="1:1" x14ac:dyDescent="0.3">
      <c r="A5" s="306" t="s">
        <v>4399</v>
      </c>
    </row>
    <row r="6" spans="1:1" x14ac:dyDescent="0.3">
      <c r="A6" s="306" t="s">
        <v>4400</v>
      </c>
    </row>
    <row r="7" spans="1:1" x14ac:dyDescent="0.3">
      <c r="A7" s="306" t="s">
        <v>4401</v>
      </c>
    </row>
    <row r="8" spans="1:1" x14ac:dyDescent="0.3">
      <c r="A8" s="306" t="s">
        <v>4402</v>
      </c>
    </row>
    <row r="9" spans="1:1" x14ac:dyDescent="0.3">
      <c r="A9" s="306" t="s">
        <v>4403</v>
      </c>
    </row>
    <row r="10" spans="1:1" x14ac:dyDescent="0.3">
      <c r="A10" s="306" t="s">
        <v>4404</v>
      </c>
    </row>
    <row r="11" spans="1:1" x14ac:dyDescent="0.3">
      <c r="A11" s="306" t="s">
        <v>4405</v>
      </c>
    </row>
    <row r="12" spans="1:1" x14ac:dyDescent="0.3">
      <c r="A12" s="306" t="s">
        <v>4406</v>
      </c>
    </row>
    <row r="13" spans="1:1" x14ac:dyDescent="0.3">
      <c r="A13" s="306" t="s">
        <v>4407</v>
      </c>
    </row>
    <row r="14" spans="1:1" x14ac:dyDescent="0.3">
      <c r="A14" s="306" t="s">
        <v>4397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4" sqref="E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45987</v>
      </c>
      <c r="B3" s="235" t="s">
        <v>1126</v>
      </c>
      <c r="C3" s="286">
        <f>SUMIF($B:$B,A3,I:I)</f>
        <v>6308000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6038002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128089001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4319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4323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4324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4325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4340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4341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4342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4343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4348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4355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4362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4374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4367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4367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4367</v>
      </c>
      <c r="D184" s="113" t="s">
        <v>4383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H186" s="126">
        <v>130000</v>
      </c>
      <c r="I186" s="80">
        <v>1430000</v>
      </c>
    </row>
    <row r="187" spans="1:10" ht="18" customHeight="1" x14ac:dyDescent="0.3">
      <c r="A187" s="82">
        <v>2314</v>
      </c>
      <c r="B187" s="93">
        <v>45981</v>
      </c>
      <c r="C187" s="83" t="s">
        <v>4303</v>
      </c>
      <c r="D187" s="113" t="s">
        <v>4390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4391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4392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4413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4299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4340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4362</v>
      </c>
      <c r="D207" s="113" t="s">
        <v>4418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1488</v>
      </c>
      <c r="D208" s="113" t="s">
        <v>4136</v>
      </c>
      <c r="J208" s="80">
        <v>-150000</v>
      </c>
    </row>
    <row r="209" spans="1:10" ht="18" customHeight="1" x14ac:dyDescent="0.3">
      <c r="A209" s="82">
        <v>2336</v>
      </c>
      <c r="B209" s="93">
        <v>45981</v>
      </c>
      <c r="C209" s="83" t="s">
        <v>1841</v>
      </c>
      <c r="D209" s="113" t="s">
        <v>1125</v>
      </c>
      <c r="J209" s="80">
        <v>-200000</v>
      </c>
    </row>
    <row r="210" spans="1:10" ht="18" customHeight="1" x14ac:dyDescent="0.3">
      <c r="A210" s="82">
        <v>2337</v>
      </c>
      <c r="B210" s="93">
        <v>45983</v>
      </c>
      <c r="C210" s="83" t="s">
        <v>1574</v>
      </c>
      <c r="D210" s="113" t="s">
        <v>3953</v>
      </c>
      <c r="J210" s="80">
        <v>-2200000</v>
      </c>
    </row>
    <row r="211" spans="1:10" ht="18" customHeight="1" x14ac:dyDescent="0.3">
      <c r="A211" s="82">
        <v>2338</v>
      </c>
      <c r="B211" s="93">
        <v>45983</v>
      </c>
      <c r="C211" s="83" t="s">
        <v>1864</v>
      </c>
      <c r="D211" s="113" t="s">
        <v>1737</v>
      </c>
      <c r="F211" s="120">
        <v>650000</v>
      </c>
      <c r="G211" s="85">
        <v>1</v>
      </c>
      <c r="H211" s="126">
        <v>65000</v>
      </c>
      <c r="I211" s="80">
        <v>715000</v>
      </c>
    </row>
    <row r="212" spans="1:10" ht="18" customHeight="1" x14ac:dyDescent="0.3">
      <c r="A212" s="82">
        <v>2339</v>
      </c>
      <c r="B212" s="93">
        <v>45985</v>
      </c>
      <c r="C212" s="83" t="s">
        <v>3535</v>
      </c>
      <c r="D212" s="113" t="s">
        <v>3457</v>
      </c>
      <c r="F212" s="120">
        <v>535455</v>
      </c>
      <c r="G212" s="85">
        <v>1</v>
      </c>
      <c r="H212" s="126">
        <v>53546</v>
      </c>
      <c r="I212" s="80">
        <v>589001</v>
      </c>
    </row>
    <row r="213" spans="1:10" ht="18" customHeight="1" x14ac:dyDescent="0.3">
      <c r="A213" s="82">
        <v>2340</v>
      </c>
      <c r="B213" s="93">
        <v>45985</v>
      </c>
      <c r="C213" s="83" t="s">
        <v>1393</v>
      </c>
      <c r="D213" s="113" t="s">
        <v>2826</v>
      </c>
      <c r="F213" s="120">
        <v>550000</v>
      </c>
      <c r="G213" s="85">
        <v>2</v>
      </c>
      <c r="I213" s="80">
        <v>1100000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2283</v>
      </c>
      <c r="F214" s="120">
        <v>1700000</v>
      </c>
      <c r="G214" s="85">
        <v>1</v>
      </c>
      <c r="I214" s="80">
        <v>1700000</v>
      </c>
    </row>
    <row r="215" spans="1:10" ht="18" customHeight="1" x14ac:dyDescent="0.3">
      <c r="A215" s="82">
        <v>2342</v>
      </c>
      <c r="B215" s="93">
        <v>45985</v>
      </c>
      <c r="C215" s="83" t="s">
        <v>978</v>
      </c>
      <c r="D215" s="113" t="s">
        <v>1490</v>
      </c>
      <c r="F215" s="120">
        <v>350000</v>
      </c>
      <c r="G215" s="85">
        <v>1</v>
      </c>
      <c r="H215" s="126">
        <v>35000</v>
      </c>
      <c r="I215" s="80">
        <v>385000</v>
      </c>
    </row>
    <row r="216" spans="1:10" ht="18" customHeight="1" x14ac:dyDescent="0.3">
      <c r="A216" s="82">
        <v>2343</v>
      </c>
      <c r="B216" s="93">
        <v>45985</v>
      </c>
      <c r="C216" s="83" t="s">
        <v>2312</v>
      </c>
      <c r="D216" s="113" t="s">
        <v>3587</v>
      </c>
      <c r="F216" s="120">
        <v>350000</v>
      </c>
      <c r="G216" s="85">
        <v>1</v>
      </c>
      <c r="H216" s="126">
        <v>35000</v>
      </c>
      <c r="I216" s="80">
        <v>385000</v>
      </c>
    </row>
    <row r="217" spans="1:10" ht="18" customHeight="1" x14ac:dyDescent="0.3">
      <c r="A217" s="82">
        <v>2344</v>
      </c>
      <c r="B217" s="93">
        <v>45985</v>
      </c>
      <c r="C217" s="83" t="s">
        <v>1147</v>
      </c>
      <c r="D217" s="113" t="s">
        <v>1201</v>
      </c>
      <c r="F217" s="120">
        <v>1200000</v>
      </c>
      <c r="G217" s="85">
        <v>1</v>
      </c>
      <c r="I217" s="80">
        <v>1200000</v>
      </c>
    </row>
    <row r="218" spans="1:10" ht="18" customHeight="1" x14ac:dyDescent="0.3">
      <c r="A218" s="82">
        <v>2345</v>
      </c>
      <c r="B218" s="93">
        <v>45985</v>
      </c>
      <c r="C218" s="83" t="s">
        <v>1443</v>
      </c>
      <c r="D218" s="113" t="s">
        <v>1201</v>
      </c>
      <c r="F218" s="120">
        <v>1200000</v>
      </c>
      <c r="G218" s="85">
        <v>1</v>
      </c>
      <c r="H218" s="126">
        <v>120000</v>
      </c>
      <c r="I218" s="80">
        <v>1320000</v>
      </c>
    </row>
    <row r="219" spans="1:10" ht="18" customHeight="1" x14ac:dyDescent="0.3">
      <c r="A219" s="82">
        <v>2346</v>
      </c>
      <c r="B219" s="93">
        <v>45985</v>
      </c>
      <c r="C219" s="83" t="s">
        <v>1580</v>
      </c>
      <c r="D219" s="113" t="s">
        <v>2187</v>
      </c>
      <c r="F219" s="120">
        <v>700000</v>
      </c>
      <c r="G219" s="85">
        <v>1</v>
      </c>
      <c r="H219" s="126">
        <v>70000</v>
      </c>
      <c r="I219" s="80">
        <v>770000</v>
      </c>
    </row>
    <row r="220" spans="1:10" ht="18" customHeight="1" x14ac:dyDescent="0.3">
      <c r="A220" s="82">
        <v>2347</v>
      </c>
      <c r="B220" s="93">
        <v>45985</v>
      </c>
      <c r="C220" s="83" t="s">
        <v>1438</v>
      </c>
      <c r="D220" s="113" t="s">
        <v>1499</v>
      </c>
      <c r="F220" s="120">
        <v>1200000</v>
      </c>
      <c r="G220" s="85">
        <v>1</v>
      </c>
      <c r="I220" s="80">
        <v>1200000</v>
      </c>
    </row>
    <row r="221" spans="1:10" ht="18" customHeight="1" x14ac:dyDescent="0.3">
      <c r="A221" s="82">
        <v>2348</v>
      </c>
      <c r="B221" s="93">
        <v>45985</v>
      </c>
      <c r="C221" s="83" t="s">
        <v>3282</v>
      </c>
      <c r="D221" s="113" t="s">
        <v>1856</v>
      </c>
      <c r="F221" s="120">
        <v>3500000</v>
      </c>
      <c r="G221" s="85">
        <v>1</v>
      </c>
      <c r="H221" s="126">
        <v>350000</v>
      </c>
      <c r="I221" s="80">
        <v>3850000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1758</v>
      </c>
      <c r="F222" s="120">
        <v>25000</v>
      </c>
      <c r="G222" s="85">
        <v>1</v>
      </c>
      <c r="H222" s="126">
        <v>2500</v>
      </c>
      <c r="I222" s="80">
        <v>27500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65000</v>
      </c>
      <c r="G223" s="85">
        <v>1</v>
      </c>
      <c r="H223" s="126">
        <v>6500</v>
      </c>
      <c r="I223" s="80">
        <v>71500</v>
      </c>
    </row>
    <row r="224" spans="1:10" ht="18" customHeight="1" x14ac:dyDescent="0.3">
      <c r="A224" s="82">
        <v>2351</v>
      </c>
      <c r="B224" s="93">
        <v>45983</v>
      </c>
      <c r="C224" s="83" t="s">
        <v>1864</v>
      </c>
      <c r="D224" s="113" t="s">
        <v>2050</v>
      </c>
      <c r="J224" s="80">
        <v>-715000</v>
      </c>
    </row>
    <row r="225" spans="1:10" ht="18" customHeight="1" x14ac:dyDescent="0.3">
      <c r="A225" s="82">
        <v>2352</v>
      </c>
      <c r="B225" s="93">
        <v>45985</v>
      </c>
      <c r="C225" s="83" t="s">
        <v>978</v>
      </c>
      <c r="D225" s="113" t="s">
        <v>4277</v>
      </c>
      <c r="J225" s="80">
        <v>-385000</v>
      </c>
    </row>
    <row r="226" spans="1:10" ht="18" customHeight="1" x14ac:dyDescent="0.3">
      <c r="A226" s="82">
        <v>2353</v>
      </c>
      <c r="B226" s="93">
        <v>45985</v>
      </c>
      <c r="C226" s="83" t="s">
        <v>3282</v>
      </c>
      <c r="D226" s="113" t="s">
        <v>4300</v>
      </c>
      <c r="J226" s="80">
        <v>-3949000</v>
      </c>
    </row>
    <row r="227" spans="1:10" ht="18" customHeight="1" x14ac:dyDescent="0.3">
      <c r="A227" s="82">
        <v>2354</v>
      </c>
      <c r="B227" s="93">
        <v>45985</v>
      </c>
      <c r="C227" s="83" t="s">
        <v>3535</v>
      </c>
      <c r="D227" s="113" t="s">
        <v>4443</v>
      </c>
      <c r="J227" s="80">
        <v>-589001</v>
      </c>
    </row>
    <row r="228" spans="1:10" ht="18" customHeight="1" x14ac:dyDescent="0.3">
      <c r="A228" s="82">
        <v>2355</v>
      </c>
      <c r="B228" s="93">
        <v>45985</v>
      </c>
      <c r="C228" s="83" t="s">
        <v>4445</v>
      </c>
      <c r="D228" s="113" t="s">
        <v>1711</v>
      </c>
      <c r="F228" s="120">
        <v>150000</v>
      </c>
      <c r="G228" s="85">
        <v>1</v>
      </c>
      <c r="I228" s="80">
        <v>150000</v>
      </c>
    </row>
    <row r="229" spans="1:10" ht="18" customHeight="1" x14ac:dyDescent="0.3">
      <c r="A229" s="82">
        <v>2356</v>
      </c>
      <c r="B229" s="93">
        <v>45986</v>
      </c>
      <c r="C229" s="83" t="s">
        <v>2489</v>
      </c>
      <c r="D229" s="113" t="s">
        <v>4282</v>
      </c>
      <c r="J229" s="80">
        <v>-550000</v>
      </c>
    </row>
    <row r="230" spans="1:10" ht="18" customHeight="1" x14ac:dyDescent="0.3">
      <c r="A230" s="82">
        <v>2357</v>
      </c>
      <c r="B230" s="93">
        <v>45986</v>
      </c>
      <c r="C230" s="83" t="s">
        <v>1015</v>
      </c>
      <c r="D230" s="113" t="s">
        <v>3810</v>
      </c>
      <c r="J230" s="80">
        <v>-1200000</v>
      </c>
    </row>
    <row r="231" spans="1:10" ht="18" customHeight="1" x14ac:dyDescent="0.3">
      <c r="A231" s="82">
        <v>2358</v>
      </c>
      <c r="B231" s="93">
        <v>45986</v>
      </c>
      <c r="C231" s="83" t="s">
        <v>1385</v>
      </c>
      <c r="D231" s="113" t="s">
        <v>4317</v>
      </c>
      <c r="J231" s="80">
        <v>-955000</v>
      </c>
    </row>
    <row r="232" spans="1:10" ht="18" customHeight="1" x14ac:dyDescent="0.3">
      <c r="A232" s="82">
        <v>2359</v>
      </c>
      <c r="B232" s="93">
        <v>45986</v>
      </c>
      <c r="C232" s="83" t="s">
        <v>1053</v>
      </c>
      <c r="D232" s="113" t="s">
        <v>1856</v>
      </c>
      <c r="F232" s="120">
        <v>3500000</v>
      </c>
      <c r="G232" s="85">
        <v>1</v>
      </c>
      <c r="I232" s="80">
        <v>3500000</v>
      </c>
    </row>
    <row r="233" spans="1:10" ht="18" customHeight="1" x14ac:dyDescent="0.3">
      <c r="A233" s="82">
        <v>2360</v>
      </c>
      <c r="B233" s="93">
        <v>45986</v>
      </c>
      <c r="C233" s="83" t="s">
        <v>1053</v>
      </c>
      <c r="D233" s="113" t="s">
        <v>1758</v>
      </c>
      <c r="F233" s="120">
        <v>90000</v>
      </c>
      <c r="G233" s="85">
        <v>1</v>
      </c>
      <c r="I233" s="80">
        <v>90000</v>
      </c>
    </row>
    <row r="234" spans="1:10" ht="18" customHeight="1" x14ac:dyDescent="0.3">
      <c r="A234" s="82">
        <v>2361</v>
      </c>
      <c r="B234" s="93">
        <v>45986</v>
      </c>
      <c r="C234" s="83" t="s">
        <v>4452</v>
      </c>
      <c r="D234" s="113" t="s">
        <v>2190</v>
      </c>
      <c r="F234" s="120">
        <v>1200000</v>
      </c>
      <c r="G234" s="85">
        <v>1</v>
      </c>
      <c r="I234" s="80">
        <v>1200000</v>
      </c>
    </row>
    <row r="235" spans="1:10" ht="18" customHeight="1" x14ac:dyDescent="0.3">
      <c r="A235" s="82">
        <v>2362</v>
      </c>
      <c r="B235" s="93">
        <v>45986</v>
      </c>
      <c r="C235" s="83" t="s">
        <v>2595</v>
      </c>
      <c r="D235" s="113" t="s">
        <v>1201</v>
      </c>
      <c r="F235" s="120">
        <v>1300000</v>
      </c>
      <c r="G235" s="85">
        <v>1</v>
      </c>
      <c r="I235" s="80">
        <v>1300000</v>
      </c>
    </row>
    <row r="236" spans="1:10" ht="18" customHeight="1" x14ac:dyDescent="0.3">
      <c r="A236" s="82">
        <v>2363</v>
      </c>
      <c r="B236" s="93">
        <v>45986</v>
      </c>
      <c r="C236" s="83" t="s">
        <v>2595</v>
      </c>
      <c r="D236" s="113" t="s">
        <v>4342</v>
      </c>
      <c r="J236" s="80">
        <v>-1300000</v>
      </c>
    </row>
    <row r="237" spans="1:10" ht="18" customHeight="1" x14ac:dyDescent="0.3">
      <c r="A237" s="82">
        <v>2364</v>
      </c>
      <c r="B237" s="93">
        <v>45986</v>
      </c>
      <c r="C237" s="83" t="s">
        <v>1053</v>
      </c>
      <c r="D237" s="113" t="s">
        <v>3842</v>
      </c>
      <c r="J237" s="80">
        <v>-6690000</v>
      </c>
    </row>
    <row r="238" spans="1:10" ht="18" customHeight="1" x14ac:dyDescent="0.3">
      <c r="A238" s="82">
        <v>2365</v>
      </c>
      <c r="B238" s="93">
        <v>45986</v>
      </c>
      <c r="C238" s="83" t="s">
        <v>4452</v>
      </c>
      <c r="D238" s="113" t="s">
        <v>4457</v>
      </c>
      <c r="J238" s="80">
        <v>-1200000</v>
      </c>
    </row>
    <row r="239" spans="1:10" ht="18" customHeight="1" x14ac:dyDescent="0.3">
      <c r="A239" s="82">
        <v>2366</v>
      </c>
      <c r="B239" s="93">
        <v>45986</v>
      </c>
      <c r="C239" s="83" t="s">
        <v>2312</v>
      </c>
      <c r="D239" s="113" t="s">
        <v>1125</v>
      </c>
      <c r="J239" s="80">
        <v>-1815000</v>
      </c>
    </row>
    <row r="240" spans="1:10" ht="18" customHeight="1" x14ac:dyDescent="0.3">
      <c r="A240" s="82">
        <v>2367</v>
      </c>
      <c r="B240" s="93">
        <v>45987</v>
      </c>
      <c r="C240" s="83" t="s">
        <v>1171</v>
      </c>
      <c r="D240" s="113" t="s">
        <v>3830</v>
      </c>
      <c r="F240" s="120">
        <v>2500000</v>
      </c>
      <c r="G240" s="85">
        <v>1</v>
      </c>
      <c r="I240" s="80">
        <v>2500000</v>
      </c>
    </row>
    <row r="241" spans="1:9" ht="18" customHeight="1" x14ac:dyDescent="0.3">
      <c r="A241" s="82">
        <v>2368</v>
      </c>
      <c r="B241" s="93">
        <v>45987</v>
      </c>
      <c r="C241" s="83" t="s">
        <v>1571</v>
      </c>
      <c r="D241" s="113" t="s">
        <v>1203</v>
      </c>
      <c r="F241" s="120">
        <v>1200000</v>
      </c>
      <c r="G241" s="85">
        <v>1</v>
      </c>
      <c r="H241" s="126">
        <v>120000</v>
      </c>
      <c r="I241" s="80">
        <v>1320000</v>
      </c>
    </row>
    <row r="242" spans="1:9" ht="18" customHeight="1" x14ac:dyDescent="0.3">
      <c r="A242" s="82">
        <v>2369</v>
      </c>
      <c r="B242" s="93">
        <v>45987</v>
      </c>
      <c r="C242" s="83" t="s">
        <v>1571</v>
      </c>
      <c r="D242" s="113" t="s">
        <v>3034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2370</v>
      </c>
      <c r="B243" s="93">
        <v>45987</v>
      </c>
      <c r="C243" s="83" t="s">
        <v>1436</v>
      </c>
      <c r="D243" s="113" t="s">
        <v>2292</v>
      </c>
      <c r="F243" s="120">
        <v>650000</v>
      </c>
      <c r="G243" s="85">
        <v>1</v>
      </c>
      <c r="I243" s="80">
        <v>650000</v>
      </c>
    </row>
    <row r="244" spans="1:9" ht="18" customHeight="1" x14ac:dyDescent="0.3">
      <c r="A244" s="82">
        <v>2371</v>
      </c>
      <c r="B244" s="93">
        <v>45987</v>
      </c>
      <c r="C244" s="83" t="s">
        <v>1784</v>
      </c>
      <c r="D244" s="113" t="s">
        <v>2187</v>
      </c>
      <c r="F244" s="120">
        <v>650000</v>
      </c>
      <c r="G244" s="85">
        <v>1</v>
      </c>
      <c r="I244" s="80">
        <v>650000</v>
      </c>
    </row>
    <row r="245" spans="1:9" ht="18" customHeight="1" x14ac:dyDescent="0.3">
      <c r="A245" s="82">
        <v>2372</v>
      </c>
      <c r="B245" s="93">
        <v>45987</v>
      </c>
      <c r="C245" s="83" t="s">
        <v>1741</v>
      </c>
      <c r="D245" s="113" t="s">
        <v>2906</v>
      </c>
      <c r="F245" s="120">
        <v>130000</v>
      </c>
      <c r="G245" s="85">
        <v>1</v>
      </c>
      <c r="H245" s="126">
        <v>13000</v>
      </c>
      <c r="I245" s="80">
        <v>143000</v>
      </c>
    </row>
    <row r="246" spans="1:9" ht="18" customHeight="1" x14ac:dyDescent="0.3">
      <c r="A246" s="82">
        <v>2373</v>
      </c>
      <c r="B246" s="93">
        <v>45987</v>
      </c>
      <c r="C246" s="83" t="s">
        <v>1574</v>
      </c>
      <c r="D246" s="113" t="s">
        <v>2377</v>
      </c>
      <c r="F246" s="120">
        <v>750000</v>
      </c>
      <c r="G246" s="85">
        <v>1</v>
      </c>
      <c r="H246" s="126">
        <v>75000</v>
      </c>
      <c r="I246" s="80">
        <v>825000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5100000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19</v>
      </c>
    </row>
    <row r="4" spans="1:6" x14ac:dyDescent="0.3">
      <c r="B4" s="58" t="s">
        <v>1273</v>
      </c>
      <c r="C4" s="301">
        <f>SUMIF(BTS_매출관리!C:C,B4,BTS_매출관리!I:I)</f>
        <v>1050000</v>
      </c>
      <c r="D4" s="58">
        <f t="shared" si="0"/>
        <v>41</v>
      </c>
    </row>
    <row r="5" spans="1:6" x14ac:dyDescent="0.3">
      <c r="B5" s="58" t="s">
        <v>1330</v>
      </c>
      <c r="C5" s="301">
        <f>SUMIF(BTS_매출관리!C:C,B5,BTS_매출관리!I:I)</f>
        <v>6100000</v>
      </c>
      <c r="D5" s="58">
        <f t="shared" si="0"/>
        <v>4</v>
      </c>
    </row>
    <row r="6" spans="1:6" x14ac:dyDescent="0.3">
      <c r="B6" s="58" t="s">
        <v>1347</v>
      </c>
      <c r="C6" s="301">
        <f>SUMIF(BTS_매출관리!C:C,B6,BTS_매출관리!I:I)</f>
        <v>3498000</v>
      </c>
      <c r="D6" s="58">
        <f t="shared" si="0"/>
        <v>10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40</v>
      </c>
    </row>
    <row r="8" spans="1:6" x14ac:dyDescent="0.3">
      <c r="B8" s="58" t="s">
        <v>1268</v>
      </c>
      <c r="C8" s="301">
        <f>SUMIF(BTS_매출관리!C:C,B8,BTS_매출관리!I:I)</f>
        <v>1540000</v>
      </c>
      <c r="D8" s="58">
        <f t="shared" si="0"/>
        <v>29</v>
      </c>
    </row>
    <row r="9" spans="1:6" x14ac:dyDescent="0.3">
      <c r="B9" s="58" t="s">
        <v>2208</v>
      </c>
      <c r="C9" s="301">
        <f>SUMIF(BTS_매출관리!C:C,B9,BTS_매출관리!I:I)</f>
        <v>2850000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25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20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33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56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38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56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56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56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32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31</v>
      </c>
    </row>
    <row r="20" spans="2:18" x14ac:dyDescent="0.3">
      <c r="B20" s="58" t="s">
        <v>1171</v>
      </c>
      <c r="C20" s="301">
        <f>SUMIF(BTS_매출관리!C:C,B20,BTS_매출관리!I:I)</f>
        <v>2500000</v>
      </c>
      <c r="D20" s="58">
        <f t="shared" si="0"/>
        <v>18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56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22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56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46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56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56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56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4466000</v>
      </c>
      <c r="D28" s="58">
        <f t="shared" si="0"/>
        <v>7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56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56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54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56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56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56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43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56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54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56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56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56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56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8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5995000</v>
      </c>
      <c r="D44" s="58">
        <f t="shared" si="0"/>
        <v>5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17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56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56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56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56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21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49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56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56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56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44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9</v>
      </c>
    </row>
    <row r="57" spans="2:7" x14ac:dyDescent="0.3">
      <c r="B57" s="47" t="s">
        <v>1778</v>
      </c>
      <c r="C57" s="302">
        <f>SUMIF(BTS_매출관리!C:C,B57,BTS_매출관리!I:I)</f>
        <v>6690000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1815000</v>
      </c>
      <c r="D58" s="47">
        <f t="shared" si="0"/>
        <v>24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56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56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56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27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56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56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56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30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56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56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56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56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56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53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2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56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56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56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56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56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56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56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50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56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48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56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56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45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33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39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56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56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56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26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56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56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51</v>
      </c>
    </row>
    <row r="99" spans="2:4" x14ac:dyDescent="0.3">
      <c r="B99" t="s">
        <v>1269</v>
      </c>
      <c r="C99" s="300">
        <f>SUMIF(BTS_매출관리!C:C,B99,BTS_매출관리!I:I)</f>
        <v>650000</v>
      </c>
      <c r="D99">
        <f t="shared" si="1"/>
        <v>47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56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56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56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56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56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56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56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37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56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56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56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56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56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33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56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56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56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56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56</v>
      </c>
    </row>
    <row r="121" spans="2:4" x14ac:dyDescent="0.3">
      <c r="B121" t="s">
        <v>2585</v>
      </c>
      <c r="C121" s="300">
        <f>SUMIF(BTS_매출관리!C:C,B121,BTS_매출관리!I:I)</f>
        <v>1600000</v>
      </c>
      <c r="D121">
        <f t="shared" si="1"/>
        <v>27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56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56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56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56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56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56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56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56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56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56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56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56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56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56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56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56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56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56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52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56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56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56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56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56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56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56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56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56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56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56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56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56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56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56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56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56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42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56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56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36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56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56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56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56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56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56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56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56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56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56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56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56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56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56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56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56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56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56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56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56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56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56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56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56</v>
      </c>
    </row>
    <row r="188" spans="2:4" x14ac:dyDescent="0.3">
      <c r="C188" s="52">
        <f>SUMIF(BTS_매출관리!C:C,B188,BTS_매출관리!I:I)</f>
        <v>0</v>
      </c>
      <c r="D188">
        <f t="shared" si="2"/>
        <v>56</v>
      </c>
    </row>
    <row r="189" spans="2:4" x14ac:dyDescent="0.3">
      <c r="C189" s="52">
        <f>SUMIF(BTS_매출관리!C:C,B189,BTS_매출관리!I:I)</f>
        <v>0</v>
      </c>
      <c r="D189">
        <f t="shared" si="2"/>
        <v>56</v>
      </c>
    </row>
    <row r="190" spans="2:4" x14ac:dyDescent="0.3">
      <c r="C190" s="52">
        <f>SUMIF(BTS_매출관리!C:C,B190,BTS_매출관리!I:I)</f>
        <v>0</v>
      </c>
      <c r="D190">
        <f t="shared" si="2"/>
        <v>56</v>
      </c>
    </row>
    <row r="191" spans="2:4" x14ac:dyDescent="0.3">
      <c r="C191" s="52">
        <f>SUMIF(BTS_매출관리!C:C,B191,BTS_매출관리!I:I)</f>
        <v>0</v>
      </c>
      <c r="D191">
        <f t="shared" si="2"/>
        <v>56</v>
      </c>
    </row>
    <row r="192" spans="2:4" x14ac:dyDescent="0.3">
      <c r="C192" s="52">
        <f>SUMIF(BTS_매출관리!C:C,B192,BTS_매출관리!I:I)</f>
        <v>0</v>
      </c>
      <c r="D192">
        <f t="shared" si="2"/>
        <v>56</v>
      </c>
    </row>
    <row r="193" spans="3:4" x14ac:dyDescent="0.3">
      <c r="C193" s="52">
        <f>SUMIF(BTS_매출관리!C:C,B193,BTS_매출관리!I:I)</f>
        <v>0</v>
      </c>
      <c r="D193">
        <f t="shared" si="2"/>
        <v>56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56</v>
      </c>
    </row>
    <row r="195" spans="3:4" x14ac:dyDescent="0.3">
      <c r="C195" s="52">
        <f>SUMIF(BTS_매출관리!C:C,B195,BTS_매출관리!I:I)</f>
        <v>0</v>
      </c>
      <c r="D195">
        <f t="shared" si="3"/>
        <v>56</v>
      </c>
    </row>
    <row r="196" spans="3:4" x14ac:dyDescent="0.3">
      <c r="C196" s="52">
        <f>SUMIF(BTS_매출관리!C:C,B196,BTS_매출관리!I:I)</f>
        <v>0</v>
      </c>
      <c r="D196">
        <f t="shared" si="3"/>
        <v>56</v>
      </c>
    </row>
    <row r="197" spans="3:4" x14ac:dyDescent="0.3">
      <c r="C197" s="52">
        <f>SUMIF(BTS_매출관리!C:C,B197,BTS_매출관리!I:I)</f>
        <v>0</v>
      </c>
      <c r="D197">
        <f t="shared" si="3"/>
        <v>56</v>
      </c>
    </row>
    <row r="198" spans="3:4" x14ac:dyDescent="0.3">
      <c r="C198" s="52">
        <f>SUMIF(BTS_매출관리!C:C,B198,BTS_매출관리!I:I)</f>
        <v>0</v>
      </c>
      <c r="D198">
        <f t="shared" si="3"/>
        <v>56</v>
      </c>
    </row>
    <row r="199" spans="3:4" x14ac:dyDescent="0.3">
      <c r="C199" s="52">
        <f>SUMIF(BTS_매출관리!C:C,B199,BTS_매출관리!I:I)</f>
        <v>0</v>
      </c>
      <c r="D199">
        <f t="shared" si="3"/>
        <v>56</v>
      </c>
    </row>
    <row r="200" spans="3:4" x14ac:dyDescent="0.3">
      <c r="C200" s="52">
        <f>SUMIF(BTS_매출관리!C:C,B200,BTS_매출관리!I:I)</f>
        <v>0</v>
      </c>
      <c r="D200">
        <f t="shared" si="3"/>
        <v>56</v>
      </c>
    </row>
    <row r="201" spans="3:4" x14ac:dyDescent="0.3">
      <c r="C201" s="52">
        <f>SUMIF(BTS_매출관리!C:C,B201,BTS_매출관리!I:I)</f>
        <v>0</v>
      </c>
      <c r="D201">
        <f t="shared" si="3"/>
        <v>56</v>
      </c>
    </row>
    <row r="202" spans="3:4" x14ac:dyDescent="0.3">
      <c r="C202" s="52">
        <f>SUMIF(BTS_매출관리!C:C,B202,BTS_매출관리!I:I)</f>
        <v>0</v>
      </c>
      <c r="D202">
        <f t="shared" si="3"/>
        <v>56</v>
      </c>
    </row>
    <row r="203" spans="3:4" x14ac:dyDescent="0.3">
      <c r="C203" s="52">
        <f>SUMIF(BTS_매출관리!C:C,B203,BTS_매출관리!I:I)</f>
        <v>0</v>
      </c>
      <c r="D203">
        <f t="shared" si="3"/>
        <v>56</v>
      </c>
    </row>
    <row r="204" spans="3:4" x14ac:dyDescent="0.3">
      <c r="C204" s="52">
        <f>SUMIF(BTS_매출관리!C:C,B204,BTS_매출관리!I:I)</f>
        <v>0</v>
      </c>
      <c r="D204">
        <f t="shared" si="3"/>
        <v>56</v>
      </c>
    </row>
    <row r="205" spans="3:4" x14ac:dyDescent="0.3">
      <c r="C205" s="52">
        <f>SUMIF(BTS_매출관리!C:C,B205,BTS_매출관리!I:I)</f>
        <v>0</v>
      </c>
      <c r="D205">
        <f t="shared" si="3"/>
        <v>56</v>
      </c>
    </row>
    <row r="206" spans="3:4" x14ac:dyDescent="0.3">
      <c r="C206" s="52">
        <f>SUMIF(BTS_매출관리!C:C,B206,BTS_매출관리!I:I)</f>
        <v>0</v>
      </c>
      <c r="D206">
        <f t="shared" si="3"/>
        <v>56</v>
      </c>
    </row>
    <row r="207" spans="3:4" x14ac:dyDescent="0.3">
      <c r="C207" s="52">
        <f>SUMIF(BTS_매출관리!C:C,B207,BTS_매출관리!I:I)</f>
        <v>0</v>
      </c>
      <c r="D207">
        <f t="shared" si="3"/>
        <v>56</v>
      </c>
    </row>
    <row r="208" spans="3:4" x14ac:dyDescent="0.3">
      <c r="C208" s="52">
        <f>SUMIF(BTS_매출관리!C:C,B208,BTS_매출관리!I:I)</f>
        <v>0</v>
      </c>
      <c r="D208">
        <f t="shared" si="3"/>
        <v>56</v>
      </c>
    </row>
    <row r="209" spans="3:4" x14ac:dyDescent="0.3">
      <c r="C209" s="52">
        <f>SUMIF(BTS_매출관리!C:C,B209,BTS_매출관리!I:I)</f>
        <v>0</v>
      </c>
      <c r="D209">
        <f t="shared" si="3"/>
        <v>56</v>
      </c>
    </row>
    <row r="210" spans="3:4" x14ac:dyDescent="0.3">
      <c r="C210" s="52">
        <f>SUMIF(BTS_매출관리!C:C,B210,BTS_매출관리!I:I)</f>
        <v>0</v>
      </c>
      <c r="D210">
        <f t="shared" si="3"/>
        <v>56</v>
      </c>
    </row>
    <row r="211" spans="3:4" x14ac:dyDescent="0.3">
      <c r="C211" s="52">
        <f>SUMIF(BTS_매출관리!C:C,B211,BTS_매출관리!I:I)</f>
        <v>0</v>
      </c>
      <c r="D211">
        <f t="shared" si="3"/>
        <v>56</v>
      </c>
    </row>
    <row r="212" spans="3:4" x14ac:dyDescent="0.3">
      <c r="C212" s="52">
        <f>SUMIF(BTS_매출관리!C:C,B212,BTS_매출관리!I:I)</f>
        <v>0</v>
      </c>
      <c r="D212">
        <f t="shared" si="3"/>
        <v>56</v>
      </c>
    </row>
    <row r="213" spans="3:4" x14ac:dyDescent="0.3">
      <c r="C213" s="52">
        <f>SUMIF(BTS_매출관리!C:C,B213,BTS_매출관리!I:I)</f>
        <v>0</v>
      </c>
      <c r="D213">
        <f t="shared" si="3"/>
        <v>56</v>
      </c>
    </row>
    <row r="214" spans="3:4" x14ac:dyDescent="0.3">
      <c r="C214" s="52">
        <f>SUMIF(BTS_매출관리!C:C,B214,BTS_매출관리!I:I)</f>
        <v>0</v>
      </c>
      <c r="D214">
        <f t="shared" si="3"/>
        <v>56</v>
      </c>
    </row>
    <row r="215" spans="3:4" x14ac:dyDescent="0.3">
      <c r="C215" s="52">
        <f>SUMIF(BTS_매출관리!C:C,B215,BTS_매출관리!I:I)</f>
        <v>0</v>
      </c>
      <c r="D215">
        <f t="shared" si="3"/>
        <v>56</v>
      </c>
    </row>
    <row r="216" spans="3:4" x14ac:dyDescent="0.3">
      <c r="C216" s="52">
        <f>SUMIF(BTS_매출관리!C:C,B216,BTS_매출관리!I:I)</f>
        <v>0</v>
      </c>
      <c r="D216">
        <f t="shared" si="3"/>
        <v>56</v>
      </c>
    </row>
    <row r="217" spans="3:4" x14ac:dyDescent="0.3">
      <c r="C217" s="52">
        <f>SUMIF(BTS_매출관리!C:C,B217,BTS_매출관리!I:I)</f>
        <v>0</v>
      </c>
      <c r="D217">
        <f t="shared" si="3"/>
        <v>56</v>
      </c>
    </row>
    <row r="218" spans="3:4" x14ac:dyDescent="0.3">
      <c r="C218" s="52">
        <f>SUMIF(BTS_매출관리!C:C,B218,BTS_매출관리!I:I)</f>
        <v>0</v>
      </c>
      <c r="D218">
        <f t="shared" si="3"/>
        <v>56</v>
      </c>
    </row>
    <row r="219" spans="3:4" x14ac:dyDescent="0.3">
      <c r="C219" s="52">
        <f>SUMIF(BTS_매출관리!C:C,B219,BTS_매출관리!I:I)</f>
        <v>0</v>
      </c>
      <c r="D219">
        <f t="shared" si="3"/>
        <v>56</v>
      </c>
    </row>
    <row r="220" spans="3:4" x14ac:dyDescent="0.3">
      <c r="C220" s="52">
        <f>SUMIF(BTS_매출관리!C:C,B220,BTS_매출관리!I:I)</f>
        <v>0</v>
      </c>
      <c r="D220">
        <f t="shared" si="3"/>
        <v>56</v>
      </c>
    </row>
    <row r="221" spans="3:4" x14ac:dyDescent="0.3">
      <c r="C221" s="52">
        <f>SUMIF(BTS_매출관리!C:C,B221,BTS_매출관리!I:I)</f>
        <v>0</v>
      </c>
      <c r="D221">
        <f t="shared" si="3"/>
        <v>56</v>
      </c>
    </row>
    <row r="222" spans="3:4" x14ac:dyDescent="0.3">
      <c r="C222" s="52">
        <f>SUMIF(BTS_매출관리!C:C,B222,BTS_매출관리!I:I)</f>
        <v>0</v>
      </c>
      <c r="D222">
        <f t="shared" si="3"/>
        <v>56</v>
      </c>
    </row>
    <row r="223" spans="3:4" x14ac:dyDescent="0.3">
      <c r="C223" s="52">
        <f>SUMIF(BTS_매출관리!C:C,B223,BTS_매출관리!I:I)</f>
        <v>0</v>
      </c>
      <c r="D223">
        <f t="shared" si="3"/>
        <v>56</v>
      </c>
    </row>
    <row r="224" spans="3:4" x14ac:dyDescent="0.3">
      <c r="C224" s="52">
        <f>SUMIF(BTS_매출관리!C:C,B224,BTS_매출관리!I:I)</f>
        <v>0</v>
      </c>
      <c r="D224">
        <f t="shared" si="3"/>
        <v>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3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1259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4326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4327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4329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4330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4331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4333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4335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4336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4337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4338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4339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4344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4345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4346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4347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4349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4350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4351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4352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4354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4356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4357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4358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4359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4360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4361</v>
      </c>
    </row>
    <row r="1199" spans="1:4" x14ac:dyDescent="0.3">
      <c r="A1199">
        <v>1223</v>
      </c>
      <c r="B1199" s="13">
        <v>45979</v>
      </c>
      <c r="C1199" t="s">
        <v>4362</v>
      </c>
      <c r="D1199" t="s">
        <v>4363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4380</v>
      </c>
    </row>
    <row r="1203" spans="1:4" x14ac:dyDescent="0.3">
      <c r="A1203">
        <v>1227</v>
      </c>
      <c r="B1203" s="13">
        <v>45980</v>
      </c>
      <c r="C1203" t="s">
        <v>4367</v>
      </c>
      <c r="D1203" t="s">
        <v>4381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4423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4428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4431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4433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4434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4435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4437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4439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4441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4442</v>
      </c>
    </row>
    <row r="1225" spans="1:4" x14ac:dyDescent="0.3">
      <c r="A1225">
        <v>1249</v>
      </c>
      <c r="B1225" s="13">
        <v>45985</v>
      </c>
      <c r="C1225" t="s">
        <v>4445</v>
      </c>
      <c r="D1225" t="s">
        <v>4447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4451</v>
      </c>
    </row>
    <row r="1227" spans="1:4" x14ac:dyDescent="0.3">
      <c r="A1227">
        <v>1251</v>
      </c>
      <c r="B1227" s="13">
        <v>45986</v>
      </c>
      <c r="C1227" t="s">
        <v>4452</v>
      </c>
      <c r="D1227" t="s">
        <v>4455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4456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4466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4468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4469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4470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4471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4474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79" sqref="I79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208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1539999.6000000015</v>
      </c>
      <c r="I2" s="194" t="s">
        <v>4478</v>
      </c>
    </row>
    <row r="3" spans="1:11" hidden="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1050000</v>
      </c>
      <c r="I10" s="52" t="s">
        <v>4478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4366</v>
      </c>
    </row>
    <row r="14" spans="1:11" hidden="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15483000.200000003</v>
      </c>
      <c r="I17" s="52" t="s">
        <v>4478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I19" s="52" t="s">
        <v>4478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4478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4366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5100000</v>
      </c>
      <c r="I37" s="52" t="s">
        <v>4478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4419</v>
      </c>
    </row>
    <row r="40" spans="1:10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  <c r="I54" s="52" t="s">
        <v>4478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4419</v>
      </c>
      <c r="J68" t="s">
        <v>4137</v>
      </c>
    </row>
    <row r="69" spans="1:10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4444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4478</v>
      </c>
    </row>
    <row r="73" spans="1:10" hidden="1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4478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4478</v>
      </c>
    </row>
    <row r="78" spans="1:10" hidden="1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4366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4900000</v>
      </c>
      <c r="I79" s="52" t="s">
        <v>4478</v>
      </c>
    </row>
    <row r="80" spans="1:10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4478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4478</v>
      </c>
    </row>
    <row r="86" spans="1:11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4478</v>
      </c>
    </row>
    <row r="93" spans="1:11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4444</v>
      </c>
    </row>
    <row r="95" spans="1:11" hidden="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hidden="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4318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2178000</v>
      </c>
      <c r="I97" s="52" t="s">
        <v>4478</v>
      </c>
    </row>
    <row r="98" spans="1:11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hidden="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4478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hidden="1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  <c r="I116" s="52" t="s">
        <v>4478</v>
      </c>
      <c r="J116" t="s">
        <v>4195</v>
      </c>
    </row>
    <row r="117" spans="1:10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hidden="1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4364</v>
      </c>
      <c r="G129" t="s">
        <v>4365</v>
      </c>
      <c r="H129" s="194">
        <f>SUMIF(주문_리스트!C:C,거래처!B129,주문_리스트!K:K)+SUMIF(주문_리스트!C:C,거래처!B129,주문_리스트!L:L)</f>
        <v>0</v>
      </c>
      <c r="I129" s="52" t="s">
        <v>4366</v>
      </c>
    </row>
    <row r="130" spans="1:10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hidden="1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hidden="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hidden="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hidden="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hidden="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hidden="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hidden="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hidden="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hidden="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hidden="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hidden="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hidden="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hidden="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hidden="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hidden="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hidden="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hidden="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hidden="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hidden="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hidden="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hidden="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hidden="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hidden="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hidden="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4366</v>
      </c>
    </row>
    <row r="202" spans="1:11" hidden="1" x14ac:dyDescent="0.3">
      <c r="A202" s="47">
        <v>202</v>
      </c>
      <c r="B202" t="s">
        <v>4368</v>
      </c>
      <c r="C202" t="s">
        <v>4369</v>
      </c>
      <c r="E202" t="s">
        <v>4370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A203" s="47">
        <v>203</v>
      </c>
      <c r="B203" t="s">
        <v>4420</v>
      </c>
      <c r="C203" t="s">
        <v>4421</v>
      </c>
      <c r="E203" t="s">
        <v>4422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A204" s="47">
        <v>204</v>
      </c>
      <c r="B204" t="s">
        <v>3535</v>
      </c>
      <c r="C204" t="s">
        <v>4424</v>
      </c>
      <c r="D204" t="s">
        <v>4425</v>
      </c>
      <c r="E204" t="s">
        <v>4426</v>
      </c>
      <c r="F204" t="s">
        <v>963</v>
      </c>
      <c r="G204" t="s">
        <v>4427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4445</v>
      </c>
      <c r="C205" t="s">
        <v>1039</v>
      </c>
      <c r="E205" t="s">
        <v>4446</v>
      </c>
      <c r="F205" t="s">
        <v>973</v>
      </c>
      <c r="H205" s="194">
        <f>SUMIF(주문_리스트!C:C,거래처!B205,주문_리스트!K:K)+SUMIF(주문_리스트!C:C,거래처!B205,주문_리스트!L:L)</f>
        <v>150000</v>
      </c>
      <c r="I205" s="52" t="s">
        <v>4478</v>
      </c>
    </row>
    <row r="206" spans="1:11" hidden="1" x14ac:dyDescent="0.3">
      <c r="A206" s="47">
        <v>206</v>
      </c>
      <c r="B206" t="s">
        <v>4448</v>
      </c>
      <c r="C206" t="s">
        <v>4449</v>
      </c>
      <c r="E206" t="s">
        <v>4450</v>
      </c>
      <c r="F206" t="s">
        <v>1179</v>
      </c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A207" s="47">
        <v>207</v>
      </c>
      <c r="B207" t="s">
        <v>4452</v>
      </c>
      <c r="C207" t="s">
        <v>4453</v>
      </c>
      <c r="E207" t="s">
        <v>4454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-57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-123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-6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-123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-16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-6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-6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4410</v>
      </c>
      <c r="D258" s="288" t="s">
        <v>4411</v>
      </c>
      <c r="E258" s="288" t="s">
        <v>4410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2025-11-26T09:02:45Z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