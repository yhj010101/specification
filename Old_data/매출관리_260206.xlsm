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124C381-62B2-4359-B917-FEAD217E950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<sst xmlns="http://schemas.openxmlformats.org/spreadsheetml/2006/main" count="15472" uniqueCount="5083">
  <si>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</si>
  <si>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</si>
  <si>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</si>
  <si>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</si>
  <si>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</si>
  <si>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</si>
  <si>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</si>
  <si>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</si>
  <si>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</si>
  <si>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</si>
  <si>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</si>
  <si>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</si>
  <si>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</si>
  <si>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</si>
  <si>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</si>
  <si>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</si>
  <si>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</si>
  <si>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</si>
  <si>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</si>
  <si>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</si>
  <si>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</si>
  <si>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</si>
  <si>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</si>
  <si>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</si>
  <si>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</si>
  <si>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</si>
  <si>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</si>
  <si>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</si>
  <si>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</si>
  <si>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</si>
  <si>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</si>
  <si>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</si>
  <si>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</si>
  <si>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</si>
  <si>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</si>
  <si>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</si>
  <si>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</si>
  <si>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</si>
  <si>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</si>
  <si>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</si>
  <si>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</si>
  <si>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</si>
  <si>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</si>
  <si>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</si>
  <si>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</si>
  <si>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</si>
  <si>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</si>
  <si>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</si>
  <si>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</si>
  <si>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</si>
  <si>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</si>
  <si>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</si>
  <si>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</si>
  <si>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</si>
  <si>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</si>
  <si>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</si>
  <si>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</si>
  <si>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</si>
  <si>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</si>
  <si>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</si>
  <si>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</si>
  <si>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</si>
  <si>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</si>
  <si>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</si>
  <si>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</si>
  <si>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</si>
  <si>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</si>
  <si>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</si>
  <si>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</si>
  <si>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</si>
  <si>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</si>
  <si>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</si>
  <si>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</si>
  <si>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</si>
  <si>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</si>
  <si>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</si>
  <si>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</si>
  <si>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</si>
  <si>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</si>
  <si>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</si>
  <si>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</si>
  <si>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</si>
  <si>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</si>
  <si>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</si>
  <si>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</si>
  <si>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</si>
  <si>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</si>
  <si>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</si>
  <si>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</si>
  <si>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</si>
  <si>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</si>
  <si>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</si>
  <si>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</si>
  <si>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</si>
  <si>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</si>
  <si>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</si>
  <si>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</si>
  <si>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</si>
  <si>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</si>
  <si>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</si>
  <si>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</si>
  <si>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</si>
  <si>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</si>
  <si>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</si>
  <si>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</si>
  <si>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</si>
  <si>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</si>
  <si>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</si>
  <si>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</si>
  <si>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</si>
  <si>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</si>
  <si>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</si>
  <si>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</si>
  <si>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</si>
  <si>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</si>
  <si>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</si>
  <si>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</si>
  <si>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</si>
  <si>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</si>
  <si>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</si>
  <si>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</si>
  <si>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</si>
  <si>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</si>
  <si>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</si>
  <si>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</si>
  <si>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</si>
  <si>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</si>
  <si>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</si>
  <si>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</si>
  <si>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</si>
  <si>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</si>
  <si>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</si>
  <si>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</si>
  <si>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</si>
  <si>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</si>
  <si>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</si>
  <si>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</si>
  <si>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</si>
  <si>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</si>
  <si>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</si>
  <si>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</si>
  <si>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</si>
  <si>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</si>
  <si>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</si>
  <si>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</si>
  <si>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</si>
  <si>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</si>
  <si>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</si>
  <si>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</si>
  <si>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</si>
  <si>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</si>
  <si>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</si>
  <si>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</si>
  <si>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</si>
  <si>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</si>
  <si>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</si>
  <si>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</si>
  <si>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</si>
  <si>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</si>
  <si>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</si>
  <si>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</si>
  <si>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</si>
  <si>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</si>
  <si>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</si>
  <si>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</si>
  <si>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</si>
  <si>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</si>
  <si>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</si>
  <si>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</si>
  <si>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</si>
  <si>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</si>
  <si>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</si>
  <si>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</si>
  <si>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</si>
  <si>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</si>
  <si>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</si>
  <si>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</si>
  <si>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</si>
  <si>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</si>
  <si>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</si>
  <si>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</si>
  <si>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</si>
  <si>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</si>
  <si>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</si>
  <si>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</si>
  <si>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</si>
  <si>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</si>
  <si>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</si>
  <si>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</si>
  <si>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</si>
  <si>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</si>
  <si>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</si>
  <si>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</si>
  <si>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</si>
  <si>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</si>
  <si>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</si>
  <si>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</si>
  <si>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</si>
  <si>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</si>
  <si>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</si>
  <si>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</si>
  <si>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</si>
  <si>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</si>
  <si>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</si>
  <si>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</si>
  <si>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</si>
  <si>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</si>
  <si>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</si>
  <si>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</si>
  <si>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</si>
  <si>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</si>
  <si>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</si>
  <si>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</si>
  <si>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</si>
  <si>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</si>
  <si>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</si>
  <si>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</si>
  <si>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</si>
  <si>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</si>
  <si>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</si>
  <si>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</si>
  <si>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</si>
  <si>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</si>
  <si>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</si>
  <si>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</si>
  <si>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</si>
  <si>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</si>
  <si>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</si>
  <si>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</si>
  <si>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</si>
  <si>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</si>
  <si>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</si>
  <si>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</si>
  <si>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</si>
  <si>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</si>
  <si>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</si>
  <si>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</si>
  <si>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</si>
  <si>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</si>
  <si>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</si>
  <si>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</si>
  <si>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</si>
  <si>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</si>
  <si>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</si>
  <si>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</si>
  <si>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</si>
  <si>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</si>
  <si>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</si>
  <si>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</si>
  <si>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</si>
  <si>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</si>
  <si>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</si>
  <si>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</si>
  <si>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</si>
  <si>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</si>
  <si>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</si>
  <si>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</si>
  <si>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</si>
  <si>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</si>
  <si>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</si>
  <si>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</si>
  <si>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</si>
  <si>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</si>
  <si>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</si>
  <si>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</si>
  <si>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</si>
  <si>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</si>
  <si>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</si>
  <si>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</si>
  <si>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</si>
  <si>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</si>
  <si>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</si>
  <si>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</si>
  <si>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</si>
  <si>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</si>
  <si>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</si>
  <si>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</si>
  <si>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</si>
  <si>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</si>
  <si>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</si>
  <si>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</si>
  <si>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</si>
  <si>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</si>
  <si>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</si>
  <si>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</si>
  <si>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</si>
  <si>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</si>
  <si>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</si>
  <si>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</si>
  <si>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</si>
  <si>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</si>
  <si>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</si>
  <si>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</si>
  <si>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</si>
  <si>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</si>
  <si>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</si>
  <si>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</si>
  <si>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</si>
  <si>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</si>
  <si>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</si>
  <si>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</si>
  <si>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</si>
  <si>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</si>
  <si>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</si>
  <si>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</si>
  <si>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</si>
  <si>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</si>
  <si>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</si>
  <si>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</si>
  <si>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</si>
  <si>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</si>
  <si>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</si>
  <si>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</si>
  <si>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</si>
  <si>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</si>
  <si>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</si>
  <si>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</si>
  <si>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</si>
  <si>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</si>
  <si>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</si>
  <si>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</si>
  <si>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</si>
  <si>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</si>
  <si>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</si>
  <si>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</si>
  <si>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</si>
  <si>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</si>
  <si>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</si>
  <si>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</si>
  <si>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</si>
  <si>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</si>
  <si>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</si>
  <si>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</si>
  <si>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</si>
  <si>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</si>
  <si>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</si>
  <si>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</si>
  <si>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</si>
  <si>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</si>
  <si>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</si>
  <si>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</si>
  <si>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</si>
  <si>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</si>
  <si>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</si>
  <si>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</si>
  <si>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</si>
  <si>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</si>
  <si>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</si>
  <si>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</si>
  <si>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</si>
  <si>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</si>
  <si>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</si>
  <si>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</si>
  <si>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</si>
  <si>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</si>
  <si>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</si>
  <si>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</si>
  <si>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</si>
  <si>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</si>
  <si>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</si>
  <si>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</si>
  <si>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</si>
  <si>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</si>
  <si>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</si>
  <si>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</si>
  <si>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</si>
  <si>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</si>
  <si>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</si>
  <si>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</si>
  <si>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</si>
  <si>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</si>
  <si>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</si>
  <si>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</si>
  <si>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</si>
  <si>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</si>
  <si>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</si>
  <si>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</si>
  <si>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</si>
  <si>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</si>
  <si>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</si>
  <si>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</si>
  <si>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</si>
  <si>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</si>
  <si>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</si>
  <si>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</si>
  <si>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</si>
  <si>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</si>
  <si>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</si>
  <si>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</si>
  <si>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</si>
  <si>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</si>
  <si>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</si>
  <si>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</si>
  <si>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</si>
  <si>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</si>
  <si>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</si>
  <si>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</si>
  <si>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</si>
  <si>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</si>
  <si>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</si>
  <si>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</si>
  <si>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</si>
  <si>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</si>
  <si>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</si>
  <si>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</si>
  <si>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</si>
  <si>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</si>
  <si>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</si>
  <si>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</si>
  <si>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</si>
  <si>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</si>
  <si>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</si>
  <si>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</si>
  <si>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</si>
  <si>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</si>
  <si>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</si>
  <si>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</si>
  <si>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</si>
  <si>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</si>
  <si>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</si>
  <si>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</si>
  <si>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</si>
  <si>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</si>
  <si>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</si>
  <si>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</si>
  <si>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</si>
  <si>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</si>
  <si>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</si>
  <si>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</si>
  <si>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</si>
  <si>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</si>
  <si>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</si>
  <si>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</si>
  <si>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</si>
  <si>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</si>
  <si>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</si>
  <si>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</si>
  <si>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</si>
  <si>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</si>
  <si>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</si>
  <si>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</si>
  <si>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</si>
  <si>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</si>
  <si>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</si>
  <si>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</si>
  <si>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</si>
  <si>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</si>
  <si>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</si>
  <si>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</si>
  <si>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</si>
  <si>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</si>
  <si>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</si>
  <si>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</si>
  <si>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</si>
  <si>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</si>
  <si>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</si>
  <si>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</si>
  <si>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</si>
  <si>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</si>
  <si>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</si>
  <si>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</si>
  <si>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</si>
  <si>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</si>
  <si>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</si>
  <si>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</si>
  <si>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</si>
  <si>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</si>
  <si>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</si>
  <si>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</si>
  <si>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</si>
  <si>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</si>
  <si>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</si>
  <si>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</si>
  <si>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</si>
  <si>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</si>
  <si>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</si>
  <si>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</si>
  <si>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</si>
  <si>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</si>
  <si>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</si>
  <si>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</si>
  <si>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</si>
  <si>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</si>
  <si>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</si>
  <si>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</si>
  <si>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</si>
  <si>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</si>
  <si>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</si>
  <si>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</si>
  <si>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</si>
  <si>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</si>
  <si>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</si>
  <si>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</si>
  <si>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</si>
  <si>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</si>
  <si>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</si>
  <si>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</si>
  <si>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</si>
  <si>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</si>
  <si>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</si>
  <si>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</si>
  <si>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</si>
  <si>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</si>
  <si>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</si>
  <si>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</si>
  <si>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</si>
  <si>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</si>
  <si>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</si>
  <si>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</si>
  <si>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</si>
  <si>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</si>
  <si>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</si>
  <si>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</si>
  <si>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</si>
  <si>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</si>
  <si>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</si>
  <si>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</si>
  <si>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</si>
  <si>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</si>
  <si>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</si>
  <si>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</si>
  <si>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</si>
  <si>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</si>
  <si>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</si>
  <si>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</si>
  <si>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</si>
  <si>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</si>
  <si>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</si>
  <si>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</si>
  <si>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</si>
  <si>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</si>
  <si>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</si>
  <si>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</si>
  <si>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</si>
  <si>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</si>
  <si>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</si>
  <si>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</si>
  <si>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</si>
  <si>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</si>
  <si>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</si>
  <si>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</si>
  <si>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</si>
  <si>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</si>
  <si>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</si>
  <si>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</si>
  <si>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</si>
  <si>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</si>
  <si>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</si>
  <si>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</si>
  <si>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</si>
  <si>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</si>
  <si>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</si>
  <si>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</si>
  <si>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</si>
  <si>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</si>
  <si>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</si>
  <si>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</si>
  <si>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</si>
  <si>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</si>
  <si>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</si>
  <si>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</si>
  <si>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</si>
  <si>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</si>
  <si>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</si>
  <si>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</si>
  <si>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</si>
  <si>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</si>
  <si>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</si>
  <si>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</si>
  <si>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</si>
  <si>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</si>
  <si>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</si>
  <si>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</si>
  <si>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</si>
  <si>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</si>
  <si>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</si>
  <si>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</si>
  <si>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</si>
  <si>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</si>
  <si>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</si>
  <si>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</si>
  <si>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</si>
  <si>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</si>
  <si>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</si>
  <si>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</si>
  <si>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</si>
  <si>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</si>
  <si>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</si>
  <si>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</si>
  <si>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</si>
  <si>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</si>
  <si>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</si>
  <si>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</si>
  <si>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</si>
  <si>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</si>
  <si>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</si>
  <si>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</si>
  <si>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</si>
  <si>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</si>
  <si>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</si>
  <si>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</si>
  <si>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</si>
  <si>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</si>
  <si>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</si>
  <si>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</si>
  <si>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</si>
  <si>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</si>
  <si>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</si>
  <si>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</si>
  <si>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</si>
  <si>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</si>
  <si>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</si>
  <si>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</si>
  <si>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</si>
  <si>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</si>
  <si>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</si>
  <si>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</si>
  <si>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</si>
  <si>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</si>
  <si>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</si>
  <si>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</si>
  <si>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</si>
  <si>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</si>
  <si>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</si>
  <si>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</si>
  <si>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</si>
  <si>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</si>
  <si>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</si>
  <si>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</si>
  <si>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</si>
  <si>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</si>
  <si>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</si>
  <si>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</si>
  <si>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</si>
  <si>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</si>
  <si>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</si>
  <si>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</si>
  <si>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</si>
  <si>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</si>
  <si>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</si>
  <si>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</si>
  <si>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</si>
  <si>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</si>
  <si>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</si>
  <si>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</si>
  <si>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</si>
  <si>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</si>
  <si>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</si>
  <si>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</si>
  <si>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</si>
  <si>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</si>
  <si>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</si>
  <si>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</si>
  <si>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</si>
  <si>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</si>
  <si>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</si>
  <si>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</si>
  <si>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</si>
  <si>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</si>
  <si>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</si>
  <si>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</si>
  <si>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</si>
  <si>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</si>
  <si>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</si>
  <si>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</si>
  <si>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</si>
  <si>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</si>
  <si>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</si>
  <si>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</si>
  <si>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</si>
  <si>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</si>
  <si>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</si>
  <si>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</si>
  <si>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</si>
  <si>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</si>
  <si>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</si>
  <si>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</si>
  <si>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</si>
  <si>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</si>
  <si>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</si>
  <si>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</si>
  <si>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</si>
  <si>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</si>
  <si>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</si>
  <si>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</si>
  <si>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</si>
  <si>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</si>
  <si>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</si>
  <si>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</si>
  <si>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</si>
  <si>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</si>
  <si>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</si>
  <si>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</si>
  <si>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</si>
  <si>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</si>
  <si>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</si>
  <si>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</si>
  <si>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</si>
  <si>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</si>
  <si>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</si>
  <si>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</si>
  <si>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</si>
  <si>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</si>
  <si>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</si>
  <si>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</si>
  <si>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</si>
  <si>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</si>
  <si>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</si>
  <si>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</si>
  <si>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</si>
  <si>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</si>
  <si>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</si>
  <si>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</si>
  <si>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</si>
  <si>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</si>
  <si>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</si>
  <si>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</si>
  <si>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</si>
  <si>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</si>
  <si>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</si>
  <si>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</si>
  <si>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</si>
  <si>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</si>
  <si>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</si>
  <si>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</si>
  <si>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</si>
  <si>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</si>
  <si>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</si>
  <si>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</si>
  <si>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</si>
  <si>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</si>
  <si>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</si>
  <si>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</si>
  <si>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</si>
  <si>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</si>
  <si>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</si>
  <si>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</si>
  <si>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</si>
  <si>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</si>
  <si>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</si>
  <si>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</si>
  <si>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</si>
  <si>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</si>
  <si>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</si>
  <si>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</si>
  <si>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</si>
  <si>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</si>
  <si>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</si>
  <si>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</si>
  <si>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</si>
  <si>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</si>
  <si>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</si>
  <si>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</si>
  <si>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</si>
  <si>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</si>
  <si>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</si>
  <si>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</si>
  <si>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</si>
  <si>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</si>
  <si>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</si>
  <si>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</si>
  <si>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</si>
  <si>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</si>
  <si>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</si>
  <si>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</si>
  <si>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</si>
  <si>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</si>
  <si>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</si>
  <si>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</si>
  <si>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</si>
  <si>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</si>
  <si>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</si>
  <si>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</si>
  <si>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</si>
  <si>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</si>
  <si>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</si>
  <si>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</si>
  <si>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</si>
  <si>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</si>
  <si>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</si>
  <si>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</si>
  <si>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</si>
  <si>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</si>
  <si>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</si>
  <si>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</si>
  <si>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</si>
  <si>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</si>
  <si>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</si>
  <si>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</si>
  <si>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</si>
  <si>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</si>
  <si>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</si>
  <si>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</si>
  <si>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</si>
  <si>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</si>
  <si>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</si>
  <si>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</si>
  <si>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</si>
  <si>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</si>
  <si>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</si>
  <si>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</si>
  <si>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</si>
  <si>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</si>
  <si>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</si>
  <si>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</si>
  <si>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</si>
  <si>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</si>
  <si>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</si>
  <si>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</si>
  <si>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</si>
  <si>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</si>
  <si>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</si>
  <si>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</si>
  <si>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</si>
  <si>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</si>
  <si>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</si>
  <si>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</si>
  <si>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</si>
  <si>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</si>
  <si>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</si>
  <si>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</si>
  <si>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</si>
  <si>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</si>
  <si>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</si>
  <si>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</si>
  <si>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</si>
  <si>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</si>
  <si>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</si>
  <si>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</si>
  <si>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</si>
  <si>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</si>
  <si>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</si>
  <si>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</si>
  <si>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</si>
  <si>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</si>
  <si>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</si>
  <si>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</si>
  <si>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</si>
  <si>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</si>
  <si>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</si>
  <si>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</si>
  <si>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</si>
  <si>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</si>
  <si>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</si>
  <si>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</si>
  <si>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</si>
  <si>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</si>
  <si>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</si>
  <si>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</si>
  <si>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</si>
  <si>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</si>
  <si>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</si>
  <si>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</si>
  <si>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</si>
  <si>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</si>
  <si>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</si>
  <si>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</si>
  <si>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</si>
  <si>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</si>
  <si>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</si>
  <si>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</si>
  <si>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</si>
  <si>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</si>
  <si>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</si>
  <si>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</si>
  <si>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</si>
  <si>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</si>
  <si>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</si>
  <si>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</si>
  <si>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</si>
  <si>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</si>
  <si>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</si>
  <si>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</si>
  <si>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</si>
  <si>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</si>
  <si>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</si>
  <si>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</si>
  <si>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</si>
  <si>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</si>
  <si>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</si>
  <si>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</si>
  <si>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</si>
  <si>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</si>
  <si>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</si>
  <si>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</si>
  <si>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</si>
  <si>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</si>
  <si>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</si>
  <si>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</si>
  <si>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</si>
  <si>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</si>
  <si>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</si>
  <si>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</si>
  <si>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</si>
  <si>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</si>
  <si>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</si>
  <si>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</si>
  <si>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</si>
  <si>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</si>
  <si>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</si>
  <si>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</si>
  <si>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</si>
  <si>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</si>
  <si>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</si>
  <si>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</si>
  <si>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</si>
  <si>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</si>
  <si>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</si>
  <si>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</si>
  <si>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</si>
  <si>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</si>
  <si>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</si>
  <si>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</si>
  <si>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</si>
  <si>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</si>
  <si>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</si>
  <si>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</si>
  <si>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</si>
  <si>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</si>
  <si>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</si>
  <si>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</si>
  <si>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</si>
  <si>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</si>
  <si>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</si>
  <si>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</si>
  <si>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</si>
  <si>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</si>
  <si>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</si>
  <si>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</si>
  <si>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</si>
  <si>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</si>
  <si>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</si>
  <si>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</si>
  <si>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</si>
  <si>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</si>
  <si>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</si>
  <si>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</si>
  <si>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</si>
  <si>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</si>
  <si>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</si>
  <si>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</si>
  <si>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</si>
  <si>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</si>
  <si>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</si>
  <si>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</si>
  <si>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</si>
  <si>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</si>
  <si>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</si>
  <si>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</si>
  <si>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</si>
  <si>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</si>
  <si>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</si>
  <si>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</si>
  <si>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</si>
  <si>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</si>
  <si>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</si>
  <si>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</si>
  <si>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</si>
  <si>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</si>
  <si>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</si>
  <si>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</si>
  <si>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</si>
  <si>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</si>
  <si>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</si>
  <si>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</si>
  <si>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</si>
  <si>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</si>
  <si>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</si>
  <si>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</si>
  <si>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</si>
  <si>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</si>
  <si>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</si>
  <si>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</si>
  <si>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</si>
  <si>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</si>
  <si>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</si>
  <si>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</si>
  <si>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</si>
  <si>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</si>
  <si>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</si>
  <si>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</si>
  <si>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</si>
  <si>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</si>
  <si>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</si>
  <si>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</si>
  <si>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</si>
  <si>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</si>
  <si>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</si>
  <si>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</si>
  <si>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</si>
  <si>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</si>
  <si>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</si>
  <si>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</si>
  <si>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</si>
  <si>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</si>
  <si>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</si>
  <si>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</si>
  <si>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</si>
  <si>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</si>
  <si>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</si>
  <si>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</si>
  <si>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</si>
  <si>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</si>
  <si>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</si>
  <si>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</si>
  <si>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</si>
  <si>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</si>
  <si>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</si>
  <si>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</si>
  <si>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</si>
  <si>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</si>
  <si>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</si>
  <si>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</si>
  <si>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</si>
  <si>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</si>
  <si>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</si>
  <si>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</si>
  <si>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</si>
  <si>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</si>
  <si>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</si>
  <si>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</si>
  <si>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</si>
  <si>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</si>
  <si>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</si>
  <si>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</si>
  <si>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</si>
  <si>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</si>
  <si>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</si>
  <si>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</si>
  <si>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</si>
  <si>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</si>
  <si>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</si>
  <si>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</si>
  <si>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</si>
  <si>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</si>
  <si>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</si>
  <si>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</si>
  <si>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</si>
  <si>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</si>
  <si>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</si>
  <si>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</si>
  <si>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</si>
  <si>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</si>
  <si>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</si>
  <si>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</si>
  <si>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</si>
  <si>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</si>
  <si>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</si>
  <si>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</si>
  <si>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</si>
  <si>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</si>
  <si>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</si>
  <si>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</si>
  <si>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</si>
  <si>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</si>
  <si>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</si>
  <si>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</si>
  <si>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</si>
  <si>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</si>
  <si>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</si>
  <si>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</si>
  <si>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</si>
  <si>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</si>
  <si>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</si>
  <si>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</si>
  <si>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</si>
  <si>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</si>
  <si>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</si>
  <si>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</si>
  <si>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</si>
  <si>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</si>
  <si>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</si>
  <si>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</si>
  <si>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</si>
  <si>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</si>
  <si>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</si>
  <si>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</si>
  <si>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</si>
  <si>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</si>
  <si>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</si>
  <si>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</si>
  <si>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</si>
  <si>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</si>
  <si>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</si>
  <si>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</si>
  <si>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</si>
  <si>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</si>
  <si>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</si>
  <si>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</si>
  <si>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</si>
  <si>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</si>
  <si>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</si>
  <si>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</si>
  <si>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</si>
  <si>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</si>
  <si>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</si>
  <si>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</si>
  <si>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</si>
  <si>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</si>
  <si>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</si>
  <si>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</si>
  <si>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</si>
  <si>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</si>
  <si>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</si>
  <si>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</si>
  <si>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</si>
  <si>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</si>
  <si>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</si>
  <si>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</si>
  <si>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</si>
  <si>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</si>
  <si>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</si>
  <si>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</si>
  <si>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</si>
  <si>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</si>
  <si>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</si>
  <si>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</si>
  <si>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</si>
  <si>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</si>
  <si>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</si>
  <si>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</si>
  <si>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</si>
  <si>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</si>
  <si>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</si>
  <si>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</si>
  <si>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</si>
  <si>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</si>
  <si>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</si>
  <si>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</si>
  <si>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</si>
  <si>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</si>
  <si>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</si>
  <si>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</si>
  <si>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</si>
  <si>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</si>
  <si>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</si>
  <si>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</si>
  <si>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</si>
  <si>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</si>
  <si>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</si>
  <si>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</si>
  <si>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</si>
  <si>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</si>
  <si>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</si>
  <si>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</si>
  <si>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</si>
  <si>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</si>
  <si>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</si>
  <si>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</si>
  <si>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</si>
  <si>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</si>
  <si>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</si>
  <si>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</si>
  <si>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</si>
  <si>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</si>
  <si>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</si>
  <si>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</si>
  <si>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</si>
  <si>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</si>
  <si>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</si>
  <si>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</si>
  <si>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</si>
  <si>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</si>
  <si>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</si>
  <si>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</si>
  <si>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</si>
  <si>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</si>
  <si>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</si>
  <si>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</si>
  <si>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</si>
  <si>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</si>
  <si>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</si>
  <si>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</si>
  <si>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</si>
  <si>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</si>
  <si>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</si>
  <si>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</si>
  <si>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</si>
  <si>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</si>
  <si>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</si>
  <si>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</si>
  <si>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</si>
  <si>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</si>
  <si>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</si>
  <si>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</si>
  <si>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</si>
  <si>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</si>
  <si>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</si>
  <si>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</si>
  <si>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</si>
  <si>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</si>
  <si>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</si>
  <si>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</si>
  <si>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</si>
  <si>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</si>
  <si>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</si>
  <si>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</si>
  <si>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</si>
  <si>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</si>
  <si>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</si>
  <si>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</si>
  <si>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</si>
  <si>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</si>
  <si>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</si>
  <si>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</si>
  <si>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</si>
  <si>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</si>
  <si>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</si>
  <si>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</si>
  <si>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</si>
  <si>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</si>
  <si>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</si>
  <si>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</si>
  <si>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</si>
  <si>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</si>
  <si>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</si>
  <si>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</si>
  <si>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</si>
  <si>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</si>
  <si>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</si>
  <si>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</si>
  <si>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</si>
  <si>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</si>
  <si>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</si>
  <si>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</si>
  <si>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</si>
  <si>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</si>
  <si>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</si>
  <si>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</si>
  <si>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</si>
  <si>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</si>
  <si>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</si>
  <si>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</si>
  <si>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</si>
  <si>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</si>
  <si>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</si>
  <si>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</si>
  <si>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</si>
  <si>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</si>
  <si>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</si>
  <si>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</si>
  <si>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</si>
  <si>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</si>
  <si>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</si>
  <si>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</si>
  <si>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</si>
  <si>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</si>
  <si>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</si>
  <si>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</si>
  <si>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</si>
  <si>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</si>
  <si>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</si>
  <si>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</si>
  <si>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</si>
  <si>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</si>
  <si>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</si>
  <si>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</si>
  <si>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</si>
  <si>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</si>
  <si>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</si>
  <si>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</si>
  <si>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</si>
  <si>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</si>
  <si>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</si>
  <si>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</si>
  <si>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</si>
  <si>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</si>
  <si>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</si>
  <si>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</si>
  <si>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</si>
  <si>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</si>
  <si>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</si>
  <si>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</si>
  <si>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</si>
  <si>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</si>
  <si>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</si>
  <si>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</si>
  <si>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</si>
  <si>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</si>
  <si>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</si>
  <si>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</si>
  <si>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</si>
  <si>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</si>
  <si>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</si>
  <si>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</si>
  <si>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</si>
  <si>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</si>
  <si>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</si>
  <si>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</si>
  <si>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</si>
  <si>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</si>
  <si>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</si>
  <si>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</si>
  <si>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</si>
  <si>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</si>
  <si>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</si>
  <si>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</si>
  <si>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</si>
  <si>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</si>
  <si>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</si>
  <si>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</si>
  <si>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</si>
  <si>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</si>
  <si>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</si>
  <si>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</si>
  <si>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</si>
  <si>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</si>
  <si>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</si>
  <si>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</si>
  <si>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</si>
  <si>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</si>
  <si>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</si>
  <si>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</si>
  <si>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</si>
  <si>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</si>
  <si>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</si>
  <si>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</si>
  <si>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</si>
  <si>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</si>
  <si>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</si>
  <si>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</si>
  <si>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</si>
  <si>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</si>
  <si>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</si>
  <si>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</si>
  <si>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</si>
  <si>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</si>
  <si>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</si>
  <si>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</si>
  <si>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</si>
  <si>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</si>
  <si>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</si>
  <si>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</si>
  <si>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</si>
  <si>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</si>
  <si>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</si>
  <si>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</si>
  <si>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</si>
  <si>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</si>
  <si>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</si>
  <si>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</si>
  <si>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</si>
  <si>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</si>
  <si>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</si>
  <si>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</si>
  <si>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</si>
  <si>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</si>
  <si>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</si>
  <si>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</si>
  <si>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</si>
  <si>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</si>
  <si>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</si>
  <si>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</si>
  <si>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</si>
  <si>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</si>
  <si>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</si>
  <si>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</si>
  <si>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</si>
  <si>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</si>
  <si>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</si>
  <si>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</si>
  <si>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</si>
  <si>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</si>
  <si>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</si>
  <si>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</si>
  <si>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</si>
  <si>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</si>
  <si>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</si>
  <si>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</si>
  <si>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</si>
  <si>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</si>
  <si>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</si>
  <si>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</si>
  <si>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</si>
  <si>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</si>
  <si>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</si>
  <si>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</si>
  <si>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</si>
  <si>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</si>
  <si>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</si>
  <si>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</si>
  <si>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</si>
  <si>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</si>
  <si>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</si>
  <si>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</si>
  <si>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</si>
  <si>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</si>
  <si>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</si>
  <si>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</si>
  <si>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</si>
  <si>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</si>
  <si>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</si>
  <si>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</si>
  <si>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</si>
  <si>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</si>
  <si>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</si>
  <si>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</si>
  <si>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</si>
  <si>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</si>
  <si>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</si>
  <si>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</si>
  <si>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</si>
  <si>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</si>
  <si>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</si>
  <si>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</si>
  <si>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</si>
  <si>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</si>
  <si>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</si>
  <si>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</si>
  <si>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</si>
  <si>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</si>
  <si>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</si>
  <si>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</si>
  <si>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</si>
  <si>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</si>
  <si>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</si>
  <si>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</si>
  <si>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</si>
  <si>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</si>
  <si>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</si>
  <si>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</si>
  <si>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</si>
  <si>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</si>
  <si>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</si>
  <si>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</si>
  <si>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</si>
  <si>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</si>
  <si>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</si>
  <si>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</si>
  <si>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</si>
  <si>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</si>
  <si>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</si>
  <si>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</si>
  <si>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</si>
  <si>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</si>
  <si>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</si>
  <si>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</si>
  <si>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</si>
  <si>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</si>
  <si>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</si>
  <si>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</si>
  <si>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</si>
  <si>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</si>
  <si>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</si>
  <si>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</si>
  <si>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</si>
  <si>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</si>
  <si>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</si>
  <si>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</si>
  <si>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</si>
  <si>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</si>
  <si>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</si>
  <si>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</si>
  <si>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</si>
  <si>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</si>
  <si>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</si>
  <si>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</si>
  <si>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</si>
  <si>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</si>
  <si>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</si>
  <si>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</si>
  <si>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</si>
  <si>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</si>
  <si>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</si>
  <si>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</si>
  <si>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</si>
  <si>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</si>
  <si>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</si>
  <si>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</si>
  <si>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</si>
  <si>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</si>
  <si>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</si>
  <si>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</si>
  <si>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</si>
  <si>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</si>
  <si>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</si>
  <si>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</si>
  <si>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</si>
  <si>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</si>
  <si>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</si>
  <si>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</si>
  <si>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</si>
  <si>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</si>
  <si>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</si>
  <si>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</si>
  <si>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</si>
  <si>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</si>
  <si>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</si>
  <si>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</si>
  <si>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</si>
  <si>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</si>
  <si>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</si>
  <si>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</si>
  <si>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</si>
  <si>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</si>
  <si>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</si>
  <si>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</si>
  <si>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</si>
  <si>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</si>
  <si>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</si>
  <si>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</si>
  <si>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</si>
  <si>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</si>
  <si>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</si>
  <si>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</si>
  <si>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</si>
  <si>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</si>
  <si>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</si>
  <si>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</si>
  <si>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</si>
  <si>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</si>
  <si>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</si>
  <si>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</si>
  <si>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</si>
  <si>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</si>
  <si>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</si>
  <si>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</si>
  <si>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</si>
  <si>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</si>
  <si>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</si>
  <si>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</si>
  <si>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</si>
  <si>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</si>
  <si>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</si>
  <si>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</si>
  <si>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</si>
  <si>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</si>
  <si>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</si>
  <si>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</si>
  <si>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</si>
  <si>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</si>
  <si>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</si>
  <si>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</si>
  <si>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</si>
  <si>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</si>
  <si>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</si>
  <si>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</si>
  <si>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</si>
  <si>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</si>
  <si>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</si>
  <si>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</si>
  <si>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</si>
  <si>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</si>
  <si>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</si>
  <si>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</si>
  <si>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</si>
  <si>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</si>
  <si>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</si>
  <si>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</si>
  <si>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</si>
  <si>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</si>
  <si>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</si>
  <si>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</si>
  <si>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</si>
  <si>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</si>
  <si>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</si>
  <si>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</si>
  <si>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</si>
  <si>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</si>
  <si>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</si>
  <si>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</si>
  <si>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</si>
  <si>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</si>
  <si>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</si>
  <si>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</si>
  <si>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</si>
  <si>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</si>
  <si>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</si>
  <si>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</si>
  <si>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</si>
  <si>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</si>
  <si>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</si>
  <si>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</si>
  <si>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</si>
  <si>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</si>
  <si>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</si>
  <si>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</si>
  <si>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</si>
  <si>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</si>
  <si>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</si>
  <si>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</si>
  <si>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</si>
  <si>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</si>
  <si>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</si>
  <si>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</si>
  <si>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</si>
  <si>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</si>
  <si>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</si>
  <si>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</si>
  <si>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</si>
  <si>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</si>
  <si>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</si>
  <si>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</si>
  <si>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</si>
  <si>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</si>
  <si>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</si>
  <si>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</si>
  <si>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</si>
  <si>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</si>
  <si>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</si>
  <si>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</si>
  <si>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</si>
  <si>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</si>
  <si>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</si>
  <si>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</si>
  <si>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</si>
  <si>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</si>
  <si>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</si>
  <si>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</si>
  <si>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</si>
  <si>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</si>
  <si>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</si>
  <si>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</si>
  <si>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</si>
  <si>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</si>
  <si>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</si>
  <si>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</si>
  <si>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</si>
  <si>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</si>
  <si>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</si>
  <si>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</si>
  <si>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</si>
  <si>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</si>
  <si>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</si>
  <si>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</si>
  <si>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</si>
  <si>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</si>
  <si>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</si>
  <si>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</si>
  <si>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</si>
  <si>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</si>
  <si>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</si>
  <si>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</si>
  <si>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</si>
  <si>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</si>
  <si>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</si>
  <si>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</si>
  <si>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</si>
  <si>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</si>
  <si>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</si>
  <si>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</si>
  <si>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</si>
  <si>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</si>
  <si>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</si>
  <si>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</si>
  <si>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</si>
  <si>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</si>
  <si>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</si>
  <si>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</si>
  <si>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</si>
  <si>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</si>
  <si>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</si>
  <si>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</si>
  <si>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</si>
  <si>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</si>
  <si>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</si>
  <si>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</si>
  <si>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</si>
  <si>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</si>
  <si>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</si>
  <si>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</si>
  <si>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</si>
  <si>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</si>
  <si>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</si>
  <si>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</si>
  <si>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</si>
  <si>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</si>
  <si>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</si>
  <si>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</si>
  <si>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</si>
  <si>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</si>
  <si>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</si>
  <si>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</si>
  <si>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</si>
  <si>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</si>
  <si>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</si>
  <si>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</si>
  <si>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</si>
  <si>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</si>
  <si>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</si>
  <si>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</si>
  <si>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</si>
  <si>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</si>
  <si>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</si>
  <si>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</si>
  <si>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</si>
  <si>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</si>
  <si>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</si>
  <si>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</si>
  <si>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</si>
  <si>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</si>
  <si>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</si>
  <si>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</si>
  <si>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</si>
  <si>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</si>
  <si>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</si>
  <si>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</si>
  <si>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</si>
  <si>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</si>
  <si>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</si>
  <si>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</si>
  <si>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</si>
  <si>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</si>
  <si>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</si>
  <si>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</si>
  <si>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</si>
  <si>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</si>
  <si>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</si>
  <si>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</si>
  <si>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</si>
  <si>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</si>
  <si>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</si>
  <si>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</si>
  <si>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</si>
  <si>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</si>
  <si>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</si>
  <si>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</si>
  <si>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</si>
  <si>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</si>
  <si>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</si>
  <si>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</si>
  <si>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</si>
  <si>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</si>
  <si>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</si>
  <si>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</si>
  <si>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</si>
  <si>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</si>
  <si>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</si>
  <si>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</si>
  <si>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</si>
  <si>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</si>
  <si>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</si>
  <si>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</si>
  <si>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</si>
  <si>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</si>
  <si>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</si>
  <si>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</si>
  <si>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</si>
  <si>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</si>
  <si>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</si>
  <si>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</si>
  <si>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</si>
  <si>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</si>
  <si>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</si>
  <si>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</si>
  <si>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</si>
  <si>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</si>
  <si>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</si>
  <si>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</si>
  <si>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</si>
  <si>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</si>
  <si>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</si>
  <si>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</si>
  <si>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</si>
  <si>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</si>
  <si>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</si>
  <si>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</si>
  <si>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</si>
  <si>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</si>
  <si>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</si>
  <si>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</si>
  <si>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</si>
  <si>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</si>
  <si>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</si>
  <si>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</si>
  <si>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</si>
  <si>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</si>
  <si>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</si>
  <si>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</si>
  <si>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</si>
  <si>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</si>
  <si>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</si>
  <si>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</si>
  <si>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</si>
  <si>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</si>
  <si>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</si>
  <si>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</si>
  <si>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</si>
  <si>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</si>
  <si>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</si>
  <si>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</si>
  <si>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</si>
  <si>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</si>
  <si>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</si>
  <si>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</si>
  <si>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</si>
  <si>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</si>
  <si>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</si>
  <si>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</si>
  <si>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</si>
  <si>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</si>
  <si>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</si>
  <si>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</si>
  <si>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</si>
  <si>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</si>
  <si>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</si>
  <si>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</si>
  <si>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</si>
  <si>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</si>
  <si>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</si>
  <si>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</si>
  <si>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</si>
  <si>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</si>
  <si>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</si>
  <si>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</si>
  <si>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</si>
  <si>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</si>
  <si>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</si>
  <si>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</si>
  <si>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</si>
  <si>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</si>
  <si>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</si>
  <si>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</si>
  <si>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</si>
  <si>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</si>
  <si>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</si>
  <si>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</si>
  <si>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</si>
  <si>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</si>
  <si>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</si>
  <si>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</si>
  <si>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</si>
  <si>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</si>
  <si>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</si>
  <si>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</si>
  <si>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</si>
  <si>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</si>
  <si>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</si>
  <si>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</si>
  <si>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</si>
  <si>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</si>
  <si>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</si>
  <si>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</si>
  <si>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</si>
  <si>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</si>
  <si>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</si>
  <si>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</si>
  <si>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</si>
  <si>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</si>
  <si>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</si>
  <si>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</si>
  <si>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</si>
  <si>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</si>
  <si>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</si>
  <si>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</si>
  <si>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</si>
  <si>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</si>
  <si>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</si>
  <si>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</si>
  <si>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</si>
  <si>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</si>
  <si>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</si>
  <si>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</si>
  <si>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</si>
  <si>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</si>
  <si>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</si>
  <si>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</si>
  <si>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</si>
  <si>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</si>
  <si>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</si>
  <si>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</si>
  <si>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</si>
  <si>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</si>
  <si>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</si>
  <si>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</si>
  <si>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</si>
  <si>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</si>
  <si>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</si>
  <si>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</si>
  <si>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</si>
  <si>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</si>
  <si>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</si>
  <si>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</si>
  <si>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</si>
  <si>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</si>
  <si>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</si>
  <si>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</si>
  <si>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</si>
  <si>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</si>
  <si>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</si>
  <si>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</si>
  <si>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</si>
  <si>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</si>
  <si>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</si>
  <si>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</si>
  <si>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</si>
  <si>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</si>
  <si>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</si>
  <si>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</si>
  <si>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</si>
  <si>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</si>
  <si>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</si>
  <si>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</si>
  <si>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</si>
  <si>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</si>
  <si>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</si>
  <si>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</si>
  <si>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</si>
  <si>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</si>
  <si>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</si>
  <si>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</si>
  <si>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</si>
  <si>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</si>
  <si>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</si>
  <si>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</si>
  <si>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</si>
  <si>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</si>
  <si>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</si>
  <si>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</si>
  <si>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</si>
  <si>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</si>
  <si>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</si>
  <si>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</si>
  <si>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</si>
  <si>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</si>
  <si>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</si>
  <si>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</si>
  <si>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</si>
  <si>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</si>
  <si>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</si>
  <si>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</si>
  <si>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</si>
  <si>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</si>
  <si>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</si>
  <si>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</si>
  <si>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</si>
  <si>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</si>
  <si>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</si>
  <si>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</si>
  <si>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</si>
  <si>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</si>
  <si>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</si>
  <si>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</si>
  <si>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</si>
  <si>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</si>
  <si>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</si>
  <si>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</si>
  <si>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</si>
  <si>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</si>
  <si>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</si>
  <si>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</si>
  <si>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</si>
  <si>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</si>
  <si>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</si>
  <si>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</si>
  <si>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</si>
  <si>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</si>
  <si>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</si>
  <si>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</si>
  <si>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</si>
  <si>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</si>
  <si>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</si>
  <si>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</si>
  <si>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</si>
  <si>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</si>
  <si>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</si>
  <si>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</si>
  <si>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</si>
  <si>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</si>
  <si>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</si>
  <si>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</si>
  <si>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</si>
  <si>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</si>
  <si>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</si>
  <si>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</si>
  <si>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</si>
  <si>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</si>
  <si>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</si>
  <si>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</si>
  <si>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</si>
  <si>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</si>
  <si>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</si>
  <si>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</si>
  <si>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</si>
  <si>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</si>
  <si>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</si>
  <si>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</si>
  <si>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</si>
  <si>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</si>
  <si>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</si>
  <si>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</si>
  <si>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</si>
  <si>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</si>
  <si>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</si>
  <si>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</si>
  <si>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</si>
  <si>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</si>
  <si>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</si>
  <si>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</si>
  <si>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</si>
  <si>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</si>
  <si>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</si>
  <si>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</si>
  <si>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</si>
  <si>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</si>
  <si>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</si>
  <si>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</si>
  <si>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</si>
  <si>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</si>
  <si>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</si>
  <si>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</si>
  <si>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</si>
  <si>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</si>
  <si>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</si>
  <si>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</si>
  <si>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</si>
  <si>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</si>
  <si>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</si>
  <si>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</si>
  <si>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</si>
  <si>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</si>
  <si>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</si>
  <si>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</si>
  <si>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</si>
  <si>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</si>
  <si>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</si>
  <si>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</si>
  <si>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</si>
  <si>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</si>
  <si>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</si>
  <si>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</si>
  <si>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</si>
  <si>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</si>
  <si>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</si>
  <si>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</si>
  <si>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</si>
  <si>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</si>
  <si>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</si>
  <si>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</si>
  <si>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</si>
  <si>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</si>
  <si>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</si>
  <si>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</si>
  <si>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</si>
  <si>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</si>
  <si>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</si>
  <si>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</si>
  <si>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</si>
  <si>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</si>
  <si>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</si>
  <si>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</si>
  <si>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</si>
  <si>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</si>
  <si>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</si>
  <si>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</si>
  <si>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</si>
  <si>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</si>
  <si>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</si>
  <si>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</si>
  <si>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</si>
  <si>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</si>
  <si>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</si>
  <si>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</si>
  <si>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</si>
  <si>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</si>
  <si>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</si>
  <si>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</si>
  <si>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</si>
  <si>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</si>
  <si>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</si>
  <si>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</si>
  <si>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</si>
  <si>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</si>
  <si>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</si>
  <si>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</si>
  <si>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</si>
  <si>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</si>
  <si>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</si>
  <si>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</si>
  <si>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</si>
  <si>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</si>
  <si>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</si>
  <si>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</si>
  <si>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</si>
  <si>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</si>
  <si>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</si>
  <si>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</si>
  <si>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</si>
  <si>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</si>
  <si>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</si>
  <si>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</si>
  <si>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</si>
  <si>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</si>
  <si>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</si>
  <si>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</si>
  <si>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</si>
  <si>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</si>
  <si>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</si>
  <si>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</si>
  <si>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</si>
  <si>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</si>
  <si>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</si>
  <si>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</si>
  <si>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</si>
  <si>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</si>
  <si>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</si>
  <si>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</si>
  <si>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</si>
  <si>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</si>
  <si>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</si>
  <si>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</si>
  <si>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</si>
  <si>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</si>
  <si>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</si>
  <si>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</si>
  <si>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</si>
  <si>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</si>
  <si>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</si>
  <si>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</si>
  <si>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</si>
  <si>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</si>
  <si>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</si>
  <si>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</si>
  <si>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</si>
  <si>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</si>
  <si>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</si>
  <si>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</si>
  <si>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</si>
  <si>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</si>
  <si>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</si>
  <si>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</si>
  <si>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</si>
  <si>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</si>
  <si>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</si>
  <si>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</si>
  <si>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</si>
  <si>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</si>
  <si>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</si>
  <si>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</si>
  <si>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</si>
  <si>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</si>
  <si>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</si>
  <si>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</si>
  <si>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</si>
  <si>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</si>
  <si>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</si>
  <si>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</si>
  <si>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</si>
  <si>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</si>
  <si>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</si>
  <si>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</si>
  <si>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</si>
  <si>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</si>
  <si>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</si>
  <si>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</si>
  <si>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</si>
  <si>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</si>
  <si>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</si>
  <si>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</si>
  <si>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</si>
  <si>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</si>
  <si>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</si>
  <si>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</si>
  <si>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</si>
  <si>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</si>
  <si>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</si>
  <si>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</si>
  <si>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</si>
  <si>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</si>
  <si>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</si>
  <si>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</si>
  <si>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</si>
  <si>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</si>
  <si>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</si>
  <si>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</si>
  <si>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</si>
  <si>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</si>
  <si>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</si>
  <si>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</si>
  <si>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</si>
  <si>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</si>
  <si>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</si>
  <si>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</si>
  <si>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</si>
  <si>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</si>
  <si>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</si>
  <si>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</si>
  <si>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</si>
  <si>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</si>
  <si>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</si>
  <si>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</si>
  <si>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</si>
  <si>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</si>
  <si>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</si>
  <si>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</si>
  <si>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</si>
  <si>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</si>
  <si>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</si>
  <si>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</si>
  <si>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</si>
  <si>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</si>
  <si>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</si>
  <si>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</si>
  <si>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</si>
  <si>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</si>
  <si>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</si>
  <si>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</si>
  <si>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</si>
  <si>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</si>
  <si>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</si>
  <si>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</si>
  <si>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</si>
  <si>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</si>
  <si>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</si>
  <si>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</si>
  <si>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</si>
  <si>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</si>
  <si>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</si>
  <si>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</si>
  <si>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</si>
  <si>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</si>
  <si>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</si>
  <si>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</si>
  <si>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</si>
  <si>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</si>
  <si>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</si>
  <si>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</si>
  <si>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</si>
  <si>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</si>
  <si>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</si>
  <si>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</si>
  <si>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</si>
  <si>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</si>
  <si>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</si>
  <si>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</si>
  <si>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</si>
  <si>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</si>
  <si>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</si>
  <si>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</si>
  <si>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</si>
  <si>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</si>
  <si>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</si>
  <si>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</si>
  <si>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</si>
  <si>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</si>
  <si>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</si>
  <si>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</si>
  <si>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</si>
  <si>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</si>
  <si>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</si>
  <si>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</si>
  <si>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</si>
  <si>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</si>
  <si>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</si>
  <si>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</si>
  <si>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</si>
  <si>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</si>
  <si>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</si>
  <si>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</si>
  <si>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</si>
  <si>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</si>
  <si>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</si>
  <si>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</si>
  <si>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</si>
  <si>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</si>
  <si>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</si>
  <si>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</si>
  <si>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</si>
  <si>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</si>
  <si>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</si>
  <si>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</si>
  <si>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</si>
  <si>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</si>
  <si>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</si>
  <si>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</si>
  <si>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</si>
  <si>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</si>
  <si>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</si>
  <si>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</si>
  <si>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</si>
  <si>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</si>
  <si>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</si>
  <si>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</si>
  <si>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</si>
  <si>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</si>
  <si>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</si>
  <si>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</si>
  <si>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</si>
  <si>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</si>
  <si>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</si>
  <si>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</si>
  <si>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</si>
  <si>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</si>
  <si>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</si>
  <si>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</si>
  <si>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</si>
  <si>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</si>
  <si>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</si>
  <si>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</si>
  <si>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</si>
  <si>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</si>
  <si>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</si>
  <si>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</si>
  <si>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</si>
  <si>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</si>
  <si>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</si>
  <si>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</si>
  <si>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</si>
  <si>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</si>
  <si>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</si>
  <si>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</si>
  <si>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</si>
  <si>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</si>
  <si>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</si>
  <si>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</si>
  <si>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</si>
  <si>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</si>
  <si>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</si>
  <si>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</si>
  <si>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</si>
  <si>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</si>
  <si>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</si>
  <si>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</si>
  <si>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</si>
  <si>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</si>
  <si>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</si>
  <si>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</si>
  <si>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</si>
  <si>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</si>
  <si>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</si>
  <si>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</si>
  <si>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</si>
  <si>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</si>
  <si>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</si>
  <si>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</si>
  <si>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</si>
  <si>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</si>
  <si>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</si>
  <si>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</si>
  <si>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</si>
  <si>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</si>
  <si>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</si>
  <si>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</si>
  <si>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</si>
  <si>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</si>
  <si>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</si>
  <si>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</si>
  <si>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</si>
  <si>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</si>
  <si>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</si>
  <si>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</si>
  <si>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</si>
  <si>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</si>
  <si>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</si>
  <si>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</si>
  <si>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</si>
  <si>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</si>
  <si>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</si>
  <si>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</si>
  <si>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</si>
  <si>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</si>
  <si>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</si>
  <si>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</si>
  <si>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</si>
  <si>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</si>
  <si>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</si>
  <si>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</si>
  <si>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</si>
  <si>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</si>
  <si>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</si>
  <si>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</si>
  <si>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</si>
  <si>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</si>
  <si>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</si>
  <si>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</si>
  <si>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</si>
  <si>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</si>
  <si>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</si>
  <si>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</si>
  <si>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</si>
  <si>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</si>
  <si>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</si>
  <si>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</si>
  <si>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</si>
  <si>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</si>
  <si>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</si>
  <si>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</si>
  <si>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</si>
  <si>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</si>
  <si>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</si>
  <si>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</si>
  <si>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</si>
  <si>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</si>
  <si>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</si>
  <si>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</si>
  <si>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</si>
  <si>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</si>
  <si>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</si>
  <si>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</si>
  <si>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</si>
  <si>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</si>
  <si>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</si>
  <si>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</si>
  <si>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</si>
  <si>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</si>
  <si>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</si>
  <si>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</si>
  <si>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</si>
  <si>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</si>
  <si>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</si>
  <si>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</si>
  <si>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</si>
  <si>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</si>
  <si>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</si>
  <si>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</si>
  <si>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</si>
  <si>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</si>
  <si>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</si>
  <si>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</si>
  <si>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</si>
  <si>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</si>
  <si>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</si>
  <si>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</si>
  <si>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</si>
  <si>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</si>
  <si>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</si>
  <si>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</si>
  <si>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</si>
  <si>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</si>
  <si>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</si>
  <si>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</si>
  <si>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</si>
  <si>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</si>
  <si>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</si>
  <si>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</si>
  <si>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</si>
  <si>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</si>
  <si>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</si>
  <si>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</si>
  <si>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</si>
  <si>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</si>
  <si>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</si>
  <si>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</si>
  <si>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</si>
  <si>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</si>
  <si>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</si>
  <si>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</si>
  <si>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</si>
  <si>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</si>
  <si>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</si>
  <si>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</si>
  <si>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</si>
  <si>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</si>
  <si>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</si>
  <si>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</si>
  <si>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</si>
  <si>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</si>
  <si>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</si>
  <si>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</si>
  <si>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</si>
  <si>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</si>
  <si>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</si>
  <si>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</si>
  <si>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</si>
  <si>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</si>
  <si>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</si>
  <si>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</si>
  <si>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</si>
  <si>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</si>
  <si>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</si>
  <si>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</si>
  <si>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</si>
  <si>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</si>
  <si>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</si>
  <si>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</si>
  <si>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</si>
  <si>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</si>
  <si>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</si>
  <si>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</si>
  <si>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</si>
  <si>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</si>
  <si>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</si>
  <si>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</si>
  <si>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</si>
  <si>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</si>
  <si>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</si>
  <si>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</si>
  <si>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</si>
  <si>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</si>
  <si>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</si>
  <si>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</si>
  <si>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</si>
  <si>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</si>
  <si>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</si>
  <si>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</si>
  <si>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</si>
  <si>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</si>
  <si>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</si>
  <si>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</si>
  <si>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</si>
  <si>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</si>
  <si>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</si>
  <si>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</si>
  <si>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</si>
  <si>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</si>
  <si>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</si>
  <si>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</si>
  <si>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</si>
  <si>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</si>
  <si>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</si>
  <si>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</si>
  <si>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</si>
  <si>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</si>
  <si>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</si>
  <si>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</si>
  <si>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</si>
  <si>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</si>
  <si>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</si>
  <si>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</si>
  <si>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</si>
  <si>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</si>
  <si>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</si>
  <si>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</si>
  <si>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</si>
  <si>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</si>
  <si>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</si>
  <si>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</si>
  <si>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</si>
  <si>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</si>
  <si>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</si>
  <si>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</si>
  <si>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</si>
  <si>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</si>
  <si>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</si>
  <si>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</si>
  <si>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</si>
  <si>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</si>
  <si>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</si>
  <si>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</si>
  <si>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</si>
  <si>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</si>
  <si>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</si>
  <si>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</si>
  <si>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</si>
  <si>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</si>
  <si>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</si>
  <si>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</si>
  <si>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</si>
  <si>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</si>
  <si>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</si>
  <si>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</si>
  <si>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</si>
  <si>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</si>
  <si>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</si>
  <si>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</si>
  <si>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</si>
  <si>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</si>
  <si>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</si>
  <si>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</si>
  <si>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</si>
  <si>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</si>
  <si>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</si>
  <si>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</si>
  <si>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</si>
  <si>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</si>
  <si>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</si>
  <si>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</si>
  <si>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</si>
  <si>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</si>
  <si>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</si>
  <si>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</si>
  <si>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</si>
  <si>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</si>
  <si>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</si>
  <si>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</si>
  <si>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</si>
  <si>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</si>
  <si>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</si>
  <si>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</si>
  <si>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</si>
  <si>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</si>
  <si>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</si>
  <si>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</si>
  <si>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</si>
  <si>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</si>
  <si>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</si>
  <si>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</si>
  <si>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</si>
  <si>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</si>
  <si>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</si>
  <si>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</si>
  <si>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</si>
  <si>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</si>
  <si>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</si>
  <si>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</si>
  <si>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</si>
  <si>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</si>
  <si>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</si>
  <si>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</si>
  <si>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</si>
  <si>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</si>
  <si>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</si>
  <si>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</si>
  <si>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</si>
  <si>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</si>
  <si>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</si>
  <si>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</si>
  <si>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</si>
  <si>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</si>
  <si>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</si>
  <si>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</si>
  <si>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</si>
  <si>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</si>
  <si>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</si>
  <si>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</si>
  <si>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</si>
  <si>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</si>
  <si>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</si>
  <si>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</si>
  <si>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</si>
  <si>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</si>
  <si>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</si>
  <si>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</si>
  <si>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</si>
  <si>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</si>
  <si>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</si>
  <si>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</si>
  <si>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</si>
  <si>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</si>
  <si>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</si>
  <si>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</si>
  <si>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</si>
  <si>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</si>
  <si>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</si>
  <si>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</si>
  <si>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</si>
  <si>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</si>
  <si>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</si>
  <si>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</si>
  <si>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</si>
  <si>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</si>
  <si>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</si>
  <si>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</si>
  <si>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</si>
  <si>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</si>
  <si>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</si>
  <si>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</si>
  <si>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</si>
  <si>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</si>
  <si>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</si>
  <si>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</si>
  <si>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</si>
  <si>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</si>
  <si>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</si>
  <si>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</si>
  <si>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</si>
  <si>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</si>
  <si>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</si>
  <si>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</si>
  <si>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</si>
  <si>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</si>
  <si>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</si>
  <si>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</si>
  <si>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</si>
  <si>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</si>
  <si>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</si>
  <si>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</si>
  <si>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</si>
  <si>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</si>
  <si>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</si>
  <si>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</si>
  <si>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</si>
  <si>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</si>
  <si>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</si>
  <si>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</si>
  <si>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</si>
  <si>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</si>
  <si>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</si>
  <si>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</si>
  <si>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</si>
  <si>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</si>
  <si>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</si>
  <si>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</si>
  <si>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</si>
  <si>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</si>
  <si>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</si>
  <si>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</si>
  <si>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</si>
  <si>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</si>
  <si>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</si>
  <si>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</si>
  <si>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</si>
  <si>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</si>
  <si>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</si>
  <si>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</si>
  <si>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</si>
  <si>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</si>
  <si>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</si>
  <si>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</si>
  <si>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</si>
  <si>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</si>
  <si>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</si>
  <si>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</si>
  <si>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</si>
  <si>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</si>
  <si>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</si>
  <si>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</si>
  <si>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</si>
  <si>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</si>
  <si>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</si>
  <si>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</si>
  <si>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</si>
  <si>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</si>
  <si>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</si>
  <si>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</si>
  <si>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</si>
  <si>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</si>
  <si>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</si>
  <si>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</si>
  <si>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</si>
  <si>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</si>
  <si>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</si>
  <si>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</si>
  <si>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</si>
  <si>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</si>
  <si>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</si>
  <si>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</si>
  <si>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</si>
  <si>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</si>
  <si>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</si>
  <si>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</si>
  <si>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</si>
  <si>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</si>
  <si>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</si>
  <si>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</si>
  <si>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</si>
  <si>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</si>
  <si>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</si>
  <si>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</si>
  <si>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</si>
  <si>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</si>
  <si>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</si>
  <si>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</si>
  <si>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</si>
  <si>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</si>
  <si>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</si>
  <si>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</si>
  <si>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</si>
  <si>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</si>
  <si>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</si>
  <si>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</si>
  <si>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</si>
  <si>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</si>
  <si>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</si>
  <si>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</si>
  <si>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</si>
  <si>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</si>
  <si>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</si>
  <si>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</si>
  <si>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</si>
  <si>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</si>
  <si>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</si>
  <si>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</si>
  <si>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</si>
  <si>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</si>
  <si>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</si>
  <si>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</si>
  <si>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</si>
  <si>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</si>
  <si>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</si>
  <si>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</si>
  <si>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</si>
  <si>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</si>
  <si>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</si>
  <si>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</si>
  <si>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</si>
  <si>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</si>
  <si>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</si>
  <si>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</si>
  <si>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</si>
  <si>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</si>
  <si>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</si>
  <si>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</si>
  <si>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</si>
  <si>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</si>
  <si>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</si>
  <si>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</si>
  <si>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</si>
  <si>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</si>
  <si>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</si>
  <si>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</si>
  <si>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</si>
  <si>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</si>
  <si>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</si>
  <si>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</si>
  <si>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</si>
  <si>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</si>
  <si>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</si>
  <si>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</si>
  <si>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</si>
  <si>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</si>
  <si>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</si>
  <si>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</si>
  <si>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</si>
  <si>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</si>
  <si>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</si>
  <si>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</si>
  <si>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</si>
  <si>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</si>
  <si>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</si>
  <si>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</si>
  <si>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</si>
  <si>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</si>
  <si>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</si>
  <si>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</si>
  <si>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</si>
  <si>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</si>
  <si>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</si>
  <si>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</si>
  <si>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</si>
  <si>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</si>
  <si>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</si>
  <si>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</si>
  <si>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</si>
  <si>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</si>
  <si>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</si>
  <si>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</si>
  <si>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</si>
  <si>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</si>
  <si>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</si>
  <si>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</si>
  <si>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</si>
  <si>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</si>
  <si>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</si>
  <si>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</si>
  <si>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</si>
  <si>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</si>
  <si>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</si>
  <si>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</si>
  <si>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</si>
  <si>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</si>
  <si>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</si>
  <si>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</si>
  <si>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</si>
  <si>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</si>
  <si>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</si>
  <si>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</si>
  <si>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</si>
  <si>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</si>
  <si>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</si>
  <si>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</si>
  <si>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</si>
  <si>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</si>
  <si>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</si>
  <si>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</si>
  <si>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</si>
  <si>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</si>
  <si>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</si>
  <si>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</si>
  <si>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</si>
  <si>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</si>
  <si>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</si>
  <si>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</si>
  <si>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</si>
  <si>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</si>
  <si>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</si>
  <si>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</si>
  <si>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</si>
  <si>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</si>
  <si>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</si>
  <si>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</si>
  <si>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</si>
  <si>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</si>
  <si>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</si>
  <si>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</si>
  <si>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</si>
  <si>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</si>
  <si>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</si>
  <si>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</si>
  <si>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</si>
  <si>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</si>
  <si>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</si>
  <si>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</si>
  <si>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</si>
  <si>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</si>
  <si>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</si>
  <si>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</si>
  <si>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</si>
  <si>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</si>
  <si>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</si>
  <si>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</si>
  <si>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</si>
  <si>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</si>
  <si>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</si>
  <si>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</si>
  <si>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</si>
  <si>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</si>
  <si>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</si>
  <si>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</si>
  <si>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</si>
  <si>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</si>
  <si>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</si>
  <si>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</si>
  <si>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</si>
  <si>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</si>
  <si>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</si>
  <si>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</si>
  <si>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</si>
  <si>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</si>
  <si>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</si>
  <si>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</si>
  <si>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</si>
  <si>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</si>
  <si>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</si>
  <si>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</si>
  <si>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</si>
  <si>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</si>
  <si>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</si>
  <si>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</si>
  <si>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</si>
  <si>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</si>
  <si>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</si>
  <si>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</si>
  <si>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</si>
  <si>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</si>
  <si>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</si>
  <si>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</si>
  <si>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</si>
  <si>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</si>
  <si>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</si>
  <si>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</si>
  <si>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</si>
  <si>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</si>
  <si>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</si>
  <si>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</si>
  <si>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</si>
  <si>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</si>
  <si>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</si>
  <si>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</si>
  <si>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</si>
  <si>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</si>
  <si>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</si>
  <si>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</si>
  <si>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</si>
  <si>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</si>
  <si>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</si>
  <si>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</si>
  <si>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</si>
  <si>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</si>
  <si>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</si>
  <si>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</si>
  <si>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</si>
  <si>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</si>
  <si>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</si>
  <si>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</si>
  <si>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</si>
  <si>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</si>
  <si>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</si>
  <si>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</si>
  <si>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</si>
  <si>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</si>
  <si>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</si>
  <si>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</si>
  <si>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</si>
  <si>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</si>
  <si>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</si>
  <si>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</si>
  <si>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</si>
  <si>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</si>
  <si>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</si>
  <si>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</si>
  <si>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</si>
  <si>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</si>
  <si>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</si>
  <si>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</si>
  <si>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</si>
  <si>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</si>
  <si>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</si>
  <si>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</si>
  <si>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</si>
  <si>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</si>
  <si>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</si>
  <si>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</si>
  <si>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</si>
  <si>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</si>
  <si>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</si>
  <si>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</si>
  <si>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</si>
  <si>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</si>
  <si>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</si>
  <si>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</si>
  <si>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</si>
  <si>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</si>
  <si>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</si>
  <si>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</si>
  <si>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</si>
  <si>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</si>
  <si>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</si>
  <si>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</si>
  <si>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</si>
  <si>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</si>
  <si>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</si>
  <si>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</si>
  <si>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</si>
  <si>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</si>
  <si>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</si>
  <si>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</si>
  <si>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</si>
  <si>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</si>
  <si>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</si>
  <si>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</si>
  <si>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</si>
  <si>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</si>
  <si>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</si>
  <si>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</si>
  <si>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</si>
  <si>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</si>
  <si>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</si>
  <si>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</si>
  <si>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</si>
  <si>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</si>
  <si>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</si>
  <si>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</si>
  <si>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</si>
  <si>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</si>
  <si>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</si>
  <si>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</si>
  <si>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</si>
  <si>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</si>
  <si>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</si>
  <si>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</si>
  <si>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</si>
  <si>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</si>
  <si>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</si>
  <si>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</si>
  <si>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</si>
  <si>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</si>
  <si>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</si>
  <si>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</si>
  <si>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</si>
  <si>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</si>
  <si>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</si>
  <si>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</si>
  <si>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</si>
  <si>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</si>
  <si>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</si>
  <si>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</si>
  <si>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</si>
  <si>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</si>
  <si>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</si>
  <si>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</si>
  <si>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</si>
  <si>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</si>
  <si>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</si>
  <si>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</si>
  <si>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</si>
  <si>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</si>
  <si>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</si>
  <si>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</si>
  <si>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</si>
  <si>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</si>
  <si>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</si>
  <si>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</si>
  <si>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</si>
  <si>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</si>
  <si>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</si>
  <si>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</si>
  <si>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</si>
  <si>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</si>
  <si>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</si>
  <si>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</si>
  <si>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</si>
  <si>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</si>
  <si>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</si>
  <si>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</si>
  <si>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</si>
  <si>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</si>
  <si>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</si>
  <si>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</si>
  <si>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</si>
  <si>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</si>
  <si>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</si>
  <si>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</si>
  <si>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</si>
  <si>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</si>
  <si>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</si>
  <si>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</si>
  <si>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</si>
  <si>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</si>
  <si>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</si>
  <si>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</si>
  <si>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</si>
  <si>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</si>
  <si>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</si>
  <si>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</si>
  <si>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</si>
  <si>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</si>
  <si>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</si>
  <si>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</si>
  <si>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</si>
  <si>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</si>
  <si>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</si>
  <si>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</si>
  <si>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</si>
  <si>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</si>
  <si>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</si>
  <si>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</si>
  <si>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</si>
  <si>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</si>
  <si>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</si>
  <si>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</si>
  <si>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</si>
  <si>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</si>
  <si>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</si>
  <si>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</si>
  <si>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</si>
  <si>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</si>
  <si>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</si>
  <si>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</si>
  <si>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</si>
  <si>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</si>
  <si>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</si>
  <si>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</si>
  <si>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</si>
  <si>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</si>
  <si>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</si>
  <si>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</si>
  <si>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</si>
  <si>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</si>
  <si>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</si>
  <si>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</si>
  <si>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</si>
  <si>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</si>
  <si>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</si>
  <si>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</si>
  <si>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</si>
  <si>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</si>
  <si>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</si>
  <si>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</si>
  <si>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</si>
  <si>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</si>
  <si>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</si>
  <si>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</si>
  <si>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</si>
  <si>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</si>
  <si>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</si>
  <si>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</si>
  <si>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</si>
  <si>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</si>
  <si>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</si>
  <si>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</si>
  <si>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</si>
  <si>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</si>
  <si>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</si>
  <si>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</si>
  <si>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</si>
  <si>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</si>
  <si>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</si>
  <si>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</si>
  <si>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</si>
  <si>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</si>
  <si>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</si>
  <si>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</si>
  <si>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</si>
  <si>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</si>
  <si>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</si>
  <si>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</si>
  <si>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</si>
  <si>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</si>
  <si>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</si>
  <si>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</si>
  <si>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</si>
  <si>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</si>
  <si>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</si>
  <si>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</si>
  <si>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</si>
  <si>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</si>
  <si>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</si>
  <si>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</si>
  <si>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</si>
  <si>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</si>
  <si>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</si>
  <si>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</si>
  <si>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</si>
  <si>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</si>
  <si>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</si>
  <si>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</si>
  <si>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</si>
  <si>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</si>
  <si>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</si>
  <si>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</si>
  <si>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</si>
  <si>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</si>
  <si>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</si>
  <si>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</si>
  <si>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</si>
  <si>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</si>
  <si>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</si>
  <si>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</si>
  <si>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</si>
  <si>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</si>
  <si>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</si>
  <si>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</si>
  <si>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</si>
  <si>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</si>
  <si>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</si>
  <si>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</si>
  <si>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</si>
  <si>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</si>
  <si>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</si>
  <si>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</si>
  <si>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</si>
  <si>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</si>
  <si>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</si>
  <si>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</si>
  <si>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</si>
  <si>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</si>
  <si>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</si>
  <si>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</si>
  <si>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</si>
  <si>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</si>
  <si>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</si>
  <si>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</si>
  <si>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</si>
  <si>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</si>
  <si>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</si>
  <si>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</si>
  <si>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</si>
  <si>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</si>
  <si>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</si>
  <si>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</si>
  <si>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</si>
  <si>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</si>
  <si>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</si>
  <si>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</si>
  <si>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</si>
  <si>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</si>
  <si>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</si>
  <si>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</si>
  <si>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</si>
  <si>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</si>
  <si>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</si>
  <si>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</si>
  <si>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</si>
  <si>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</si>
  <si>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</si>
  <si>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</si>
  <si>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</si>
  <si>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</si>
  <si>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</si>
  <si>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</si>
  <si>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</si>
  <si>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</si>
  <si>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</si>
  <si>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</si>
  <si>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</si>
  <si>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</si>
  <si>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</si>
  <si>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</si>
  <si>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</si>
  <si>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</si>
  <si>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</si>
  <si>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</si>
  <si>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</si>
  <si>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</si>
  <si>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</si>
  <si>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</si>
  <si>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</si>
  <si>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</si>
  <si>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</si>
  <si>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</si>
  <si>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</si>
  <si>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</si>
  <si>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</si>
  <si>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</si>
  <si>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</si>
  <si>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</si>
  <si>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</si>
  <si>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</si>
  <si>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</si>
  <si>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</si>
  <si>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</si>
  <si>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</si>
  <si>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</si>
  <si>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</si>
  <si>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</si>
  <si>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</si>
  <si>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</si>
  <si>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</si>
  <si>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</si>
  <si>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</si>
  <si>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</si>
  <si>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</si>
  <si>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</si>
  <si>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</si>
  <si>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</si>
  <si>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</si>
  <si>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</si>
  <si>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</si>
  <si>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</si>
  <si>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</si>
  <si>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</si>
  <si>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</si>
  <si>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</si>
  <si>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</si>
  <si>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</si>
  <si>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</si>
  <si>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</si>
  <si>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</si>
  <si>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</si>
  <si>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</si>
  <si>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</si>
  <si>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</si>
  <si>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</si>
  <si>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</si>
  <si>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</si>
  <si>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</si>
  <si>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</si>
  <si>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</si>
  <si>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</si>
  <si>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</si>
  <si>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</si>
  <si>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</si>
  <si>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</si>
  <si>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</si>
  <si>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</si>
  <si>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</si>
  <si>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</si>
  <si>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</si>
  <si>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</si>
  <si>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</si>
  <si>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</si>
  <si>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</si>
  <si>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</si>
  <si>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</si>
  <si>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</si>
  <si>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</si>
  <si>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</si>
  <si>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</si>
  <si>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</si>
  <si>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</si>
  <si>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</si>
  <si>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</si>
  <si>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</si>
  <si>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</si>
  <si>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</si>
  <si>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</si>
  <si>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</si>
  <si>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</si>
  <si>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</si>
  <si>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</si>
  <si>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</si>
  <si>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</si>
  <si>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</si>
  <si>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</si>
  <si>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</si>
  <si>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</si>
  <si>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</si>
  <si>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</si>
  <si>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</si>
  <si>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</si>
  <si>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</si>
  <si>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</si>
  <si>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</si>
  <si>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</si>
  <si>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</si>
  <si>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</si>
  <si>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</si>
  <si>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</si>
  <si>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</si>
  <si>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</si>
  <si>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</si>
  <si>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</si>
  <si>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</si>
  <si>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</si>
  <si>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</si>
  <si>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</si>
  <si>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</si>
  <si>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</si>
  <si>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</si>
  <si>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</si>
  <si>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</si>
  <si>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</si>
  <si>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</si>
  <si>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</si>
  <si>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</si>
  <si>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</si>
  <si>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</si>
  <si>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</si>
  <si>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</si>
  <si>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</si>
  <si>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</si>
  <si>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</si>
  <si>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</si>
  <si>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</si>
  <si>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</si>
  <si>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</si>
  <si>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</si>
  <si>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</si>
  <si>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</si>
  <si>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</si>
  <si>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</si>
  <si>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</si>
  <si>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</si>
  <si>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</si>
  <si>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</si>
  <si>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</si>
  <si>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</si>
  <si>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</si>
  <si>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</si>
  <si>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</si>
  <si>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</si>
  <si>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</si>
  <si>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</si>
  <si>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</si>
  <si>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</si>
  <si>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</si>
  <si>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</si>
  <si>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</si>
  <si>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</si>
  <si>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</si>
  <si>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</si>
  <si>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</si>
  <si>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</si>
  <si>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</si>
  <si>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</si>
  <si>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</si>
  <si>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</si>
  <si>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</si>
  <si>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</si>
  <si>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</si>
  <si>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</si>
  <si>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</si>
  <si>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</si>
  <si>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</si>
  <si>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</si>
  <si>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</si>
  <si>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</si>
  <si>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</si>
  <si>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</si>
  <si>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</si>
  <si>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</si>
  <si>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</si>
  <si>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</si>
  <si>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</si>
  <si>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</si>
  <si>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</si>
  <si>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</si>
  <si>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</si>
  <si>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</si>
  <si>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</si>
  <si>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</si>
  <si>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</si>
  <si>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</si>
  <si>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</si>
  <si>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</si>
  <si>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</si>
  <si>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</si>
  <si>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</si>
  <si>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</si>
  <si>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</si>
  <si>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</si>
  <si>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</si>
  <si>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</si>
  <si>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</si>
  <si>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</si>
  <si>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</si>
  <si>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</si>
  <si>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</si>
  <si>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</si>
  <si>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</si>
  <si>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</si>
  <si>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</si>
  <si>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</si>
  <si>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</si>
  <si>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</si>
  <si>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</si>
  <si>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</si>
  <si>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</si>
  <si>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</si>
  <si>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</si>
  <si>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</si>
  <si>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</si>
  <si>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</si>
  <si>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</si>
  <si>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</si>
  <si>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</si>
  <si>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</si>
  <si>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</si>
  <si>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</si>
  <si>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</si>
  <si>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</si>
  <si>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</si>
  <si>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</si>
  <si>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</si>
  <si>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</si>
  <si>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</si>
  <si>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</si>
  <si>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</si>
  <si>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</si>
  <si>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</si>
  <si>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</si>
  <si>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</si>
  <si>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</si>
  <si>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</si>
  <si>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</si>
  <si>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</si>
  <si>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</si>
  <si>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</si>
  <si>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</si>
  <si>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</si>
  <si>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</si>
  <si>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</si>
  <si>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</si>
  <si>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</si>
  <si>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</si>
  <si>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</si>
  <si>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</si>
  <si>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</si>
  <si>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</si>
  <si>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</si>
  <si>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</si>
  <si>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</si>
  <si>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</si>
  <si>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</si>
  <si>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</si>
  <si>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</si>
  <si>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</si>
  <si>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</si>
  <si>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</si>
  <si>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</si>
  <si>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</si>
  <si>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</si>
  <si>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</si>
  <si>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</si>
  <si>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</si>
  <si>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</si>
  <si>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</si>
  <si>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</si>
  <si>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</si>
  <si>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</si>
  <si>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</si>
  <si>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</si>
  <si>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</si>
  <si>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</si>
  <si>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</si>
  <si>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</si>
  <si>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</si>
  <si>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</si>
  <si>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</si>
  <si>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</si>
  <si>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</si>
  <si>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</si>
  <si>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</si>
  <si>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</si>
  <si>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</si>
  <si>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</si>
  <si>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</si>
  <si>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</si>
  <si>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</si>
  <si>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</si>
  <si>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</si>
  <si>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</si>
  <si>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</si>
  <si>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</si>
  <si>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</si>
  <si>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</si>
  <si>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</si>
  <si>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</si>
  <si>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</si>
  <si>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</si>
  <si>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</si>
  <si>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</si>
  <si>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</si>
  <si>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</si>
  <si>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</si>
  <si>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</si>
  <si>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</si>
  <si>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</si>
  <si>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</si>
  <si>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</si>
  <si>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</si>
  <si>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</si>
  <si>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</si>
  <si>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</si>
  <si>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</si>
  <si>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</si>
  <si>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</si>
  <si>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</si>
  <si>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</si>
  <si>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</si>
  <si>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</si>
  <si>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</si>
  <si>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</si>
  <si>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</si>
  <si>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</si>
  <si>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</si>
  <si>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</si>
  <si>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</si>
  <si>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</si>
  <si>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</si>
  <si>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</si>
  <si>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</si>
  <si>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</si>
  <si>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</si>
  <si>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</si>
  <si>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</si>
  <si>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</si>
  <si>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</si>
  <si>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</si>
  <si>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</si>
  <si>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</si>
  <si>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</si>
  <si>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</si>
  <si>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</si>
  <si>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</si>
  <si>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</si>
  <si>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</si>
  <si>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</si>
  <si>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</si>
  <si>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</si>
  <si>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</si>
  <si>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</si>
  <si>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</si>
  <si>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</si>
  <si>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</si>
  <si>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</si>
  <si>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</si>
  <si>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</si>
  <si>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</si>
  <si>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</si>
  <si>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</si>
  <si>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</si>
  <si>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</si>
  <si>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</si>
  <si>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</si>
  <si>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</si>
  <si>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</si>
  <si>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</si>
  <si>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</si>
  <si>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</si>
  <si>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</si>
  <si>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</si>
  <si>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</si>
  <si>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</si>
  <si>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</si>
  <si>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</si>
  <si>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</si>
  <si>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</si>
  <si>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</si>
  <si>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</si>
  <si>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</si>
  <si>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</si>
  <si>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</si>
  <si>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</si>
  <si>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</si>
  <si>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</si>
  <si>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</si>
  <si>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</si>
  <si>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</si>
  <si>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</si>
  <si>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</si>
  <si>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</si>
  <si>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</si>
  <si>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</si>
  <si>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</si>
  <si>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</si>
  <si>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</si>
  <si>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</si>
  <si>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</si>
  <si>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</si>
  <si>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</si>
  <si>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</si>
  <si>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</si>
  <si>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</si>
  <si>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</si>
  <si>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</si>
  <si>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</si>
  <si>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</si>
  <si>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</si>
  <si>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</si>
  <si>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</si>
  <si>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</si>
  <si>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</si>
  <si>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</si>
  <si>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</si>
  <si>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</si>
  <si>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</si>
  <si>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</si>
  <si>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</si>
  <si>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</si>
  <si>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</si>
  <si>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</si>
  <si>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</si>
  <si>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</si>
  <si>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</si>
  <si>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</si>
  <si>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</si>
  <si>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</si>
  <si>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</si>
  <si>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</si>
  <si>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</si>
  <si>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</si>
  <si>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</si>
  <si>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</si>
  <si>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</si>
  <si>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</si>
  <si>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</si>
  <si>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</si>
  <si>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</si>
  <si>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</si>
  <si>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</si>
  <si>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</si>
  <si>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</si>
  <si>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</si>
  <si>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</si>
  <si>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</si>
  <si>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</si>
  <si>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</si>
  <si>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</si>
  <si>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</si>
  <si>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</si>
  <si>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</si>
  <si>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</si>
  <si>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</si>
  <si>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</si>
  <si>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</si>
  <si>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</si>
  <si>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</si>
  <si>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</si>
  <si>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</si>
  <si>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</si>
  <si>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</si>
  <si>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</si>
  <si>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</si>
  <si>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</si>
  <si>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</si>
  <si>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</si>
  <si>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</si>
  <si>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</si>
  <si>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</si>
  <si>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</si>
  <si>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</si>
  <si>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</si>
  <si>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</si>
  <si>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</si>
  <si>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</si>
  <si>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</si>
  <si>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</si>
  <si>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</si>
  <si>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</si>
  <si>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</si>
  <si>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</si>
  <si>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</si>
  <si>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</si>
  <si>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</si>
  <si>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</si>
  <si>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</si>
  <si>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</si>
  <si>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</si>
  <si>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</si>
  <si>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</si>
  <si>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</si>
  <si>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</si>
  <si>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</si>
  <si>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</si>
  <si>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</si>
  <si>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</si>
  <si>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</si>
  <si>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</si>
  <si>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</si>
  <si>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</si>
  <si>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</si>
  <si>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</si>
  <si>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</si>
  <si>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</si>
  <si>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</si>
  <si>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</si>
  <si>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</si>
  <si>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</si>
  <si>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</si>
  <si>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</si>
  <si>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</si>
  <si>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</si>
  <si>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</si>
  <si>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</si>
  <si>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</si>
  <si>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</si>
  <si>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</si>
  <si>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</si>
  <si>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</si>
  <si>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</si>
  <si>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</si>
  <si>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</si>
  <si>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</si>
  <si>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</si>
  <si>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</si>
  <si>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</si>
  <si>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</si>
  <si>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</si>
  <si>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</si>
  <si>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</si>
  <si>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</si>
  <si>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</si>
  <si>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</si>
  <si>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</si>
  <si>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</si>
  <si>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</si>
  <si>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</si>
  <si>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</si>
  <si>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</si>
  <si>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</si>
  <si>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</si>
  <si>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</si>
  <si>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</si>
  <si>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</si>
  <si>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</si>
  <si>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</si>
  <si>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</si>
  <si>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</si>
  <si>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</si>
  <si>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</si>
  <si>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</si>
  <si>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</si>
  <si>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</si>
  <si>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</si>
  <si>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</si>
  <si>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</si>
  <si>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</si>
  <si>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</si>
  <si>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</si>
  <si>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</si>
  <si>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</si>
  <si>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</si>
  <si>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</si>
  <si>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</si>
  <si>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</si>
  <si>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</si>
  <si>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</si>
  <si>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</si>
  <si>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</si>
  <si>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</si>
  <si>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</si>
  <si>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</si>
  <si>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</si>
  <si>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</si>
  <si>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</si>
  <si>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</si>
  <si>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</si>
  <si>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</si>
  <si>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</si>
  <si>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</si>
  <si>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</si>
  <si>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</si>
  <si>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</si>
  <si>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</si>
  <si>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</si>
  <si>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</si>
  <si>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</si>
  <si>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</si>
  <si>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</si>
  <si>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</si>
  <si>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</si>
  <si>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</si>
  <si>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</si>
  <si>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</si>
  <si>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</si>
  <si>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</si>
  <si>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</si>
  <si>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</si>
  <si>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</si>
  <si>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</si>
  <si>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</si>
  <si>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</si>
  <si>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</si>
  <si>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</si>
  <si>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</si>
  <si>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</si>
  <si>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</si>
  <si>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</si>
  <si>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</si>
  <si>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</si>
  <si>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</si>
  <si>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</si>
  <si>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</si>
  <si>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</si>
  <si>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</si>
  <si>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</si>
  <si>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</si>
  <si>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</si>
  <si>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</si>
  <si>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</si>
  <si>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</si>
  <si>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</si>
  <si>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</si>
  <si>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</si>
  <si>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</si>
  <si>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</si>
  <si>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</si>
  <si>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</si>
  <si>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</si>
  <si>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</si>
  <si>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</si>
  <si>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</si>
  <si>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</si>
  <si>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</si>
  <si>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</si>
  <si>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</si>
  <si>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</si>
  <si>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</si>
  <si>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</si>
  <si>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</si>
  <si>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</si>
  <si>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</si>
  <si>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</si>
  <si>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</si>
  <si>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</si>
  <si>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</si>
  <si>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</si>
  <si>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</si>
  <si>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</si>
  <si>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</si>
  <si>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</si>
  <si>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</si>
  <si>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</si>
  <si>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</si>
  <si>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</si>
  <si>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</si>
  <si>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</si>
  <si>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</si>
  <si>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</si>
  <si>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</si>
  <si>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</si>
  <si>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</si>
  <si>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</si>
  <si>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</si>
  <si>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</si>
  <si>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</si>
  <si>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</si>
  <si>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</si>
  <si>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</si>
  <si>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</si>
  <si>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</si>
  <si>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</si>
  <si>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</si>
  <si>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</si>
  <si>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</si>
  <si>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</si>
  <si>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</si>
  <si>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</si>
  <si>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</si>
  <si>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</si>
  <si>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</si>
  <si>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</si>
  <si>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</si>
  <si>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</si>
  <si>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</si>
  <si>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</si>
  <si>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</si>
  <si>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</si>
  <si>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</si>
  <si>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</si>
  <si>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</si>
  <si>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</si>
  <si>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</si>
  <si>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</si>
  <si>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</si>
  <si>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</si>
  <si>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</si>
  <si>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</si>
  <si>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</si>
  <si>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</si>
  <si>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</si>
  <si>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</si>
  <si>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</si>
  <si>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</si>
  <si>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</si>
  <si>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</si>
  <si>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</si>
  <si>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</si>
  <si>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</si>
  <si>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</si>
  <si>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</si>
  <si>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</si>
  <si>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</si>
  <si>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</si>
  <si>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</si>
  <si>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</si>
  <si>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</si>
  <si>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</si>
  <si>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</si>
  <si>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</si>
  <si>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</si>
  <si>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</si>
  <si>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</si>
  <si>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</si>
  <si>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</si>
  <si>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</si>
  <si>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</si>
  <si>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</si>
  <si>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</si>
  <si>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</si>
  <si>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</si>
  <si>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</si>
  <si>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</si>
  <si>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</si>
  <si>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</si>
  <si>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</si>
  <si>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</si>
  <si>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</si>
  <si>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</si>
  <si>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</si>
  <si>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</si>
  <si>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</si>
  <si>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</si>
  <si>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</si>
  <si>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</si>
  <si>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</si>
  <si>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</si>
  <si>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</si>
  <si>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</si>
  <si>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</si>
  <si>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</si>
  <si>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</si>
  <si>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</si>
  <si>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</si>
  <si>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</si>
  <si>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</si>
  <si>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</si>
  <si>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</si>
  <si>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</si>
  <si>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</si>
  <si>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</si>
  <si>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</si>
  <si>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</si>
  <si>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</si>
  <si>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</si>
  <si>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</si>
  <si>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</si>
  <si>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</si>
  <si>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</si>
  <si>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</si>
  <si>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</si>
  <si>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</si>
  <si>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</si>
  <si>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</si>
  <si>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</si>
  <si>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</si>
  <si>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</si>
  <si>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</si>
  <si>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</si>
  <si>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</si>
  <si>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</si>
  <si>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</si>
  <si>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</si>
  <si>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</si>
  <si>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</si>
  <si>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</si>
  <si>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</si>
  <si>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</si>
  <si>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</si>
  <si>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</si>
  <si>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</si>
  <si>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</si>
  <si>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</si>
  <si>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</si>
  <si>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</si>
  <si>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</si>
  <si>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</si>
  <si>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</si>
  <si>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</si>
  <si>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</si>
  <si>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</si>
  <si>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</si>
  <si>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</si>
  <si>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</si>
  <si>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</si>
  <si>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</si>
  <si>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</si>
  <si>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</si>
  <si>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</si>
  <si>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</si>
  <si>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</si>
  <si>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</si>
  <si>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</si>
  <si>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</si>
  <si>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</si>
  <si>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</si>
  <si>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</si>
  <si>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</si>
  <si>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</si>
  <si>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</si>
  <si>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</si>
  <si>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</si>
  <si>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</si>
  <si>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</si>
  <si>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</si>
  <si>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</si>
  <si>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</si>
  <si>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</si>
  <si>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</si>
  <si>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</si>
  <si>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</si>
  <si>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</si>
  <si>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</si>
  <si>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</si>
  <si>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</si>
  <si>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</si>
  <si>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</si>
  <si>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</si>
  <si>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</si>
  <si>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</si>
  <si>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</si>
  <si>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</si>
  <si>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</si>
  <si>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</si>
  <si>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</si>
  <si>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</si>
  <si>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</si>
  <si>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</si>
  <si>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</si>
  <si>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</si>
  <si>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</si>
  <si>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</si>
  <si>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</si>
  <si>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</si>
  <si>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</si>
  <si>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</si>
  <si>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</si>
  <si>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</si>
  <si>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</si>
  <si>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</si>
  <si>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</si>
  <si>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</si>
  <si>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</si>
  <si>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</si>
  <si>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</si>
  <si>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</si>
  <si>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</si>
  <si>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</si>
  <si>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</si>
  <si>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</si>
  <si>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</si>
  <si>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</si>
  <si>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</si>
  <si>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</si>
  <si>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</si>
  <si>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</si>
  <si>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</si>
  <si>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</si>
  <si>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</si>
  <si>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</si>
  <si>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</si>
  <si>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</si>
  <si>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</si>
  <si>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</si>
  <si>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</si>
  <si>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</si>
  <si>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</si>
  <si>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</si>
  <si>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</si>
  <si>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</si>
  <si>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</si>
  <si>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</si>
  <si>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</si>
  <si>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</si>
  <si>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</si>
  <si>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</si>
  <si>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</si>
  <si>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</si>
  <si>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</si>
  <si>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</si>
  <si>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</si>
  <si>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</si>
  <si>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</si>
  <si>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</si>
  <si>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</si>
  <si>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</si>
  <si>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</si>
  <si>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</si>
  <si>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</si>
  <si>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</si>
  <si>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</si>
  <si>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</si>
  <si>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</si>
  <si>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</si>
  <si>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</si>
  <si>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</si>
  <si>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</si>
  <si>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</si>
  <si>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</si>
  <si>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</si>
  <si>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</si>
  <si>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</si>
  <si>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</si>
  <si>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</si>
  <si>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</si>
  <si>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</si>
  <si>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</si>
  <si>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</si>
  <si>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</si>
  <si>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</si>
  <si>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</si>
  <si>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</si>
  <si>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</si>
  <si>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</si>
  <si>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</si>
  <si>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</si>
  <si>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</si>
  <si>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</si>
  <si>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</si>
  <si>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</si>
  <si>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</si>
  <si>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</si>
  <si>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</si>
  <si>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</si>
  <si>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</si>
  <si>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</si>
  <si>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</si>
  <si>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</si>
  <si>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</si>
  <si>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</si>
  <si>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</si>
  <si>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</si>
  <si>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</si>
  <si>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</si>
  <si>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</si>
  <si>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</si>
  <si>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</si>
  <si>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</si>
  <si>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</si>
  <si>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</si>
  <si>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</si>
  <si>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</si>
  <si>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</si>
  <si>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</si>
  <si>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</si>
  <si>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</si>
  <si>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</si>
  <si>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</si>
  <si>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</si>
  <si>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</si>
  <si>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</si>
  <si>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</si>
  <si>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</si>
  <si>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</si>
  <si>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</si>
  <si>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</si>
  <si>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</si>
  <si>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</si>
  <si>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</si>
  <si>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</si>
  <si>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</si>
  <si>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</si>
  <si>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</si>
  <si>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</si>
  <si>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</si>
  <si>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</si>
  <si>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</si>
  <si>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</si>
  <si>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</si>
  <si>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</si>
  <si>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</si>
  <si>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</si>
  <si>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</si>
  <si>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</si>
  <si>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</si>
  <si>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</si>
  <si>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</si>
  <si>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</si>
  <si>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</si>
  <si>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</si>
  <si>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</si>
  <si>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</si>
  <si>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</si>
  <si>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</si>
  <si>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</si>
  <si>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</si>
  <si>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</si>
  <si>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</si>
  <si>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</si>
  <si>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</si>
  <si>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</si>
  <si>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</si>
  <si>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</si>
  <si>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</si>
  <si>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</si>
  <si>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</si>
  <si>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</si>
  <si>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</si>
  <si>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</si>
  <si>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</si>
  <si>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</si>
  <si>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</si>
  <si>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</si>
  <si>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</si>
  <si>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</si>
  <si>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</si>
  <si>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</si>
  <si>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</si>
  <si>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</si>
  <si>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</si>
  <si>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</si>
  <si>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</si>
  <si>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</si>
  <si>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</si>
  <si>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</si>
  <si>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</si>
  <si>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</si>
  <si>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</si>
  <si>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</si>
  <si>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</si>
  <si>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</si>
  <si>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</si>
  <si>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</si>
  <si>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</si>
  <si>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</si>
  <si>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</si>
  <si>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</si>
  <si>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</si>
  <si>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</si>
  <si>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</si>
  <si>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</si>
  <si>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</si>
  <si>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</si>
  <si>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</si>
  <si>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</si>
  <si>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</si>
  <si>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</si>
  <si>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</si>
  <si>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</si>
  <si>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</si>
  <si>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</si>
  <si>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</si>
  <si>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</si>
  <si>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</si>
  <si>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</si>
  <si>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</si>
  <si>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</si>
  <si>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</si>
  <si>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</si>
  <si>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</si>
  <si>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</si>
  <si>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</si>
  <si>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</si>
  <si>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</si>
  <si>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</si>
  <si>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</si>
  <si>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</si>
  <si>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</si>
  <si>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</si>
  <si>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</si>
  <si>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</si>
  <si>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</si>
  <si>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</si>
  <si>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</si>
  <si>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</si>
  <si>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</si>
  <si>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</si>
  <si>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</si>
  <si>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</si>
  <si>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</si>
  <si>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</si>
  <si>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</si>
  <si>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</si>
  <si>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</si>
  <si>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</si>
  <si>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</si>
  <si>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</si>
  <si>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</si>
  <si>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</si>
  <si>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</si>
  <si>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</si>
  <si>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</si>
  <si>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</si>
  <si>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</si>
  <si>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</si>
  <si>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</si>
  <si>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</si>
  <si>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</si>
  <si>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</si>
  <si>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</si>
  <si>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</si>
  <si>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</si>
  <si>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</si>
  <si>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</si>
  <si>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</si>
  <si>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</si>
  <si>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</si>
  <si>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</si>
  <si>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</si>
  <si>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</si>
  <si>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</si>
  <si>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</si>
  <si>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</si>
  <si>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</si>
  <si>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</si>
  <si>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</si>
  <si>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</si>
  <si>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</si>
  <si>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</si>
  <si>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</si>
  <si>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</si>
  <si>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</si>
  <si>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</si>
  <si>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</si>
  <si>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</si>
  <si>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</si>
  <si>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</si>
  <si>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</si>
  <si>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</si>
  <si>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</si>
  <si>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</si>
  <si>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</si>
  <si>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</si>
  <si>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</si>
  <si>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</si>
  <si>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</si>
  <si>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</si>
  <si>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</si>
  <si>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</si>
  <si>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</si>
  <si>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</si>
  <si>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</si>
  <si>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</si>
  <si>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</si>
  <si>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</si>
  <si>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</si>
  <si>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</si>
  <si>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</si>
  <si>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</si>
  <si>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</si>
  <si>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</si>
  <si>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</si>
  <si>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</si>
  <si>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</si>
  <si>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</si>
  <si>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</si>
  <si>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</si>
  <si>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</si>
  <si>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</si>
  <si>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</si>
  <si>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</si>
  <si>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</si>
  <si>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</si>
  <si>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</si>
  <si>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</si>
  <si>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</si>
  <si>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</si>
  <si>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</si>
  <si>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</si>
  <si>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</si>
  <si>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</si>
  <si>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</si>
  <si>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</si>
  <si>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</si>
  <si>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</si>
  <si>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</si>
  <si>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</si>
  <si>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</si>
  <si>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</si>
  <si>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</si>
  <si>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</si>
  <si>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</si>
  <si>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</si>
  <si>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</si>
  <si>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</si>
  <si>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</si>
  <si>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</si>
  <si>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</si>
  <si>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</si>
  <si>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</si>
  <si>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</si>
  <si>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</si>
  <si>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</si>
  <si>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</si>
  <si>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</si>
  <si>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</si>
  <si>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</si>
  <si>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</si>
  <si>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</si>
  <si>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</si>
  <si>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</si>
  <si>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</si>
  <si>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</si>
  <si>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</si>
  <si>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</si>
  <si>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</si>
  <si>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</si>
  <si>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</si>
  <si>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</si>
  <si>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</si>
  <si>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</si>
  <si>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</si>
  <si>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</si>
  <si>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</si>
  <si>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</si>
  <si>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</si>
  <si>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</si>
  <si>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</si>
  <si>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</si>
  <si>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</si>
  <si>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</si>
  <si>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</si>
  <si>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</si>
  <si>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</si>
  <si>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</si>
  <si>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</si>
  <si>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</si>
  <si>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</si>
  <si>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</si>
  <si>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</si>
  <si>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</si>
  <si>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</si>
  <si>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</si>
  <si>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</si>
  <si>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</si>
  <si>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</si>
  <si>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</si>
  <si>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</si>
  <si>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</si>
  <si>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</si>
  <si>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</si>
  <si>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</si>
  <si>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</si>
  <si>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</si>
  <si>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</si>
  <si>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</si>
  <si>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</si>
  <si>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</si>
  <si>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</si>
  <si>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</si>
  <si>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</si>
  <si>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</si>
  <si>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</si>
  <si>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</si>
  <si>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</si>
  <si>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</si>
  <si>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</si>
  <si>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</si>
  <si>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</si>
  <si>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</si>
  <si>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</si>
  <si>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</si>
  <si>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</si>
  <si>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</si>
  <si>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</si>
  <si>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</si>
  <si>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</si>
  <si>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</si>
  <si>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</si>
  <si>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</si>
  <si>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</si>
  <si>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</si>
  <si>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</si>
  <si>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</si>
  <si>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</si>
  <si>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</si>
  <si>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</si>
  <si>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</si>
  <si>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</si>
  <si>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</si>
  <si>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</si>
  <si>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</si>
  <si>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</si>
  <si>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</si>
  <si>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</si>
  <si>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</si>
  <si>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</si>
  <si>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</si>
  <si>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</si>
  <si>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</si>
  <si>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</si>
  <si>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</si>
  <si>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</si>
  <si>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</si>
  <si>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</si>
  <si>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</si>
  <si>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</si>
  <si>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</si>
  <si>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</si>
  <si>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</si>
  <si>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</si>
  <si>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</si>
  <si>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</si>
  <si>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</si>
  <si>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</si>
  <si>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</si>
  <si>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</si>
  <si>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</si>
  <si>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</si>
  <si>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</si>
  <si>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</si>
  <si>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</si>
  <si>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</si>
  <si>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</si>
  <si>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</si>
  <si>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</si>
  <si>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</si>
  <si>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</si>
  <si>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</si>
  <si>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</si>
  <si>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</si>
  <si>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</si>
  <si>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</si>
  <si>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</si>
  <si>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</si>
  <si>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</si>
  <si>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</si>
  <si>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</si>
  <si>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</si>
  <si>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</si>
  <si>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</si>
  <si>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</si>
  <si>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</si>
  <si>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</si>
  <si>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</si>
  <si>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</si>
  <si>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</si>
  <si>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</si>
  <si>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</si>
  <si>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</si>
  <si>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</si>
  <si>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</si>
  <si>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</si>
  <si>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</si>
  <si>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</si>
  <si>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</si>
  <si>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</si>
  <si>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</si>
  <si>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</si>
  <si>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</si>
  <si>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</si>
  <si>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</si>
  <si>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</si>
  <si>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</si>
  <si>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</si>
  <si>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</si>
  <si>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</si>
  <si>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</si>
  <si>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</si>
  <si>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</si>
  <si>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</si>
  <si>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</si>
  <si>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</si>
  <si>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</si>
  <si>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</si>
  <si>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</si>
  <si>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</si>
  <si>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</si>
  <si>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</si>
  <si>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</si>
  <si>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</si>
  <si>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</si>
  <si>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</si>
  <si>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</si>
  <si>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</si>
  <si>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</si>
  <si>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</si>
  <si>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</si>
  <si>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</si>
  <si>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</si>
  <si>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</si>
  <si>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</si>
  <si>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</si>
  <si>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</si>
  <si>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</si>
  <si>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</si>
  <si>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</si>
  <si>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</si>
  <si>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</si>
  <si>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</si>
  <si>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</si>
  <si>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</si>
  <si>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</si>
  <si>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</si>
  <si>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</si>
  <si>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</si>
  <si>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</si>
  <si>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</si>
  <si>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</si>
  <si>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</si>
  <si>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</si>
  <si>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</si>
  <si>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</si>
  <si>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</si>
  <si>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</si>
  <si>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</si>
  <si>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</si>
  <si>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</si>
  <si>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</si>
  <si>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</si>
  <si>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</si>
  <si>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</si>
  <si>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</si>
  <si>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</si>
  <si>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</si>
  <si>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</si>
  <si>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</si>
  <si>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</si>
  <si>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</si>
  <si>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</si>
  <si>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</si>
  <si>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</si>
  <si>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</si>
  <si>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</si>
  <si>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</si>
  <si>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</si>
  <si>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</si>
  <si>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</si>
  <si>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</si>
  <si>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</si>
  <si>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</si>
  <si>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</si>
  <si>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</si>
  <si>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</si>
  <si>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</si>
  <si>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</si>
  <si>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</si>
  <si>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</si>
  <si>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</si>
  <si>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</si>
  <si>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</si>
  <si>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</si>
  <si>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</si>
  <si>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</si>
  <si>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</si>
  <si>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</si>
  <si>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</si>
  <si>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</si>
  <si>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</si>
  <si>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</si>
  <si>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</si>
  <si>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</si>
  <si>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</si>
  <si>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</si>
  <si>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</si>
  <si>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</si>
  <si>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</si>
  <si>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</si>
  <si>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</si>
  <si>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</si>
  <si>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</si>
  <si>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</si>
  <si>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</si>
  <si>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</si>
  <si>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</si>
  <si>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</si>
  <si>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</si>
  <si>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</si>
  <si>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</si>
  <si>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</si>
  <si>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</si>
  <si>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</si>
  <si>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</si>
  <si>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</si>
  <si>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</si>
  <si>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</si>
  <si>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</si>
  <si>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</si>
  <si>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</si>
  <si>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</si>
  <si>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</si>
  <si>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</si>
  <si>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</si>
  <si>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</si>
  <si>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</si>
  <si>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</si>
  <si>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</si>
  <si>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</si>
  <si>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</si>
  <si>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</si>
  <si>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</si>
  <si>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</si>
  <si>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</si>
  <si>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</si>
  <si>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</si>
  <si>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</si>
  <si>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</si>
  <si>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</si>
  <si>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</si>
  <si>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</si>
  <si>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</si>
  <si>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</si>
  <si>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</si>
  <si>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</si>
  <si>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</si>
  <si>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</si>
  <si>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</si>
  <si>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</si>
  <si>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</si>
  <si>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</si>
  <si>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</si>
  <si>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</si>
  <si>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</si>
  <si>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</si>
  <si>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</si>
  <si>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</si>
  <si>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</si>
  <si>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</si>
  <si>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</si>
  <si>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</si>
  <si>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</si>
  <si>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</si>
  <si>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</si>
  <si>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</si>
  <si>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</si>
  <si>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</si>
  <si>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</si>
  <si>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</si>
  <si>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</si>
  <si>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</si>
  <si>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</si>
  <si>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</si>
  <si>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</si>
  <si>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</si>
  <si>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</si>
  <si>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</si>
  <si>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</si>
  <si>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</si>
  <si>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</si>
  <si>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</si>
  <si>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</si>
  <si>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</si>
  <si>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</si>
  <si>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</si>
  <si>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</si>
  <si>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</si>
  <si>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</si>
  <si>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</si>
  <si>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</si>
  <si>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</si>
  <si>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</si>
  <si>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</si>
  <si>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</si>
  <si>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</si>
  <si>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</si>
  <si>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</si>
  <si>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</si>
  <si>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</si>
  <si>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</si>
  <si>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</si>
  <si>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</si>
  <si>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</si>
  <si>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</si>
  <si>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</si>
  <si>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</si>
  <si>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</si>
  <si>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</si>
  <si>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</si>
  <si>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</si>
  <si>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</si>
  <si>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</si>
  <si>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</si>
  <si>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</si>
  <si>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</si>
  <si>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</si>
  <si>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</si>
  <si>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</si>
  <si>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</si>
  <si>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</si>
  <si>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</si>
  <si>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</si>
  <si>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</si>
  <si>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</si>
  <si>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</si>
  <si>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</si>
  <si>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</si>
  <si>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</si>
  <si>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</si>
  <si>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</si>
  <si>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</si>
  <si>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</si>
  <si>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</si>
  <si>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</si>
  <si>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</si>
  <si>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</si>
  <si>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</si>
  <si>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</si>
  <si>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</si>
  <si>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</si>
  <si>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</si>
  <si>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</si>
  <si>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</si>
  <si>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</si>
  <si>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</si>
  <si>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</si>
  <si>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</si>
  <si>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</si>
  <si>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</si>
  <si>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</si>
  <si>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</si>
  <si>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</si>
  <si>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</si>
  <si>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</si>
  <si>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</si>
  <si>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</si>
  <si>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</si>
  <si>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</si>
  <si>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</si>
  <si>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</si>
  <si>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</si>
  <si>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</si>
  <si>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</si>
  <si>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</si>
  <si>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</si>
  <si>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</si>
  <si>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</si>
  <si>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</si>
  <si>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</si>
  <si>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</si>
  <si>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</si>
  <si>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</si>
  <si>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</si>
  <si>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</si>
  <si>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</si>
  <si>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</si>
  <si>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</si>
  <si>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</si>
  <si>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</si>
  <si>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</si>
  <si>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</si>
  <si>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</si>
  <si>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</si>
  <si>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</si>
  <si>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</si>
  <si>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</si>
  <si>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</si>
  <si>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</si>
  <si>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</si>
  <si>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</si>
  <si>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</si>
  <si>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</si>
  <si>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</si>
  <si>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</si>
  <si>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</si>
  <si>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</si>
  <si>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</si>
  <si>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</si>
  <si>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</si>
  <si>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</si>
  <si>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</si>
  <si>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</si>
  <si>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</si>
  <si>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</si>
  <si>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</si>
  <si>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</si>
  <si>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</si>
  <si>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</si>
  <si>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</si>
  <si>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</si>
  <si>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</si>
  <si>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</si>
  <si>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</si>
  <si>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</si>
  <si>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</si>
  <si>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</si>
  <si>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</si>
  <si>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</si>
  <si>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</si>
  <si>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</si>
  <si>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</si>
  <si>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</si>
  <si>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</si>
  <si>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</si>
  <si>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</si>
  <si>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</si>
  <si>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</si>
  <si>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</si>
  <si>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</si>
  <si>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</si>
  <si>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</si>
  <si>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</si>
  <si>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</si>
  <si>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</si>
  <si>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</si>
  <si>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</si>
  <si>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</si>
  <si>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</si>
  <si>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</si>
  <si>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</si>
  <si>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</si>
  <si>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</si>
  <si>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</si>
  <si>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</si>
  <si>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</si>
  <si>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</si>
  <si>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</si>
  <si>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</si>
  <si>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</si>
  <si>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</si>
  <si>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</si>
  <si>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</si>
  <si>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</si>
  <si>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</si>
  <si>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</si>
  <si>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</si>
  <si>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</si>
  <si>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</si>
  <si>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</si>
  <si>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</si>
  <si>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</si>
  <si>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</si>
  <si>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</si>
  <si>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</si>
  <si>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</si>
  <si>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</si>
  <si>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</si>
  <si>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</si>
  <si>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</si>
  <si>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</si>
  <si>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</si>
  <si>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</si>
  <si>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</si>
  <si>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</si>
  <si>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</si>
  <si>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</si>
  <si>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</si>
  <si>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</si>
  <si>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</si>
  <si>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</si>
  <si>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</si>
  <si>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</si>
  <si>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</si>
  <si>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</si>
  <si>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</si>
  <si>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</si>
  <si>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</si>
  <si>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</si>
  <si>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</si>
  <si>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</si>
  <si>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</si>
  <si>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</si>
  <si>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</si>
  <si>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</si>
  <si>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</si>
  <si>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</si>
  <si>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</si>
  <si>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</si>
  <si>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</si>
  <si>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</si>
  <si>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</si>
  <si>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</si>
  <si>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</si>
  <si>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</si>
  <si>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</si>
  <si>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</si>
  <si>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</si>
  <si>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</si>
  <si>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</si>
  <si>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</si>
  <si>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</si>
  <si>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</si>
  <si>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</si>
  <si>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</si>
  <si>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</si>
  <si>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</si>
  <si>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</si>
  <si>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</si>
  <si>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</si>
  <si>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</si>
  <si>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</si>
  <si>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</si>
  <si>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</si>
  <si>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</si>
  <si>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</si>
  <si>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</si>
  <si>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</si>
  <si>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</si>
  <si>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</si>
  <si>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</si>
  <si>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</si>
  <si>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</si>
  <si>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</si>
  <si>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</si>
  <si>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</si>
  <si>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</si>
  <si>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</si>
  <si>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</si>
  <si>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</si>
  <si>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</si>
  <si>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</si>
  <si>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</si>
  <si>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</si>
  <si>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</si>
  <si>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2026-02-07</t>
  </si>
  <si>
    <t>조이오토(대구)_260207_113206.xlsx</t>
  </si>
  <si>
    <t>대구광역시 달서구 호산동로 6-8</t>
    <phoneticPr fontId="2" type="noConversion"/>
  </si>
  <si>
    <t>010-8854-0599</t>
    <phoneticPr fontId="2" type="noConversion"/>
  </si>
  <si>
    <t>Jeep_Valvebody</t>
    <phoneticPr fontId="2" type="noConversion"/>
  </si>
  <si>
    <t>68408601AE-001</t>
    <phoneticPr fontId="2" type="noConversion"/>
  </si>
  <si>
    <t>연화오토(대구)_260207_113234.xlsx</t>
  </si>
  <si>
    <t>연화오토(대구)_260207_113234.xlsx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</si>
</sst>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0</c:v>
                </c:pt>
                <c:pt idx="2">
                  <c:v>460000</c:v>
                </c:pt>
                <c:pt idx="3">
                  <c:v>4250000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18</c:v>
                      </c:pt>
                      <c:pt idx="2">
                        <c:v>10</c:v>
                      </c:pt>
                      <c:pt idx="3">
                        <c:v>1</c:v>
                      </c:pt>
                      <c:pt idx="4">
                        <c:v>18</c:v>
                      </c:pt>
                      <c:pt idx="5">
                        <c:v>18</c:v>
                      </c:pt>
                      <c:pt idx="6">
                        <c:v>18</c:v>
                      </c:pt>
                      <c:pt idx="7">
                        <c:v>18</c:v>
                      </c:pt>
                      <c:pt idx="8">
                        <c:v>18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9" sqref="V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46060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1308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5077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5078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1561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5079</v>
      </c>
      <c r="B8" s="362"/>
      <c r="C8" s="362"/>
      <c r="D8" s="362"/>
      <c r="E8" s="363"/>
      <c r="F8" s="364" t="s">
        <v>5080</v>
      </c>
      <c r="G8" s="365"/>
      <c r="H8" s="365"/>
      <c r="I8" s="366"/>
      <c r="J8" s="372">
        <v>2100000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2100000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1100000</v>
      </c>
      <c r="G20" s="411"/>
      <c r="H20" s="411"/>
      <c r="I20" s="412"/>
      <c r="J20" s="407">
        <f>SUM(J8:N19)</f>
        <v>2100000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0</v>
      </c>
      <c r="R20" s="411"/>
      <c r="S20" s="412"/>
      <c r="T20" s="411">
        <f>SUM(T8:U15)</f>
        <v>2100000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3200000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연화오토(대구)</v>
      </c>
      <c r="R21" s="405"/>
      <c r="S21" s="405"/>
      <c r="T21" s="405"/>
      <c r="U21" s="406"/>
    </row>
    <row r="22" spans="1:21" ht="20.100000000000001" customHeight="1" x14ac:dyDescent="0.3">
      <c r="A22" s="446" t="s">
        <v>5082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46060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연화오토(대구)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대구광역시 달서구 호산동로 6-8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010-8854-0599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/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Jeep_Valvebody</v>
      </c>
      <c r="B31" s="423"/>
      <c r="C31" s="423"/>
      <c r="D31" s="423"/>
      <c r="E31" s="423"/>
      <c r="F31" s="423" t="str">
        <f>F8</f>
        <v>68408601AE-001</v>
      </c>
      <c r="G31" s="423"/>
      <c r="H31" s="423"/>
      <c r="I31" s="423"/>
      <c r="J31" s="427">
        <f>J8</f>
        <v>2100000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2100000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1100000</v>
      </c>
      <c r="G43" s="411"/>
      <c r="H43" s="411"/>
      <c r="I43" s="412"/>
      <c r="J43" s="407">
        <f>J20</f>
        <v>2100000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0</v>
      </c>
      <c r="R43" s="411"/>
      <c r="S43" s="411"/>
      <c r="T43" s="411">
        <f>T20</f>
        <v>2100000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3200000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연화오토(대구)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2100000</v>
      </c>
      <c r="H1" s="107">
        <f>SUM(H2:H2)</f>
        <v>1</v>
      </c>
      <c r="I1" s="107">
        <f>SUM(I2:I2)</f>
        <v>0</v>
      </c>
      <c r="J1" s="107">
        <f>SUM(J2:J2)</f>
        <v>2100000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5075</v>
      </c>
      <c r="C2" s="47" t="s">
        <v>1470</v>
      </c>
      <c r="D2" s="290" t="s">
        <v>5032</v>
      </c>
      <c r="E2" t="s">
        <v>4897</v>
      </c>
      <c r="F2" s="290" t="s">
        <v>5032</v>
      </c>
      <c r="G2">
        <v>2100000</v>
      </c>
      <c r="H2">
        <v>1</v>
      </c>
      <c r="I2" s="226"/>
      <c r="J2" s="226">
        <v>2100000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66"/>
  <sheetViews>
    <sheetView workbookViewId="0">
      <pane xSplit="1" ySplit="1" topLeftCell="B2932" activePane="bottomRight" state="frozen"/>
      <selection activeCell="N26" sqref="N26"/>
      <selection pane="topRight" activeCell="N26" sqref="N26"/>
      <selection pane="bottomLeft" activeCell="N26" sqref="N26"/>
      <selection pane="bottomRight" activeCell="N2957" sqref="N295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2967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5017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5016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5046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5046</v>
      </c>
    </row>
    <row r="2670" spans="1:14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5046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5046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5046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5046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5046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5046</v>
      </c>
    </row>
    <row r="2676" spans="1:14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  <c r="N2676" t="s">
        <v>5046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5046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5046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5046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5046</v>
      </c>
    </row>
    <row r="2681" spans="1:14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5046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  <c r="N2685" t="s">
        <v>5046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5046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5046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5046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5046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5046</v>
      </c>
    </row>
    <row r="2691" spans="1:14" x14ac:dyDescent="0.3">
      <c r="A2691" s="58">
        <v>2691</v>
      </c>
      <c r="B2691" s="264">
        <v>46027</v>
      </c>
      <c r="C2691" s="292" t="s">
        <v>5035</v>
      </c>
      <c r="E2691" s="292" t="s">
        <v>5036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5046</v>
      </c>
    </row>
    <row r="2692" spans="1:14" x14ac:dyDescent="0.3">
      <c r="A2692" s="58">
        <v>2692</v>
      </c>
      <c r="B2692" s="264">
        <v>46027</v>
      </c>
      <c r="C2692" s="292" t="s">
        <v>5035</v>
      </c>
      <c r="E2692" s="292" t="s">
        <v>5037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5046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5046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5046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5046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5046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5046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  <c r="N2704" t="s">
        <v>5046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5046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5046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5046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5046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5046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4880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  <c r="N2717" t="s">
        <v>5046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  <c r="N2720" t="s">
        <v>5046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5046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5046</v>
      </c>
    </row>
    <row r="2723" spans="1:14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5046</v>
      </c>
    </row>
    <row r="2724" spans="1:14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5046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5046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5046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5046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5046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5046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  <c r="N2730" t="s">
        <v>5046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5046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5046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  <c r="N2738" t="s">
        <v>5046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4880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5046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5046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4920</v>
      </c>
      <c r="D2742" s="295" t="s">
        <v>4073</v>
      </c>
      <c r="E2742" s="292" t="s">
        <v>4921</v>
      </c>
      <c r="F2742" s="269" t="s">
        <v>4922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5046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5046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5046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5046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5046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5046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4880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5046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5046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5046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5046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5046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5046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5046</v>
      </c>
    </row>
    <row r="2761" spans="1:14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5046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5046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5046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5046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5046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5046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  <c r="N2769" t="s">
        <v>5046</v>
      </c>
    </row>
    <row r="2770" spans="1:14" x14ac:dyDescent="0.3">
      <c r="A2770" s="58">
        <v>2770</v>
      </c>
      <c r="B2770" s="264">
        <v>46035</v>
      </c>
      <c r="C2770" s="292" t="s">
        <v>4898</v>
      </c>
      <c r="E2770" s="292" t="s">
        <v>4899</v>
      </c>
      <c r="F2770" s="269" t="s">
        <v>4900</v>
      </c>
      <c r="G2770" s="265">
        <v>900000</v>
      </c>
      <c r="H2770" s="269">
        <v>1</v>
      </c>
      <c r="K2770" s="265">
        <v>900000</v>
      </c>
      <c r="N2770" t="s">
        <v>5046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5046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4878</v>
      </c>
      <c r="G2772" s="265">
        <v>220000</v>
      </c>
      <c r="H2772" s="269">
        <v>1</v>
      </c>
      <c r="K2772" s="265">
        <v>220000</v>
      </c>
      <c r="N2772" t="s">
        <v>5046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5046</v>
      </c>
    </row>
    <row r="2776" spans="1:14" x14ac:dyDescent="0.3">
      <c r="A2776" s="58">
        <v>2776</v>
      </c>
      <c r="B2776" s="264">
        <v>46036</v>
      </c>
      <c r="C2776" s="292" t="s">
        <v>4856</v>
      </c>
      <c r="E2776" s="292" t="s">
        <v>4882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4883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5046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5046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4887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5046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4889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5016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4903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5046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5046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5046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5046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5046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5046</v>
      </c>
    </row>
    <row r="2797" spans="1:14" x14ac:dyDescent="0.3">
      <c r="A2797" s="58">
        <v>2797</v>
      </c>
      <c r="B2797" s="264">
        <v>46038</v>
      </c>
      <c r="C2797" s="292" t="s">
        <v>4923</v>
      </c>
      <c r="D2797" s="295" t="s">
        <v>4073</v>
      </c>
      <c r="E2797" s="292" t="s">
        <v>4924</v>
      </c>
      <c r="F2797" s="270">
        <v>1094302044</v>
      </c>
      <c r="H2797" s="269">
        <v>1</v>
      </c>
      <c r="N2797" t="s">
        <v>5046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5046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5046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5046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5046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4912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4914</v>
      </c>
      <c r="N2803" t="s">
        <v>5046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5046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5046</v>
      </c>
    </row>
    <row r="2807" spans="1:14" x14ac:dyDescent="0.3">
      <c r="A2807" s="58">
        <v>2807</v>
      </c>
      <c r="B2807" s="264">
        <v>46041</v>
      </c>
      <c r="C2807" s="292" t="s">
        <v>5035</v>
      </c>
      <c r="E2807" s="292" t="s">
        <v>5038</v>
      </c>
      <c r="F2807" s="269" t="s">
        <v>5039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5046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5046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5046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5046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5046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5046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5046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5046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4935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4936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5046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4938</v>
      </c>
      <c r="F2822" s="269" t="s">
        <v>4946</v>
      </c>
      <c r="G2822" s="265">
        <v>1200000</v>
      </c>
      <c r="H2822" s="269">
        <v>1</v>
      </c>
      <c r="K2822" s="265">
        <v>1200000</v>
      </c>
      <c r="M2822" s="292" t="s">
        <v>4939</v>
      </c>
      <c r="N2822" t="s">
        <v>5046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4942</v>
      </c>
      <c r="N2823" t="s">
        <v>5046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5046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5046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5046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5046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5046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5016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5046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5046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5046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5046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5046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5046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5046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5046</v>
      </c>
    </row>
    <row r="2837" spans="1:14" x14ac:dyDescent="0.3">
      <c r="A2837" s="58">
        <v>2837</v>
      </c>
      <c r="B2837" s="264">
        <v>46045</v>
      </c>
      <c r="C2837" s="292" t="s">
        <v>4950</v>
      </c>
      <c r="E2837" s="292" t="s">
        <v>5016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5046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4957</v>
      </c>
      <c r="N2838" t="s">
        <v>5046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4959</v>
      </c>
      <c r="N2839" t="s">
        <v>5046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5046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5046</v>
      </c>
    </row>
    <row r="2842" spans="1:14" x14ac:dyDescent="0.3">
      <c r="A2842" s="58">
        <v>2842</v>
      </c>
      <c r="B2842" s="264">
        <v>46045</v>
      </c>
      <c r="C2842" s="292" t="s">
        <v>4961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5046</v>
      </c>
    </row>
    <row r="2843" spans="1:14" x14ac:dyDescent="0.3">
      <c r="A2843" s="58">
        <v>2843</v>
      </c>
      <c r="B2843" s="264">
        <v>46045</v>
      </c>
      <c r="C2843" s="292" t="s">
        <v>4961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5046</v>
      </c>
    </row>
    <row r="2844" spans="1:14" x14ac:dyDescent="0.3">
      <c r="A2844" s="58">
        <v>2844</v>
      </c>
      <c r="B2844" s="264">
        <v>46045</v>
      </c>
      <c r="C2844" s="292" t="s">
        <v>4950</v>
      </c>
      <c r="E2844" s="292" t="s">
        <v>4963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4964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4965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4966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4967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5046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5046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5046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5046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5046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5046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5046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5046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5046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5046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4976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5046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5046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4980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4981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4982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5046</v>
      </c>
    </row>
    <row r="2874" spans="1:14" x14ac:dyDescent="0.3">
      <c r="A2874" s="58">
        <v>2874</v>
      </c>
      <c r="B2874" s="264">
        <v>46049</v>
      </c>
      <c r="C2874" s="292" t="s">
        <v>4982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5046</v>
      </c>
    </row>
    <row r="2875" spans="1:14" x14ac:dyDescent="0.3">
      <c r="A2875" s="58">
        <v>2875</v>
      </c>
      <c r="B2875" s="264">
        <v>46049</v>
      </c>
      <c r="C2875" s="292" t="s">
        <v>4982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5046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5046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4986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5046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5046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5046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5016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5046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5046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5046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5046</v>
      </c>
    </row>
    <row r="2884" spans="1:14" x14ac:dyDescent="0.3">
      <c r="A2884" s="58">
        <v>2884</v>
      </c>
      <c r="B2884" s="264">
        <v>46049</v>
      </c>
      <c r="C2884" s="292" t="s">
        <v>4982</v>
      </c>
      <c r="E2884" s="292" t="s">
        <v>4992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4993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4961</v>
      </c>
      <c r="E2886" s="292" t="s">
        <v>4995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5046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5046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5046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5046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4887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5046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5046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5002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5004</v>
      </c>
      <c r="N2900" t="s">
        <v>5046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5018</v>
      </c>
      <c r="G2901" s="265">
        <v>1500000</v>
      </c>
      <c r="H2901" s="269">
        <v>1</v>
      </c>
      <c r="K2901" s="265">
        <v>1500000</v>
      </c>
      <c r="N2901" t="s">
        <v>5046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5046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5046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5046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5046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5046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5009</v>
      </c>
      <c r="G2907" s="265">
        <v>12000</v>
      </c>
      <c r="H2907" s="269">
        <v>1</v>
      </c>
      <c r="K2907" s="265">
        <v>12000</v>
      </c>
      <c r="N2907" t="s">
        <v>5046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5012</v>
      </c>
      <c r="F2908" s="269" t="s">
        <v>5011</v>
      </c>
      <c r="G2908" s="265">
        <v>400000</v>
      </c>
      <c r="H2908" s="269">
        <v>1</v>
      </c>
      <c r="K2908" s="265">
        <v>400000</v>
      </c>
      <c r="N2908" t="s">
        <v>5046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5014</v>
      </c>
      <c r="F2909" s="269" t="s">
        <v>5013</v>
      </c>
      <c r="G2909" s="265">
        <v>400000</v>
      </c>
      <c r="H2909" s="269">
        <v>1</v>
      </c>
      <c r="K2909" s="265">
        <v>400000</v>
      </c>
      <c r="N2909" t="s">
        <v>5046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5020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5022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5023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5024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5040</v>
      </c>
      <c r="E2917" s="292" t="s">
        <v>5041</v>
      </c>
      <c r="F2917" s="269" t="s">
        <v>5042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5043</v>
      </c>
      <c r="N2917" t="s">
        <v>5046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5026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4897</v>
      </c>
      <c r="F2932" s="269" t="s">
        <v>5032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5044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5047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5048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5054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5055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5061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5063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5065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5068</v>
      </c>
      <c r="E2963" s="292" t="s">
        <v>5072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5068</v>
      </c>
      <c r="E2964" s="292" t="s">
        <v>5074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4897</v>
      </c>
      <c r="F2966" s="269" t="s">
        <v>5032</v>
      </c>
      <c r="G2966" s="265">
        <v>2100000</v>
      </c>
      <c r="H2966" s="269">
        <v>1</v>
      </c>
      <c r="K2966" s="265">
        <v>2100000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8" sqref="F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46059</v>
      </c>
      <c r="B3" s="235" t="s">
        <v>1123</v>
      </c>
      <c r="C3" s="286">
        <f>SUMIF($B:$B,A3,I:I)</f>
        <v>4600000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18930000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5026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4897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5044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5047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5054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5055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5065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5068</v>
      </c>
      <c r="D53" s="113" t="s">
        <v>5072</v>
      </c>
      <c r="F53" s="120">
        <v>1000000</v>
      </c>
      <c r="G53" s="85">
        <v>1</v>
      </c>
      <c r="H53" s="126">
        <v>100000</v>
      </c>
      <c r="I53" s="80">
        <v>1100000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1350000</v>
      </c>
      <c r="D2" s="58">
        <f t="shared" ref="D2:D65" si="0">RANK(C2,C:C,0)</f>
        <v>5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18</v>
      </c>
    </row>
    <row r="4" spans="1:6" x14ac:dyDescent="0.3">
      <c r="B4" s="58" t="s">
        <v>1270</v>
      </c>
      <c r="C4" s="301">
        <f>SUMIF(BTS_매출관리!C:C,B4,BTS_매출관리!I:I)</f>
        <v>460000</v>
      </c>
      <c r="D4" s="58">
        <f t="shared" si="0"/>
        <v>10</v>
      </c>
    </row>
    <row r="5" spans="1:6" x14ac:dyDescent="0.3">
      <c r="B5" s="58" t="s">
        <v>1327</v>
      </c>
      <c r="C5" s="301">
        <f>SUMIF(BTS_매출관리!C:C,B5,BTS_매출관리!I:I)</f>
        <v>4250000</v>
      </c>
      <c r="D5" s="58">
        <f t="shared" si="0"/>
        <v>1</v>
      </c>
    </row>
    <row r="6" spans="1:6" x14ac:dyDescent="0.3">
      <c r="B6" s="58" t="s">
        <v>1344</v>
      </c>
      <c r="C6" s="301">
        <f>SUMIF(BTS_매출관리!C:C,B6,BTS_매출관리!I:I)</f>
        <v>0</v>
      </c>
      <c r="D6" s="58">
        <f t="shared" si="0"/>
        <v>18</v>
      </c>
    </row>
    <row r="7" spans="1:6" x14ac:dyDescent="0.3">
      <c r="B7" s="58" t="s">
        <v>1281</v>
      </c>
      <c r="C7" s="301">
        <f>SUMIF(BTS_매출관리!C:C,B7,BTS_매출관리!I:I)</f>
        <v>0</v>
      </c>
      <c r="D7" s="58">
        <f t="shared" si="0"/>
        <v>18</v>
      </c>
    </row>
    <row r="8" spans="1:6" x14ac:dyDescent="0.3">
      <c r="B8" s="58" t="s">
        <v>1265</v>
      </c>
      <c r="C8" s="301">
        <f>SUMIF(BTS_매출관리!C:C,B8,BTS_매출관리!I:I)</f>
        <v>0</v>
      </c>
      <c r="D8" s="58">
        <f t="shared" si="0"/>
        <v>18</v>
      </c>
    </row>
    <row r="9" spans="1:6" x14ac:dyDescent="0.3">
      <c r="B9" s="58" t="s">
        <v>2205</v>
      </c>
      <c r="C9" s="301">
        <f>SUMIF(BTS_매출관리!C:C,B9,BTS_매출관리!I:I)</f>
        <v>0</v>
      </c>
      <c r="D9" s="58">
        <f t="shared" si="0"/>
        <v>18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18</v>
      </c>
    </row>
    <row r="11" spans="1:6" x14ac:dyDescent="0.3">
      <c r="B11" s="58" t="s">
        <v>1324</v>
      </c>
      <c r="C11" s="301">
        <f>SUMIF(BTS_매출관리!C:C,B11,BTS_매출관리!I:I)</f>
        <v>450000</v>
      </c>
      <c r="D11" s="58">
        <f t="shared" si="0"/>
        <v>11</v>
      </c>
    </row>
    <row r="12" spans="1:6" x14ac:dyDescent="0.3">
      <c r="B12" s="58" t="s">
        <v>1325</v>
      </c>
      <c r="C12" s="301">
        <f>SUMIF(BTS_매출관리!C:C,B12,BTS_매출관리!I:I)</f>
        <v>710000</v>
      </c>
      <c r="D12" s="58">
        <f t="shared" si="0"/>
        <v>8</v>
      </c>
      <c r="F12">
        <f>IF(D12 &lt; 10,,"")</f>
        <v>0</v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18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18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0</v>
      </c>
      <c r="D15" s="58">
        <f t="shared" si="0"/>
        <v>18</v>
      </c>
    </row>
    <row r="16" spans="1:6" x14ac:dyDescent="0.3">
      <c r="B16" s="269" t="s">
        <v>1306</v>
      </c>
      <c r="C16" s="268">
        <f>SUMIF(BTS_매출관리!C:C,B16,BTS_매출관리!I:I)</f>
        <v>0</v>
      </c>
      <c r="D16" s="269">
        <f t="shared" si="0"/>
        <v>18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18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18</v>
      </c>
    </row>
    <row r="19" spans="2:18" x14ac:dyDescent="0.3">
      <c r="B19" s="58" t="s">
        <v>1145</v>
      </c>
      <c r="C19" s="301">
        <f>SUMIF(BTS_매출관리!C:C,B19,BTS_매출관리!I:I)</f>
        <v>0</v>
      </c>
      <c r="D19" s="58">
        <f t="shared" si="0"/>
        <v>18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18</v>
      </c>
    </row>
    <row r="21" spans="2:18" x14ac:dyDescent="0.3">
      <c r="B21" s="58" t="s">
        <v>1332</v>
      </c>
      <c r="C21" s="301">
        <f>SUMIF(BTS_매출관리!C:C,B21,BTS_매출관리!I:I)</f>
        <v>0</v>
      </c>
      <c r="D21" s="58">
        <f t="shared" si="0"/>
        <v>18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18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18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18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220000</v>
      </c>
      <c r="D25" s="58">
        <f t="shared" si="0"/>
        <v>14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0</v>
      </c>
      <c r="D26" s="269">
        <f t="shared" si="0"/>
        <v>18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18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18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18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250000</v>
      </c>
      <c r="D30" s="58">
        <f t="shared" si="0"/>
        <v>13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0</v>
      </c>
      <c r="D31" s="58">
        <f t="shared" si="0"/>
        <v>18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18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18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18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0</v>
      </c>
      <c r="D35" s="58">
        <f t="shared" si="0"/>
        <v>18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18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1100000</v>
      </c>
      <c r="D37" s="58">
        <f t="shared" si="0"/>
        <v>7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18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18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0</v>
      </c>
      <c r="D40" s="58">
        <f t="shared" si="0"/>
        <v>18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18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0</v>
      </c>
      <c r="D42" s="58">
        <f t="shared" si="0"/>
        <v>18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0</v>
      </c>
      <c r="D43" s="269">
        <f t="shared" si="0"/>
        <v>18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110000</v>
      </c>
      <c r="D44" s="58">
        <f t="shared" si="0"/>
        <v>16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18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18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18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18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18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2680000</v>
      </c>
      <c r="D50" s="269">
        <f t="shared" si="0"/>
        <v>2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18</v>
      </c>
    </row>
    <row r="52" spans="2:7" x14ac:dyDescent="0.3">
      <c r="B52" t="s">
        <v>3256</v>
      </c>
      <c r="C52" s="300">
        <f>SUMIF(BTS_매출관리!C:C,B52,BTS_매출관리!I:I)</f>
        <v>1300000</v>
      </c>
      <c r="D52">
        <f t="shared" si="0"/>
        <v>6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18</v>
      </c>
    </row>
    <row r="54" spans="2:7" x14ac:dyDescent="0.3">
      <c r="B54" t="s">
        <v>1346</v>
      </c>
      <c r="C54" s="300">
        <f>SUMIF(BTS_매출관리!C:C,B54,BTS_매출관리!I:I)</f>
        <v>0</v>
      </c>
      <c r="D54">
        <f t="shared" si="0"/>
        <v>18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18</v>
      </c>
    </row>
    <row r="56" spans="2:7" x14ac:dyDescent="0.3">
      <c r="B56" s="47" t="s">
        <v>1016</v>
      </c>
      <c r="C56" s="302">
        <f>SUMIF(BTS_매출관리!C:C,B56,BTS_매출관리!I:I)</f>
        <v>0</v>
      </c>
      <c r="D56" s="47">
        <f t="shared" si="0"/>
        <v>18</v>
      </c>
    </row>
    <row r="57" spans="2:7" x14ac:dyDescent="0.3">
      <c r="B57" s="47" t="s">
        <v>1775</v>
      </c>
      <c r="C57" s="302">
        <f>SUMIF(BTS_매출관리!C:C,B57,BTS_매출관리!I:I)</f>
        <v>2100000</v>
      </c>
      <c r="D57" s="47">
        <f t="shared" si="0"/>
        <v>3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18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18</v>
      </c>
    </row>
    <row r="60" spans="2:7" x14ac:dyDescent="0.3">
      <c r="B60" s="47" t="s">
        <v>1298</v>
      </c>
      <c r="C60" s="302">
        <f>SUMIF(BTS_매출관리!C:C,B60,BTS_매출관리!I:I)</f>
        <v>550000</v>
      </c>
      <c r="D60" s="47">
        <f t="shared" si="0"/>
        <v>9</v>
      </c>
    </row>
    <row r="61" spans="2:7" x14ac:dyDescent="0.3">
      <c r="B61" s="47" t="s">
        <v>1337</v>
      </c>
      <c r="C61" s="302">
        <f>SUMIF(BTS_매출관리!C:C,B61,BTS_매출관리!I:I)</f>
        <v>50000</v>
      </c>
      <c r="D61" s="47">
        <f t="shared" si="0"/>
        <v>17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18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18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18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18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18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18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18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18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18</v>
      </c>
    </row>
    <row r="71" spans="2:4" x14ac:dyDescent="0.3">
      <c r="B71" s="47" t="s">
        <v>1290</v>
      </c>
      <c r="C71" s="302">
        <f>SUMIF(BTS_매출관리!C:C,B71,BTS_매출관리!I:I)</f>
        <v>1600000</v>
      </c>
      <c r="D71" s="47">
        <f t="shared" si="1"/>
        <v>4</v>
      </c>
    </row>
    <row r="72" spans="2:4" x14ac:dyDescent="0.3">
      <c r="B72" s="47" t="s">
        <v>2853</v>
      </c>
      <c r="C72" s="302">
        <f>SUMIF(BTS_매출관리!C:C,B72,BTS_매출관리!I:I)</f>
        <v>0</v>
      </c>
      <c r="D72" s="47">
        <f t="shared" si="1"/>
        <v>18</v>
      </c>
    </row>
    <row r="73" spans="2:4" x14ac:dyDescent="0.3">
      <c r="B73" s="47" t="s">
        <v>1347</v>
      </c>
      <c r="C73" s="302">
        <f>SUMIF(BTS_매출관리!C:C,B73,BTS_매출관리!I:I)</f>
        <v>0</v>
      </c>
      <c r="D73" s="47">
        <f t="shared" si="1"/>
        <v>18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18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18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18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18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18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18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18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18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18</v>
      </c>
    </row>
    <row r="83" spans="2:4" x14ac:dyDescent="0.3">
      <c r="B83" t="s">
        <v>2745</v>
      </c>
      <c r="C83" s="52">
        <f>SUMIF(BTS_매출관리!C:C,B83,BTS_매출관리!I:I)</f>
        <v>0</v>
      </c>
      <c r="D83">
        <f t="shared" si="1"/>
        <v>18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18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18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18</v>
      </c>
    </row>
    <row r="87" spans="2:4" x14ac:dyDescent="0.3">
      <c r="B87" t="s">
        <v>1895</v>
      </c>
      <c r="C87" s="300">
        <f>SUMIF(BTS_매출관리!C:C,B87,BTS_매출관리!I:I)</f>
        <v>0</v>
      </c>
      <c r="D87">
        <f t="shared" si="1"/>
        <v>18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18</v>
      </c>
    </row>
    <row r="89" spans="2:4" x14ac:dyDescent="0.3">
      <c r="B89" t="s">
        <v>1274</v>
      </c>
      <c r="C89" s="300">
        <f>SUMIF(BTS_매출관리!C:C,B89,BTS_매출관리!I:I)</f>
        <v>0</v>
      </c>
      <c r="D89">
        <f t="shared" si="1"/>
        <v>18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18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18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18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18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18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18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18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18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18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18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18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18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18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18</v>
      </c>
    </row>
    <row r="104" spans="2:4" x14ac:dyDescent="0.3">
      <c r="B104" t="s">
        <v>2730</v>
      </c>
      <c r="C104" s="52">
        <f>SUMIF(BTS_매출관리!C:C,B104,BTS_매출관리!I:I)</f>
        <v>0</v>
      </c>
      <c r="D104">
        <f t="shared" si="1"/>
        <v>18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18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18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18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18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18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18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18</v>
      </c>
    </row>
    <row r="112" spans="2:4" x14ac:dyDescent="0.3">
      <c r="B112" t="s">
        <v>2138</v>
      </c>
      <c r="C112" s="52">
        <f>SUMIF(BTS_매출관리!C:C,B112,BTS_매출관리!I:I)</f>
        <v>450000</v>
      </c>
      <c r="D112">
        <f t="shared" si="1"/>
        <v>11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18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18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18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18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18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18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18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18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18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18</v>
      </c>
    </row>
    <row r="123" spans="2:4" x14ac:dyDescent="0.3">
      <c r="B123" t="s">
        <v>3065</v>
      </c>
      <c r="C123" s="52">
        <f>SUMIF(BTS_매출관리!C:C,B123,BTS_매출관리!I:I)</f>
        <v>0</v>
      </c>
      <c r="D123">
        <f t="shared" si="1"/>
        <v>18</v>
      </c>
    </row>
    <row r="124" spans="2:4" x14ac:dyDescent="0.3">
      <c r="B124" t="s">
        <v>1339</v>
      </c>
      <c r="C124" s="52">
        <f>SUMIF(BTS_매출관리!C:C,B124,BTS_매출관리!I:I)</f>
        <v>0</v>
      </c>
      <c r="D124">
        <f t="shared" si="1"/>
        <v>18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18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18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18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18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18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18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18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18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18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18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18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18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18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18</v>
      </c>
    </row>
    <row r="139" spans="2:4" x14ac:dyDescent="0.3">
      <c r="B139" t="s">
        <v>1288</v>
      </c>
      <c r="C139" s="300">
        <f>SUMIF(BTS_매출관리!C:C,B139,BTS_매출관리!I:I)</f>
        <v>0</v>
      </c>
      <c r="D139">
        <f t="shared" si="2"/>
        <v>18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18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18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18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18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18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18</v>
      </c>
    </row>
    <row r="146" spans="2:4" x14ac:dyDescent="0.3">
      <c r="B146" t="s">
        <v>2044</v>
      </c>
      <c r="C146" s="52">
        <f>SUMIF(BTS_매출관리!C:C,B146,BTS_매출관리!I:I)</f>
        <v>0</v>
      </c>
      <c r="D146">
        <f t="shared" si="2"/>
        <v>18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18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18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18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18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18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18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18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18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18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18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18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18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18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18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18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18</v>
      </c>
    </row>
    <row r="163" spans="2:4" x14ac:dyDescent="0.3">
      <c r="B163" t="s">
        <v>1277</v>
      </c>
      <c r="C163" s="52">
        <f>SUMIF(BTS_매출관리!C:C,B163,BTS_매출관리!I:I)</f>
        <v>200000</v>
      </c>
      <c r="D163">
        <f t="shared" si="2"/>
        <v>15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18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18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18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18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18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18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18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18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18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18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18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18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18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18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18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18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18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18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18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18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18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18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18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18</v>
      </c>
    </row>
    <row r="188" spans="2:4" x14ac:dyDescent="0.3">
      <c r="C188" s="52">
        <f>SUMIF(BTS_매출관리!C:C,B188,BTS_매출관리!I:I)</f>
        <v>0</v>
      </c>
      <c r="D188">
        <f t="shared" si="2"/>
        <v>18</v>
      </c>
    </row>
    <row r="189" spans="2:4" x14ac:dyDescent="0.3">
      <c r="C189" s="52">
        <f>SUMIF(BTS_매출관리!C:C,B189,BTS_매출관리!I:I)</f>
        <v>0</v>
      </c>
      <c r="D189">
        <f t="shared" si="2"/>
        <v>18</v>
      </c>
    </row>
    <row r="190" spans="2:4" x14ac:dyDescent="0.3">
      <c r="C190" s="52">
        <f>SUMIF(BTS_매출관리!C:C,B190,BTS_매출관리!I:I)</f>
        <v>0</v>
      </c>
      <c r="D190">
        <f t="shared" si="2"/>
        <v>18</v>
      </c>
    </row>
    <row r="191" spans="2:4" x14ac:dyDescent="0.3">
      <c r="C191" s="52">
        <f>SUMIF(BTS_매출관리!C:C,B191,BTS_매출관리!I:I)</f>
        <v>0</v>
      </c>
      <c r="D191">
        <f t="shared" si="2"/>
        <v>18</v>
      </c>
    </row>
    <row r="192" spans="2:4" x14ac:dyDescent="0.3">
      <c r="C192" s="52">
        <f>SUMIF(BTS_매출관리!C:C,B192,BTS_매출관리!I:I)</f>
        <v>0</v>
      </c>
      <c r="D192">
        <f t="shared" si="2"/>
        <v>18</v>
      </c>
    </row>
    <row r="193" spans="3:4" x14ac:dyDescent="0.3">
      <c r="C193" s="52">
        <f>SUMIF(BTS_매출관리!C:C,B193,BTS_매출관리!I:I)</f>
        <v>0</v>
      </c>
      <c r="D193">
        <f t="shared" si="2"/>
        <v>18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18</v>
      </c>
    </row>
    <row r="195" spans="3:4" x14ac:dyDescent="0.3">
      <c r="C195" s="52">
        <f>SUMIF(BTS_매출관리!C:C,B195,BTS_매출관리!I:I)</f>
        <v>0</v>
      </c>
      <c r="D195">
        <f t="shared" si="3"/>
        <v>18</v>
      </c>
    </row>
    <row r="196" spans="3:4" x14ac:dyDescent="0.3">
      <c r="C196" s="52">
        <f>SUMIF(BTS_매출관리!C:C,B196,BTS_매출관리!I:I)</f>
        <v>0</v>
      </c>
      <c r="D196">
        <f t="shared" si="3"/>
        <v>18</v>
      </c>
    </row>
    <row r="197" spans="3:4" x14ac:dyDescent="0.3">
      <c r="C197" s="52">
        <f>SUMIF(BTS_매출관리!C:C,B197,BTS_매출관리!I:I)</f>
        <v>0</v>
      </c>
      <c r="D197">
        <f t="shared" si="3"/>
        <v>18</v>
      </c>
    </row>
    <row r="198" spans="3:4" x14ac:dyDescent="0.3">
      <c r="C198" s="52">
        <f>SUMIF(BTS_매출관리!C:C,B198,BTS_매출관리!I:I)</f>
        <v>0</v>
      </c>
      <c r="D198">
        <f t="shared" si="3"/>
        <v>18</v>
      </c>
    </row>
    <row r="199" spans="3:4" x14ac:dyDescent="0.3">
      <c r="C199" s="52">
        <f>SUMIF(BTS_매출관리!C:C,B199,BTS_매출관리!I:I)</f>
        <v>0</v>
      </c>
      <c r="D199">
        <f t="shared" si="3"/>
        <v>18</v>
      </c>
    </row>
    <row r="200" spans="3:4" x14ac:dyDescent="0.3">
      <c r="C200" s="52">
        <f>SUMIF(BTS_매출관리!C:C,B200,BTS_매출관리!I:I)</f>
        <v>0</v>
      </c>
      <c r="D200">
        <f t="shared" si="3"/>
        <v>18</v>
      </c>
    </row>
    <row r="201" spans="3:4" x14ac:dyDescent="0.3">
      <c r="C201" s="52">
        <f>SUMIF(BTS_매출관리!C:C,B201,BTS_매출관리!I:I)</f>
        <v>0</v>
      </c>
      <c r="D201">
        <f t="shared" si="3"/>
        <v>18</v>
      </c>
    </row>
    <row r="202" spans="3:4" x14ac:dyDescent="0.3">
      <c r="C202" s="52">
        <f>SUMIF(BTS_매출관리!C:C,B202,BTS_매출관리!I:I)</f>
        <v>0</v>
      </c>
      <c r="D202">
        <f t="shared" si="3"/>
        <v>18</v>
      </c>
    </row>
    <row r="203" spans="3:4" x14ac:dyDescent="0.3">
      <c r="C203" s="52">
        <f>SUMIF(BTS_매출관리!C:C,B203,BTS_매출관리!I:I)</f>
        <v>0</v>
      </c>
      <c r="D203">
        <f t="shared" si="3"/>
        <v>18</v>
      </c>
    </row>
    <row r="204" spans="3:4" x14ac:dyDescent="0.3">
      <c r="C204" s="52">
        <f>SUMIF(BTS_매출관리!C:C,B204,BTS_매출관리!I:I)</f>
        <v>0</v>
      </c>
      <c r="D204">
        <f t="shared" si="3"/>
        <v>18</v>
      </c>
    </row>
    <row r="205" spans="3:4" x14ac:dyDescent="0.3">
      <c r="C205" s="52">
        <f>SUMIF(BTS_매출관리!C:C,B205,BTS_매출관리!I:I)</f>
        <v>0</v>
      </c>
      <c r="D205">
        <f t="shared" si="3"/>
        <v>18</v>
      </c>
    </row>
    <row r="206" spans="3:4" x14ac:dyDescent="0.3">
      <c r="C206" s="52">
        <f>SUMIF(BTS_매출관리!C:C,B206,BTS_매출관리!I:I)</f>
        <v>0</v>
      </c>
      <c r="D206">
        <f t="shared" si="3"/>
        <v>18</v>
      </c>
    </row>
    <row r="207" spans="3:4" x14ac:dyDescent="0.3">
      <c r="C207" s="52">
        <f>SUMIF(BTS_매출관리!C:C,B207,BTS_매출관리!I:I)</f>
        <v>0</v>
      </c>
      <c r="D207">
        <f t="shared" si="3"/>
        <v>18</v>
      </c>
    </row>
    <row r="208" spans="3:4" x14ac:dyDescent="0.3">
      <c r="C208" s="52">
        <f>SUMIF(BTS_매출관리!C:C,B208,BTS_매출관리!I:I)</f>
        <v>0</v>
      </c>
      <c r="D208">
        <f t="shared" si="3"/>
        <v>18</v>
      </c>
    </row>
    <row r="209" spans="3:4" x14ac:dyDescent="0.3">
      <c r="C209" s="52">
        <f>SUMIF(BTS_매출관리!C:C,B209,BTS_매출관리!I:I)</f>
        <v>0</v>
      </c>
      <c r="D209">
        <f t="shared" si="3"/>
        <v>18</v>
      </c>
    </row>
    <row r="210" spans="3:4" x14ac:dyDescent="0.3">
      <c r="C210" s="52">
        <f>SUMIF(BTS_매출관리!C:C,B210,BTS_매출관리!I:I)</f>
        <v>0</v>
      </c>
      <c r="D210">
        <f t="shared" si="3"/>
        <v>18</v>
      </c>
    </row>
    <row r="211" spans="3:4" x14ac:dyDescent="0.3">
      <c r="C211" s="52">
        <f>SUMIF(BTS_매출관리!C:C,B211,BTS_매출관리!I:I)</f>
        <v>0</v>
      </c>
      <c r="D211">
        <f t="shared" si="3"/>
        <v>18</v>
      </c>
    </row>
    <row r="212" spans="3:4" x14ac:dyDescent="0.3">
      <c r="C212" s="52">
        <f>SUMIF(BTS_매출관리!C:C,B212,BTS_매출관리!I:I)</f>
        <v>0</v>
      </c>
      <c r="D212">
        <f t="shared" si="3"/>
        <v>18</v>
      </c>
    </row>
    <row r="213" spans="3:4" x14ac:dyDescent="0.3">
      <c r="C213" s="52">
        <f>SUMIF(BTS_매출관리!C:C,B213,BTS_매출관리!I:I)</f>
        <v>0</v>
      </c>
      <c r="D213">
        <f t="shared" si="3"/>
        <v>18</v>
      </c>
    </row>
    <row r="214" spans="3:4" x14ac:dyDescent="0.3">
      <c r="C214" s="52">
        <f>SUMIF(BTS_매출관리!C:C,B214,BTS_매출관리!I:I)</f>
        <v>0</v>
      </c>
      <c r="D214">
        <f t="shared" si="3"/>
        <v>18</v>
      </c>
    </row>
    <row r="215" spans="3:4" x14ac:dyDescent="0.3">
      <c r="C215" s="52">
        <f>SUMIF(BTS_매출관리!C:C,B215,BTS_매출관리!I:I)</f>
        <v>0</v>
      </c>
      <c r="D215">
        <f t="shared" si="3"/>
        <v>18</v>
      </c>
    </row>
    <row r="216" spans="3:4" x14ac:dyDescent="0.3">
      <c r="C216" s="52">
        <f>SUMIF(BTS_매출관리!C:C,B216,BTS_매출관리!I:I)</f>
        <v>0</v>
      </c>
      <c r="D216">
        <f t="shared" si="3"/>
        <v>18</v>
      </c>
    </row>
    <row r="217" spans="3:4" x14ac:dyDescent="0.3">
      <c r="C217" s="52">
        <f>SUMIF(BTS_매출관리!C:C,B217,BTS_매출관리!I:I)</f>
        <v>0</v>
      </c>
      <c r="D217">
        <f t="shared" si="3"/>
        <v>18</v>
      </c>
    </row>
    <row r="218" spans="3:4" x14ac:dyDescent="0.3">
      <c r="C218" s="52">
        <f>SUMIF(BTS_매출관리!C:C,B218,BTS_매출관리!I:I)</f>
        <v>0</v>
      </c>
      <c r="D218">
        <f t="shared" si="3"/>
        <v>18</v>
      </c>
    </row>
    <row r="219" spans="3:4" x14ac:dyDescent="0.3">
      <c r="C219" s="52">
        <f>SUMIF(BTS_매출관리!C:C,B219,BTS_매출관리!I:I)</f>
        <v>0</v>
      </c>
      <c r="D219">
        <f t="shared" si="3"/>
        <v>18</v>
      </c>
    </row>
    <row r="220" spans="3:4" x14ac:dyDescent="0.3">
      <c r="C220" s="52">
        <f>SUMIF(BTS_매출관리!C:C,B220,BTS_매출관리!I:I)</f>
        <v>0</v>
      </c>
      <c r="D220">
        <f t="shared" si="3"/>
        <v>18</v>
      </c>
    </row>
    <row r="221" spans="3:4" x14ac:dyDescent="0.3">
      <c r="C221" s="52">
        <f>SUMIF(BTS_매출관리!C:C,B221,BTS_매출관리!I:I)</f>
        <v>0</v>
      </c>
      <c r="D221">
        <f t="shared" si="3"/>
        <v>18</v>
      </c>
    </row>
    <row r="222" spans="3:4" x14ac:dyDescent="0.3">
      <c r="C222" s="52">
        <f>SUMIF(BTS_매출관리!C:C,B222,BTS_매출관리!I:I)</f>
        <v>0</v>
      </c>
      <c r="D222">
        <f t="shared" si="3"/>
        <v>18</v>
      </c>
    </row>
    <row r="223" spans="3:4" x14ac:dyDescent="0.3">
      <c r="C223" s="52">
        <f>SUMIF(BTS_매출관리!C:C,B223,BTS_매출관리!I:I)</f>
        <v>0</v>
      </c>
      <c r="D223">
        <f t="shared" si="3"/>
        <v>18</v>
      </c>
    </row>
    <row r="224" spans="3:4" x14ac:dyDescent="0.3">
      <c r="C224" s="52">
        <f>SUMIF(BTS_매출관리!C:C,B224,BTS_매출관리!I:I)</f>
        <v>0</v>
      </c>
      <c r="D224">
        <f t="shared" si="3"/>
        <v>18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12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1537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4877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4879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4881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4884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4885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4888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4890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4904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4905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4906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4907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4908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4909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4910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4911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4913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4915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4916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4917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4928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4929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4930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4932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4933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4934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4937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4940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4941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4943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4944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4945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4947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4949</v>
      </c>
    </row>
    <row r="1455" spans="1:4" x14ac:dyDescent="0.3">
      <c r="A1455">
        <v>1479</v>
      </c>
      <c r="B1455" s="13">
        <v>46045</v>
      </c>
      <c r="C1455" t="s">
        <v>4950</v>
      </c>
      <c r="D1455" t="s">
        <v>4955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4960</v>
      </c>
    </row>
    <row r="1459" spans="1:4" x14ac:dyDescent="0.3">
      <c r="A1459">
        <v>1483</v>
      </c>
      <c r="B1459" s="13">
        <v>46045</v>
      </c>
      <c r="C1459" t="s">
        <v>4961</v>
      </c>
      <c r="D1459" t="s">
        <v>4962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4969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4970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4971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4972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4973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4974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4977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4978</v>
      </c>
    </row>
    <row r="1468" spans="1:4" x14ac:dyDescent="0.3">
      <c r="A1468">
        <v>1492</v>
      </c>
      <c r="B1468" s="13">
        <v>46049</v>
      </c>
      <c r="C1468" t="s">
        <v>4982</v>
      </c>
      <c r="D1468" t="s">
        <v>4985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4987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4988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4989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4990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4991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4996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4997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4998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4999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5000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5001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5003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5005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5006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5007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5008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5010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5015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5021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5025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5027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5028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5029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5030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5031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5033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5034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5049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5050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5051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5052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5053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5056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5058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5059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5060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5062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5064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5066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5067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5071</v>
      </c>
    </row>
    <row r="1510" spans="1:4" x14ac:dyDescent="0.3">
      <c r="A1510">
        <v>1534</v>
      </c>
      <c r="B1510" s="13">
        <v>46059</v>
      </c>
      <c r="C1510" t="s">
        <v>5068</v>
      </c>
      <c r="D1510" t="s">
        <v>5073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5076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5081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98" activePane="bottomRight" state="frozen"/>
      <selection activeCell="N26" sqref="N26"/>
      <selection pane="topRight" activeCell="N26" sqref="N26"/>
      <selection pane="bottomLeft" activeCell="N26" sqref="N26"/>
      <selection pane="bottomRight" activeCell="C216" sqref="C21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4918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221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5019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5045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  <c r="I10" s="52" t="s">
        <v>5045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5019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200000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15315500.200000003</v>
      </c>
      <c r="I17" s="52" t="s">
        <v>5045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5045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4895</v>
      </c>
      <c r="H20" s="194">
        <f>SUMIF(주문_리스트!C:C,거래처!B20,주문_리스트!K:K)+SUMIF(주문_리스트!C:C,거래처!B20,주문_리스트!L:L)-10000</f>
        <v>384999.69999999925</v>
      </c>
      <c r="I20" s="52" t="s">
        <v>5045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1000000</v>
      </c>
      <c r="I25" s="52" t="s">
        <v>5045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4979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  <c r="I37" s="52" t="s">
        <v>5019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494999.89999999851</v>
      </c>
      <c r="I38" s="52" t="s">
        <v>5045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4994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4979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0</v>
      </c>
      <c r="I54" s="52" t="s">
        <v>5019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  <c r="I57" s="52" t="s">
        <v>5045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4968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5045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5019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5019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710000</v>
      </c>
      <c r="I77" s="52" t="s">
        <v>4827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  <c r="I79" s="52" t="s">
        <v>5045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5045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50000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0</v>
      </c>
      <c r="I94" s="52" t="s">
        <v>5019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920000</v>
      </c>
      <c r="I97" s="52" t="s">
        <v>5045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5019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x14ac:dyDescent="0.3">
      <c r="A102" s="47">
        <v>101</v>
      </c>
      <c r="B102" t="s">
        <v>1346</v>
      </c>
      <c r="C102" t="s">
        <v>4891</v>
      </c>
      <c r="E102" t="s">
        <v>4892</v>
      </c>
      <c r="F102" t="s">
        <v>4893</v>
      </c>
      <c r="G102" t="s">
        <v>4894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4919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5045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5045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5045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5019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4994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5019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5019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5045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5019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1300000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4994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5045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4901</v>
      </c>
      <c r="E216" t="s">
        <v>4902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4951</v>
      </c>
      <c r="C217" t="s">
        <v>4952</v>
      </c>
      <c r="E217" t="s">
        <v>4953</v>
      </c>
      <c r="F217" t="s">
        <v>4954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4982</v>
      </c>
      <c r="C218" t="s">
        <v>4983</v>
      </c>
      <c r="E218" t="s">
        <v>4984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5068</v>
      </c>
      <c r="C219" t="s">
        <v>5069</v>
      </c>
      <c r="E219" t="s">
        <v>5070</v>
      </c>
      <c r="F219" t="s">
        <v>1176</v>
      </c>
      <c r="G219" t="s">
        <v>5070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-80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-33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-28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-79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-73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-79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-79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-14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-61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4926</v>
      </c>
      <c r="D205" s="288" t="s">
        <v>4925</v>
      </c>
      <c r="E205" s="288" t="s">
        <v>4926</v>
      </c>
      <c r="F205" s="52">
        <v>900000</v>
      </c>
      <c r="H205">
        <v>0</v>
      </c>
      <c r="I205" s="52" t="s">
        <v>4927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4886</v>
      </c>
      <c r="D281" s="288" t="s">
        <v>4887</v>
      </c>
      <c r="E281" s="288" t="s">
        <v>4886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4896</v>
      </c>
      <c r="D282" s="288" t="s">
        <v>4897</v>
      </c>
      <c r="E282" s="288" t="s">
        <v>4896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4936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4938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4975</v>
      </c>
      <c r="D285" s="288" t="s">
        <v>4976</v>
      </c>
      <c r="E285" s="288" t="s">
        <v>4975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5011</v>
      </c>
      <c r="D286" s="288" t="s">
        <v>5012</v>
      </c>
      <c r="E286" s="288" t="s">
        <v>5011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5013</v>
      </c>
      <c r="D287" s="288" t="s">
        <v>5014</v>
      </c>
      <c r="E287" s="288" t="s">
        <v>5013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5032</v>
      </c>
      <c r="D288" s="288" t="s">
        <v>4897</v>
      </c>
      <c r="E288" s="288" t="s">
        <v>5032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5057</v>
      </c>
      <c r="D289" s="288" t="s">
        <v>1841</v>
      </c>
      <c r="E289" s="288" t="s">
        <v>5057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2026-02-05T00:28:29Z</cp:lastPrinted>
  <dcterms:created xsi:type="dcterms:W3CDTF">2020-10-02T11:51:16Z</dcterms:created>
  <dcterms:modified xsi:type="dcterms:W3CDTF">2026-02-07T02:32:37Z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