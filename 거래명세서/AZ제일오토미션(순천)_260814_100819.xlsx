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76B4088-E853-4092-A1BE-2BB7E7033D3C}" xr6:coauthVersionLast="47" xr6:coauthVersionMax="47" xr10:uidLastSave="{00000000-0000-0000-0000-000000000000}"/>
  <bookViews>
    <workbookView xWindow="0" yWindow="615" windowWidth="28800" windowHeight="15585" xr2:uid="{F2286725-337B-44A2-90E2-F255A845D39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<sst xmlns="http://schemas.openxmlformats.org/spreadsheetml/2006/main" count="79" uniqueCount="43">
  <si>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</si>
  <si>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</si>
  <si>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</si>
  <si>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</si>
  <si>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</si>
  <si>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</si>
  <si>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</si>
  <si>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</si>
  <si>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</si>
  <si>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</si>
  <si>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</si>
  <si>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</si>
  <si>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</si>
  <si>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</si>
  <si>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</si>
  <si>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</si>
  <si>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</si>
  <si>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</si>
  <si>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</si>
  <si>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</si>
  <si>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</si>
  <si>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</si>
  <si>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</si>
  <si>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</si>
  <si>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</si>
  <si>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</si>
  <si>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</si>
  <si>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</si>
  <si>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</si>
  <si>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</si>
  <si>
    <t>0B5_Repair_Kit</t>
  </si>
  <si>
    <t>0B5398048D</t>
  </si>
  <si>
    <t>0B5_Solenoid</t>
  </si>
  <si>
    <t>0B5_Filter</t>
  </si>
  <si>
    <t>0B5325330A</t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</si>
  <si>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</si>
  <si>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</si>
  <si>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</si>
  <si>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</si>
  <si>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</si>
  <si>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</si>
  <si>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명차(대구)_260814_100611.xlsx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</si>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</sst>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E365952-8360-4E5E-A8DE-833B5A9E4E8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AA9A3-5402-4E8D-8FCF-2006246E1CBA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>
        <v>100000</v>
      </c>
      <c r="R8" s="52"/>
      <c r="S8" s="53"/>
      <c r="T8" s="54">
        <v>1100000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630000</v>
      </c>
      <c r="K9" s="60"/>
      <c r="L9" s="60"/>
      <c r="M9" s="60"/>
      <c r="N9" s="60"/>
      <c r="O9" s="61">
        <v>1</v>
      </c>
      <c r="P9" s="61"/>
      <c r="Q9" s="62">
        <v>63000</v>
      </c>
      <c r="R9" s="63"/>
      <c r="S9" s="64"/>
      <c r="T9" s="65">
        <v>693000</v>
      </c>
      <c r="U9" s="66"/>
    </row>
    <row r="10" spans="1:21" ht="15.6" customHeight="1" x14ac:dyDescent="0.3">
      <c r="A10" s="56" t="s">
        <v>32</v>
      </c>
      <c r="B10" s="57"/>
      <c r="C10" s="57"/>
      <c r="D10" s="57"/>
      <c r="E10" s="58"/>
      <c r="F10" s="59">
        <v>50229</v>
      </c>
      <c r="G10" s="57"/>
      <c r="H10" s="57"/>
      <c r="I10" s="58"/>
      <c r="J10" s="60">
        <v>80000</v>
      </c>
      <c r="K10" s="60"/>
      <c r="L10" s="60"/>
      <c r="M10" s="60"/>
      <c r="N10" s="60"/>
      <c r="O10" s="61">
        <v>1</v>
      </c>
      <c r="P10" s="61"/>
      <c r="Q10" s="62">
        <v>8000</v>
      </c>
      <c r="R10" s="63"/>
      <c r="S10" s="64"/>
      <c r="T10" s="65">
        <v>88000</v>
      </c>
      <c r="U10" s="66"/>
    </row>
    <row r="11" spans="1:21" ht="15.6" customHeight="1" x14ac:dyDescent="0.3">
      <c r="A11" s="56" t="s">
        <v>33</v>
      </c>
      <c r="B11" s="57"/>
      <c r="C11" s="57"/>
      <c r="D11" s="57"/>
      <c r="E11" s="58"/>
      <c r="F11" s="59" t="s">
        <v>34</v>
      </c>
      <c r="G11" s="57"/>
      <c r="H11" s="57"/>
      <c r="I11" s="58"/>
      <c r="J11" s="60">
        <v>40000</v>
      </c>
      <c r="K11" s="60"/>
      <c r="L11" s="60"/>
      <c r="M11" s="60"/>
      <c r="N11" s="60"/>
      <c r="O11" s="61">
        <v>1</v>
      </c>
      <c r="P11" s="61"/>
      <c r="Q11" s="62">
        <v>4000</v>
      </c>
      <c r="R11" s="63"/>
      <c r="S11" s="64"/>
      <c r="T11" s="65">
        <v>44000</v>
      </c>
      <c r="U11" s="66"/>
    </row>
    <row r="12" spans="1:21" ht="15.6" customHeight="1" x14ac:dyDescent="0.3">
      <c r="A12" s="56" t="s">
        <v>35</v>
      </c>
      <c r="B12" s="57"/>
      <c r="C12" s="57"/>
      <c r="D12" s="57"/>
      <c r="E12" s="58"/>
      <c r="F12" s="59"/>
      <c r="G12" s="57"/>
      <c r="H12" s="57"/>
      <c r="I12" s="58"/>
      <c r="J12" s="60">
        <v>20000</v>
      </c>
      <c r="K12" s="60"/>
      <c r="L12" s="60"/>
      <c r="M12" s="60"/>
      <c r="N12" s="60"/>
      <c r="O12" s="61">
        <v>1</v>
      </c>
      <c r="P12" s="61"/>
      <c r="Q12" s="62">
        <v>2000</v>
      </c>
      <c r="R12" s="63"/>
      <c r="S12" s="64"/>
      <c r="T12" s="65">
        <v>22000</v>
      </c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36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37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1770000</v>
      </c>
      <c r="K20" s="99"/>
      <c r="L20" s="99"/>
      <c r="M20" s="99"/>
      <c r="N20" s="100"/>
      <c r="O20" s="101">
        <f>SUM(O8:P19)</f>
        <v>5</v>
      </c>
      <c r="P20" s="101"/>
      <c r="Q20" s="102">
        <f>SUM(Q8:S19)</f>
        <v>177000</v>
      </c>
      <c r="R20" s="96"/>
      <c r="S20" s="97"/>
      <c r="T20" s="96">
        <f>SUM(T8:U15)</f>
        <v>1947000</v>
      </c>
      <c r="U20" s="103"/>
    </row>
    <row r="21" spans="1:21" ht="20.100000000000001" customHeight="1" thickBot="1" x14ac:dyDescent="0.35">
      <c r="A21" s="104" t="s">
        <v>38</v>
      </c>
      <c r="B21" s="105"/>
      <c r="C21" s="105"/>
      <c r="D21" s="105"/>
      <c r="E21" s="105"/>
      <c r="F21" s="106">
        <f>F20+T20</f>
        <v>1946999.9000000004</v>
      </c>
      <c r="G21" s="106"/>
      <c r="H21" s="106"/>
      <c r="I21" s="107"/>
      <c r="J21" s="108" t="s">
        <v>39</v>
      </c>
      <c r="K21" s="105"/>
      <c r="L21" s="109" t="str">
        <f>T4</f>
        <v>장효주</v>
      </c>
      <c r="M21" s="109"/>
      <c r="N21" s="109"/>
      <c r="O21" s="108" t="s">
        <v>40</v>
      </c>
      <c r="P21" s="105"/>
      <c r="Q21" s="109" t="str">
        <f>C3</f>
        <v>AZ제일오토미션(순천)</v>
      </c>
      <c r="R21" s="109"/>
      <c r="S21" s="109"/>
      <c r="T21" s="109"/>
      <c r="U21" s="110"/>
    </row>
    <row r="22" spans="1:21" ht="20.100000000000001" customHeight="1" x14ac:dyDescent="0.3">
      <c r="A22" s="111" t="s">
        <v>41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42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0B5_TCU</v>
      </c>
      <c r="B31" s="119"/>
      <c r="C31" s="119"/>
      <c r="D31" s="119"/>
      <c r="E31" s="119"/>
      <c r="F31" s="119" t="str">
        <f>F8</f>
        <v>927156K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100000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 t="str">
        <f t="shared" ref="A32:A38" si="0">A9</f>
        <v>0B5_Repair_Kit</v>
      </c>
      <c r="B32" s="125"/>
      <c r="C32" s="125"/>
      <c r="D32" s="125"/>
      <c r="E32" s="125"/>
      <c r="F32" s="125" t="str">
        <f t="shared" ref="F32:F38" si="1">F9</f>
        <v>0B5398048D</v>
      </c>
      <c r="G32" s="125"/>
      <c r="H32" s="125"/>
      <c r="I32" s="125"/>
      <c r="J32" s="126">
        <f t="shared" ref="J32:J38" si="2">J9</f>
        <v>630000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63000</v>
      </c>
      <c r="R32" s="127"/>
      <c r="S32" s="127"/>
      <c r="T32" s="128">
        <f t="shared" ref="T32:T38" si="5">T9</f>
        <v>693000</v>
      </c>
      <c r="U32" s="129"/>
    </row>
    <row r="33" spans="1:21" ht="15.6" customHeight="1" x14ac:dyDescent="0.3">
      <c r="A33" s="124" t="str">
        <f t="shared" si="0"/>
        <v>0B5_Solenoid</v>
      </c>
      <c r="B33" s="125"/>
      <c r="C33" s="125"/>
      <c r="D33" s="125"/>
      <c r="E33" s="125"/>
      <c r="F33" s="125">
        <f t="shared" si="1"/>
        <v>50229</v>
      </c>
      <c r="G33" s="125"/>
      <c r="H33" s="125"/>
      <c r="I33" s="125"/>
      <c r="J33" s="126">
        <f t="shared" si="2"/>
        <v>80000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8000</v>
      </c>
      <c r="R33" s="127"/>
      <c r="S33" s="127"/>
      <c r="T33" s="128">
        <f t="shared" si="5"/>
        <v>88000</v>
      </c>
      <c r="U33" s="129"/>
    </row>
    <row r="34" spans="1:21" ht="15.6" customHeight="1" x14ac:dyDescent="0.3">
      <c r="A34" s="124" t="str">
        <f t="shared" si="0"/>
        <v>0B5_Filter</v>
      </c>
      <c r="B34" s="125"/>
      <c r="C34" s="125"/>
      <c r="D34" s="125"/>
      <c r="E34" s="125"/>
      <c r="F34" s="125" t="str">
        <f t="shared" si="1"/>
        <v>0B5325330A</v>
      </c>
      <c r="G34" s="125"/>
      <c r="H34" s="125"/>
      <c r="I34" s="125"/>
      <c r="J34" s="126">
        <f t="shared" si="2"/>
        <v>40000</v>
      </c>
      <c r="K34" s="126"/>
      <c r="L34" s="126"/>
      <c r="M34" s="126"/>
      <c r="N34" s="126"/>
      <c r="O34" s="126">
        <f t="shared" si="3"/>
        <v>1</v>
      </c>
      <c r="P34" s="126"/>
      <c r="Q34" s="127">
        <f t="shared" si="4"/>
        <v>4000</v>
      </c>
      <c r="R34" s="127"/>
      <c r="S34" s="127"/>
      <c r="T34" s="128">
        <f t="shared" si="5"/>
        <v>44000</v>
      </c>
      <c r="U34" s="129"/>
    </row>
    <row r="35" spans="1:21" ht="15.6" customHeight="1" x14ac:dyDescent="0.3">
      <c r="A35" s="124" t="str">
        <f t="shared" si="0"/>
        <v>퀵버스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20000</v>
      </c>
      <c r="K35" s="126"/>
      <c r="L35" s="126"/>
      <c r="M35" s="126"/>
      <c r="N35" s="126"/>
      <c r="O35" s="126">
        <f t="shared" si="3"/>
        <v>1</v>
      </c>
      <c r="P35" s="126"/>
      <c r="Q35" s="127">
        <f t="shared" si="4"/>
        <v>2000</v>
      </c>
      <c r="R35" s="127"/>
      <c r="S35" s="127"/>
      <c r="T35" s="128">
        <f t="shared" si="5"/>
        <v>22000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36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37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1770000</v>
      </c>
      <c r="K43" s="99"/>
      <c r="L43" s="99"/>
      <c r="M43" s="99"/>
      <c r="N43" s="100"/>
      <c r="O43" s="101">
        <f>O20</f>
        <v>5</v>
      </c>
      <c r="P43" s="101"/>
      <c r="Q43" s="102">
        <f>Q20</f>
        <v>177000</v>
      </c>
      <c r="R43" s="96"/>
      <c r="S43" s="96"/>
      <c r="T43" s="96">
        <f>T20</f>
        <v>1947000</v>
      </c>
      <c r="U43" s="103"/>
    </row>
    <row r="44" spans="1:21" ht="20.100000000000001" customHeight="1" thickBot="1" x14ac:dyDescent="0.35">
      <c r="A44" s="104" t="s">
        <v>38</v>
      </c>
      <c r="B44" s="105"/>
      <c r="C44" s="105"/>
      <c r="D44" s="105"/>
      <c r="E44" s="105"/>
      <c r="F44" s="106">
        <f>F21</f>
        <v>1946999.9000000004</v>
      </c>
      <c r="G44" s="106"/>
      <c r="H44" s="106"/>
      <c r="I44" s="107"/>
      <c r="J44" s="108" t="s">
        <v>39</v>
      </c>
      <c r="K44" s="105"/>
      <c r="L44" s="136" t="str">
        <f>T27</f>
        <v>장효주</v>
      </c>
      <c r="M44" s="136"/>
      <c r="N44" s="136"/>
      <c r="O44" s="108" t="s">
        <v>40</v>
      </c>
      <c r="P44" s="137"/>
      <c r="Q44" s="138" t="str">
        <f>Q21</f>
        <v>AZ제일오토미션(순천)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2026-08-14T01:08:19Z</dcterms:created>
  <dcterms:modified xsi:type="dcterms:W3CDTF">2026-08-14T01:08:20Z</dcterms:modified>
</cp:coreProperties>
</file>