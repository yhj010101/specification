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13BF6B0-AD98-4534-97CC-723F87BD062F}" xr6:coauthVersionLast="47" xr6:coauthVersionMax="47" xr10:uidLastSave="{00000000-0000-0000-0000-000000000000}"/>
  <bookViews>
    <workbookView xWindow="-120" yWindow="-120" windowWidth="29040" windowHeight="15840" xr2:uid="{00EE0392-0510-441B-A049-D7AF668DF04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<sst xmlns="http://schemas.openxmlformats.org/spreadsheetml/2006/main" count="80" uniqueCount="44">
  <si>
    <t>거   래   명   세   서</t>
    <phoneticPr fontId="2" type="noConversion"/>
  </si>
  <si>
    <t>VIN:</t>
    <phoneticPr fontId="2" type="noConversion"/>
  </si>
  <si>
    <t>WAUZZZ4G1GN032264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</si>
  <si>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</si>
  <si>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</si>
  <si>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</si>
  <si>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</si>
  <si>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</si>
  <si>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</si>
  <si>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JM모터스(제주)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</si>
  <si>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</si>
  <si>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</si>
  <si>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</si>
  <si>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</si>
  <si>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</si>
  <si>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</si>
  <si>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</si>
  <si>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제주시 연신로 158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</si>
  <si>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</si>
  <si>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</si>
  <si>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010-2938-5379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</si>
  <si>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</si>
  <si>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</si>
  <si>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</si>
  <si>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</si>
  <si>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</si>
  <si>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</si>
  <si>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</si>
  <si>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</si>
  <si>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</si>
  <si>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</si>
  <si>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</si>
  <si>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</si>
  <si>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</si>
  <si>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0CK_Sensor(2)</t>
  </si>
  <si>
    <t>0CK927263E</t>
  </si>
  <si>
    <t>Note</t>
    <phoneticPr fontId="2" type="noConversion"/>
  </si>
  <si>
    <t>장착 후 펌프 활성화_x000D_
보조유압펌프 캘리브레이션_x000D_
_x000D_
유압센서, 제어모듈 오작동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</si>
  <si>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</si>
  <si>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</si>
  <si>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</si>
  <si>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</si>
  <si>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스타모터스(대구)_260126_181313.xlsx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</si>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</sst>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7F2C701-4FF1-4FB1-B120-9A812C1D7A1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F7BF-45B7-4697-A7B9-FCE73E028CBA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>
        <v>10000</v>
      </c>
      <c r="R9" s="62"/>
      <c r="S9" s="63"/>
      <c r="T9" s="64">
        <v>110000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 t="s">
        <v>35</v>
      </c>
      <c r="G10" s="56"/>
      <c r="H10" s="56"/>
      <c r="I10" s="57"/>
      <c r="J10" s="59">
        <v>250000</v>
      </c>
      <c r="K10" s="59"/>
      <c r="L10" s="59"/>
      <c r="M10" s="59"/>
      <c r="N10" s="59"/>
      <c r="O10" s="60">
        <v>1</v>
      </c>
      <c r="P10" s="60"/>
      <c r="Q10" s="61">
        <v>25000</v>
      </c>
      <c r="R10" s="62"/>
      <c r="S10" s="63"/>
      <c r="T10" s="64">
        <v>275000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36</v>
      </c>
      <c r="B16" s="78"/>
      <c r="C16" s="78"/>
      <c r="D16" s="78"/>
      <c r="E16" s="79"/>
      <c r="F16" s="80" t="s">
        <v>37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38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1850000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185000</v>
      </c>
      <c r="R20" s="95"/>
      <c r="S20" s="96"/>
      <c r="T20" s="95">
        <f>SUM(T8:U15)</f>
        <v>2035000</v>
      </c>
      <c r="U20" s="102"/>
    </row>
    <row r="21" spans="1:21" ht="20.100000000000001" customHeight="1" thickBot="1" x14ac:dyDescent="0.35">
      <c r="A21" s="103" t="s">
        <v>39</v>
      </c>
      <c r="B21" s="104"/>
      <c r="C21" s="104"/>
      <c r="D21" s="104"/>
      <c r="E21" s="104"/>
      <c r="F21" s="105">
        <f>F20+T20</f>
        <v>2035000</v>
      </c>
      <c r="G21" s="105"/>
      <c r="H21" s="105"/>
      <c r="I21" s="106"/>
      <c r="J21" s="107" t="s">
        <v>40</v>
      </c>
      <c r="K21" s="104"/>
      <c r="L21" s="108" t="str">
        <f>T4</f>
        <v>장효주</v>
      </c>
      <c r="M21" s="108"/>
      <c r="N21" s="108"/>
      <c r="O21" s="107" t="s">
        <v>41</v>
      </c>
      <c r="P21" s="104"/>
      <c r="Q21" s="108" t="str">
        <f>C3</f>
        <v>JM모터스(제주)</v>
      </c>
      <c r="R21" s="108"/>
      <c r="S21" s="108"/>
      <c r="T21" s="108"/>
      <c r="U21" s="109"/>
    </row>
    <row r="22" spans="1:21" ht="20.100000000000001" customHeight="1" x14ac:dyDescent="0.3">
      <c r="A22" s="110" t="s">
        <v>42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WAUZZZ4G1GN032264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JM모터스(제주)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제주시 연신로 158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010-2938-5379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/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10000</v>
      </c>
      <c r="R32" s="126"/>
      <c r="S32" s="126"/>
      <c r="T32" s="127">
        <f t="shared" ref="T32:T38" si="5">T9</f>
        <v>110000</v>
      </c>
      <c r="U32" s="128"/>
    </row>
    <row r="33" spans="1:21" ht="15.6" customHeight="1" x14ac:dyDescent="0.3">
      <c r="A33" s="123" t="str">
        <f t="shared" si="0"/>
        <v>0CK_Sensor(2)</v>
      </c>
      <c r="B33" s="124"/>
      <c r="C33" s="124"/>
      <c r="D33" s="124"/>
      <c r="E33" s="124"/>
      <c r="F33" s="124" t="str">
        <f t="shared" si="1"/>
        <v>0CK927263E</v>
      </c>
      <c r="G33" s="124"/>
      <c r="H33" s="124"/>
      <c r="I33" s="124"/>
      <c r="J33" s="125">
        <f t="shared" si="2"/>
        <v>250000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25000</v>
      </c>
      <c r="R33" s="126"/>
      <c r="S33" s="126"/>
      <c r="T33" s="127">
        <f t="shared" si="5"/>
        <v>275000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36</v>
      </c>
      <c r="B39" s="78"/>
      <c r="C39" s="78"/>
      <c r="D39" s="78"/>
      <c r="E39" s="79"/>
      <c r="F39" s="80" t="str">
        <f>F16</f>
        <v>장착 후 펌프 활성화_x000D_
보조유압펌프 캘리브레이션_x000D_
_x000D_
유압센서, 제어모듈 오작동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38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1850000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185000</v>
      </c>
      <c r="R43" s="95"/>
      <c r="S43" s="95"/>
      <c r="T43" s="95">
        <f>T20</f>
        <v>2035000</v>
      </c>
      <c r="U43" s="102"/>
    </row>
    <row r="44" spans="1:21" ht="20.100000000000001" customHeight="1" thickBot="1" x14ac:dyDescent="0.35">
      <c r="A44" s="103" t="s">
        <v>39</v>
      </c>
      <c r="B44" s="104"/>
      <c r="C44" s="104"/>
      <c r="D44" s="104"/>
      <c r="E44" s="104"/>
      <c r="F44" s="105">
        <f>F21</f>
        <v>2035000</v>
      </c>
      <c r="G44" s="105"/>
      <c r="H44" s="105"/>
      <c r="I44" s="106"/>
      <c r="J44" s="107" t="s">
        <v>40</v>
      </c>
      <c r="K44" s="104"/>
      <c r="L44" s="135" t="str">
        <f>T27</f>
        <v>장효주</v>
      </c>
      <c r="M44" s="135"/>
      <c r="N44" s="135"/>
      <c r="O44" s="107" t="s">
        <v>41</v>
      </c>
      <c r="P44" s="136"/>
      <c r="Q44" s="137" t="str">
        <f>Q21</f>
        <v>JM모터스(제주)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2026-01-27T09:01:08Z</dcterms:created>
  <dcterms:modified xsi:type="dcterms:W3CDTF">2026-01-27T09:01:09Z</dcterms:modified>
</cp:coreProperties>
</file>