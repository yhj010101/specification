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B2FD9ACD-DB2C-46AB-9037-547A66350992}" xr6:coauthVersionLast="47" xr6:coauthVersionMax="47" xr10:uidLastSave="{00000000-0000-0000-0000-000000000000}"/>
  <bookViews>
    <workbookView xWindow="0" yWindow="615" windowWidth="28800" windowHeight="15585" xr2:uid="{FF1177A1-8C8F-4FB1-8E27-A3496674138F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Q20" i="1"/>
  <c r="Q43" i="1" s="1"/>
  <c r="O20" i="1"/>
  <c r="O43" i="1" s="1"/>
  <c r="J20" i="1"/>
  <c r="J43" i="1" s="1"/>
  <c r="F21" i="1" l="1"/>
  <c r="F44" i="1" s="1"/>
  <c r="T43" i="1"/>
</calcChain>
</file>

<file path=xl/sharedStrings.xml><?xml version="1.0" encoding="utf-8"?>
<sst xmlns="http://schemas.openxmlformats.org/spreadsheetml/2006/main" count="75" uniqueCount="39">
  <si>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</si>
  <si>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</si>
  <si>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</si>
  <si>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</si>
  <si>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</si>
  <si>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</si>
  <si>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</si>
  <si>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</si>
  <si>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SJ모터스(부산)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</si>
  <si>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</si>
  <si>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</si>
  <si>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</si>
  <si>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</si>
  <si>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</si>
  <si>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</si>
  <si>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</si>
  <si>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부산 금정구 범어천로 7-8</t>
    <phoneticPr fontId="2" type="noConversion"/>
  </si>
  <si>
    <t>대구 달서구 용산로 28(본리동)</t>
    <phoneticPr fontId="2" type="noConversion"/>
  </si>
  <si>
    <t>전화</t>
    <phoneticPr fontId="2" type="noConversion"/>
  </si>
  <si>
    <t>010-5883-6482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</si>
  <si>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</si>
  <si>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</si>
  <si>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</si>
  <si>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</si>
  <si>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</si>
  <si>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</si>
  <si>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</si>
  <si>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</si>
  <si>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0CK_TCU</t>
    <phoneticPr fontId="2" type="noConversion"/>
  </si>
  <si>
    <t>927156AA</t>
    <phoneticPr fontId="2" type="noConversion"/>
  </si>
  <si>
    <t>0CK_Filter</t>
  </si>
  <si>
    <t>0DN325421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</si>
  <si>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</si>
  <si>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</si>
  <si>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</si>
  <si>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</si>
  <si>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</si>
  <si>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한국오토(노원)_260804_175551.xlsx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</si>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</sst>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DE1602CC-E75B-49E0-80B4-BDBDA603D12B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A1982-8E22-439B-A1AE-AAC02AA68637}">
  <sheetPr codeName="shtOrder_print1"/>
  <dimension ref="A1:U44"/>
  <sheetViews>
    <sheetView tabSelected="1" zoomScaleNormal="100" workbookViewId="0">
      <selection activeCell="F20" sqref="F20:I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46238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 t="s">
        <v>29</v>
      </c>
      <c r="G8" s="47"/>
      <c r="H8" s="47"/>
      <c r="I8" s="48"/>
      <c r="J8" s="49">
        <v>1500000</v>
      </c>
      <c r="K8" s="49"/>
      <c r="L8" s="49"/>
      <c r="M8" s="49"/>
      <c r="N8" s="49"/>
      <c r="O8" s="50">
        <v>1</v>
      </c>
      <c r="P8" s="50"/>
      <c r="Q8" s="51">
        <v>150000</v>
      </c>
      <c r="R8" s="52"/>
      <c r="S8" s="53"/>
      <c r="T8" s="54">
        <v>1650000</v>
      </c>
      <c r="U8" s="55"/>
    </row>
    <row r="9" spans="1:21" ht="15.6" customHeight="1" x14ac:dyDescent="0.3">
      <c r="A9" s="56" t="s">
        <v>30</v>
      </c>
      <c r="B9" s="57"/>
      <c r="C9" s="57"/>
      <c r="D9" s="57"/>
      <c r="E9" s="58"/>
      <c r="F9" s="59" t="s">
        <v>31</v>
      </c>
      <c r="G9" s="57"/>
      <c r="H9" s="57"/>
      <c r="I9" s="58"/>
      <c r="J9" s="60">
        <v>100000</v>
      </c>
      <c r="K9" s="60"/>
      <c r="L9" s="60"/>
      <c r="M9" s="60"/>
      <c r="N9" s="60"/>
      <c r="O9" s="61">
        <v>1</v>
      </c>
      <c r="P9" s="61"/>
      <c r="Q9" s="62">
        <v>10000</v>
      </c>
      <c r="R9" s="63"/>
      <c r="S9" s="64"/>
      <c r="T9" s="65">
        <v>110000</v>
      </c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32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33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1600000</v>
      </c>
      <c r="K20" s="99"/>
      <c r="L20" s="99"/>
      <c r="M20" s="99"/>
      <c r="N20" s="100"/>
      <c r="O20" s="101">
        <f>SUM(O8:P19)</f>
        <v>2</v>
      </c>
      <c r="P20" s="101"/>
      <c r="Q20" s="102">
        <f>SUM(Q8:S19)</f>
        <v>160000</v>
      </c>
      <c r="R20" s="96"/>
      <c r="S20" s="97"/>
      <c r="T20" s="96">
        <f>SUM(T8:U15)</f>
        <v>1760000</v>
      </c>
      <c r="U20" s="103"/>
    </row>
    <row r="21" spans="1:21" ht="20.100000000000001" customHeight="1" thickBot="1" x14ac:dyDescent="0.35">
      <c r="A21" s="104" t="s">
        <v>34</v>
      </c>
      <c r="B21" s="105"/>
      <c r="C21" s="105"/>
      <c r="D21" s="105"/>
      <c r="E21" s="105"/>
      <c r="F21" s="106">
        <f>F20+T20</f>
        <v>1759999.9000000004</v>
      </c>
      <c r="G21" s="106"/>
      <c r="H21" s="106"/>
      <c r="I21" s="107"/>
      <c r="J21" s="108" t="s">
        <v>35</v>
      </c>
      <c r="K21" s="105"/>
      <c r="L21" s="109" t="str">
        <f>T4</f>
        <v>장효주</v>
      </c>
      <c r="M21" s="109"/>
      <c r="N21" s="109"/>
      <c r="O21" s="108" t="s">
        <v>36</v>
      </c>
      <c r="P21" s="105"/>
      <c r="Q21" s="109" t="str">
        <f>C3</f>
        <v>SJ모터스(부산)</v>
      </c>
      <c r="R21" s="109"/>
      <c r="S21" s="109"/>
      <c r="T21" s="109"/>
      <c r="U21" s="110"/>
    </row>
    <row r="22" spans="1:21" ht="20.100000000000001" customHeight="1" x14ac:dyDescent="0.3">
      <c r="A22" s="111" t="s">
        <v>37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38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46238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SJ모터스(부산)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부산 금정구 범어천로 7-8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010-5883-6482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0CK_TCU</v>
      </c>
      <c r="B31" s="119"/>
      <c r="C31" s="119"/>
      <c r="D31" s="119"/>
      <c r="E31" s="119"/>
      <c r="F31" s="119" t="str">
        <f>F8</f>
        <v>927156AA</v>
      </c>
      <c r="G31" s="119"/>
      <c r="H31" s="119"/>
      <c r="I31" s="119"/>
      <c r="J31" s="120">
        <f>J8</f>
        <v>1500000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150000</v>
      </c>
      <c r="R31" s="121"/>
      <c r="S31" s="121"/>
      <c r="T31" s="122">
        <f>T8</f>
        <v>1650000</v>
      </c>
      <c r="U31" s="123"/>
    </row>
    <row r="32" spans="1:21" ht="15.6" customHeight="1" x14ac:dyDescent="0.3">
      <c r="A32" s="124" t="str">
        <f t="shared" ref="A32:A38" si="0">A9</f>
        <v>0CK_Filter</v>
      </c>
      <c r="B32" s="125"/>
      <c r="C32" s="125"/>
      <c r="D32" s="125"/>
      <c r="E32" s="125"/>
      <c r="F32" s="125" t="str">
        <f t="shared" ref="F32:F38" si="1">F9</f>
        <v>0DN325421</v>
      </c>
      <c r="G32" s="125"/>
      <c r="H32" s="125"/>
      <c r="I32" s="125"/>
      <c r="J32" s="126">
        <f t="shared" ref="J32:J38" si="2">J9</f>
        <v>100000</v>
      </c>
      <c r="K32" s="126"/>
      <c r="L32" s="126"/>
      <c r="M32" s="126"/>
      <c r="N32" s="126"/>
      <c r="O32" s="126">
        <f t="shared" ref="O32:O38" si="3">O9</f>
        <v>1</v>
      </c>
      <c r="P32" s="126"/>
      <c r="Q32" s="127">
        <f t="shared" ref="Q32:Q38" si="4">Q9</f>
        <v>10000</v>
      </c>
      <c r="R32" s="127"/>
      <c r="S32" s="127"/>
      <c r="T32" s="128">
        <f t="shared" ref="T32:T38" si="5">T9</f>
        <v>110000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32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33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1600000</v>
      </c>
      <c r="K43" s="99"/>
      <c r="L43" s="99"/>
      <c r="M43" s="99"/>
      <c r="N43" s="100"/>
      <c r="O43" s="101">
        <f>O20</f>
        <v>2</v>
      </c>
      <c r="P43" s="101"/>
      <c r="Q43" s="102">
        <f>Q20</f>
        <v>160000</v>
      </c>
      <c r="R43" s="96"/>
      <c r="S43" s="96"/>
      <c r="T43" s="96">
        <f>T20</f>
        <v>1760000</v>
      </c>
      <c r="U43" s="103"/>
    </row>
    <row r="44" spans="1:21" ht="20.100000000000001" customHeight="1" thickBot="1" x14ac:dyDescent="0.35">
      <c r="A44" s="104" t="s">
        <v>34</v>
      </c>
      <c r="B44" s="105"/>
      <c r="C44" s="105"/>
      <c r="D44" s="105"/>
      <c r="E44" s="105"/>
      <c r="F44" s="106">
        <f>F21</f>
        <v>1759999.9000000004</v>
      </c>
      <c r="G44" s="106"/>
      <c r="H44" s="106"/>
      <c r="I44" s="107"/>
      <c r="J44" s="108" t="s">
        <v>35</v>
      </c>
      <c r="K44" s="105"/>
      <c r="L44" s="136" t="str">
        <f>T27</f>
        <v>장효주</v>
      </c>
      <c r="M44" s="136"/>
      <c r="N44" s="136"/>
      <c r="O44" s="108" t="s">
        <v>36</v>
      </c>
      <c r="P44" s="137"/>
      <c r="Q44" s="138" t="str">
        <f>Q21</f>
        <v>SJ모터스(부산)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2026-08-04T08:56:36Z</dcterms:created>
  <dcterms:modified xsi:type="dcterms:W3CDTF">2026-08-04T08:56:36Z</dcterms:modified>
</cp:coreProperties>
</file>