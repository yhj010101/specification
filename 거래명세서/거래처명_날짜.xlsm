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거래명세서\"/>
    </mc:Choice>
  </mc:AlternateContent>
  <xr:revisionPtr revIDLastSave="0" documentId="8_{9BEEA78C-DC44-41EA-87F2-223EFCD58104}" xr6:coauthVersionLast="47" xr6:coauthVersionMax="47" xr10:uidLastSave="{00000000-0000-0000-0000-000000000000}"/>
  <bookViews>
    <workbookView xWindow="-120" yWindow="-120" windowWidth="29040" windowHeight="15840" tabRatio="716" activeTab="5" xr2:uid="{17F36E22-0BD4-4C4C-A7DC-D6B626B4DE69}"/>
  </bookViews>
  <sheets>
    <sheet name="주문" sheetId="19" r:id="rId1"/>
    <sheet name="거래내역서" sheetId="34" r:id="rId2"/>
    <sheet name="Sheet1" sheetId="26" state="veryHidden" r:id="rId3"/>
    <sheet name="주문_리스트" sheetId="18" r:id="rId4"/>
    <sheet name="거래처" sheetId="4" r:id="rId5"/>
    <sheet name="거래명세서_NEW" sheetId="11" r:id="rId6"/>
    <sheet name="매출관리" sheetId="33" r:id="rId7"/>
    <sheet name="Sheet2" sheetId="27" state="veryHidden" r:id="rId8"/>
    <sheet name="temp" sheetId="30" state="veryHidden" r:id="rId9"/>
    <sheet name="제품" sheetId="1" r:id="rId10"/>
    <sheet name="재고" sheetId="5" r:id="rId11"/>
    <sheet name="Sheet3" sheetId="28" state="veryHidden" r:id="rId12"/>
    <sheet name="배송" sheetId="14" state="veryHidden" r:id="rId13"/>
    <sheet name="구분" sheetId="13" state="veryHidden" r:id="rId14"/>
    <sheet name="제품구분" sheetId="10" r:id="rId15"/>
    <sheet name="단위" sheetId="9" state="veryHidden" r:id="rId16"/>
    <sheet name="프로모션" sheetId="12" state="veryHidden" r:id="rId17"/>
    <sheet name="경동택배" sheetId="20" state="veryHidden" r:id="rId18"/>
    <sheet name="사용자정보" sheetId="21" state="veryHidden" r:id="rId19"/>
    <sheet name="로그인" sheetId="22" r:id="rId20"/>
    <sheet name="Sheet4" sheetId="29" state="veryHidden" r:id="rId21"/>
    <sheet name="로그인 기록" sheetId="23" state="veryHidden" r:id="rId22"/>
    <sheet name="바코드" sheetId="25" r:id="rId23"/>
    <sheet name="재고관리" sheetId="6" r:id="rId24"/>
    <sheet name="매출" sheetId="32" r:id="rId25"/>
  </sheets>
  <functionGroups builtInGroupCount="19">
    <functionGroup name="Commands"/>
  </functionGroups>
  <definedNames>
    <definedName name="_xlnm._FilterDatabase" localSheetId="4" hidden="1">거래처!$A$1:$J$228</definedName>
    <definedName name="_xlnm._FilterDatabase" localSheetId="6" hidden="1">매출관리!$A$8:$P$17</definedName>
    <definedName name="_xlnm._FilterDatabase" localSheetId="10" hidden="1">재고!$A$1:$L$6</definedName>
    <definedName name="_xlnm._FilterDatabase" localSheetId="23" hidden="1">재고관리!$H$4:$R$7</definedName>
    <definedName name="_xlnm._FilterDatabase" localSheetId="0" hidden="1">주문!$A$15:$K$25</definedName>
    <definedName name="_xlnm._FilterDatabase" localSheetId="3" hidden="1">주문_리스트!$A$1:$J$7</definedName>
    <definedName name="_xlnm.Print_Area" localSheetId="22">바코드!$A$1:$C$26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1" l="1"/>
  <c r="B22" i="25"/>
  <c r="C21" i="25"/>
  <c r="C20" i="25"/>
  <c r="K18" i="33"/>
  <c r="K17" i="33"/>
  <c r="K16" i="33"/>
  <c r="K15" i="33"/>
  <c r="K14" i="33"/>
  <c r="K13" i="33"/>
  <c r="K12" i="33"/>
  <c r="K11" i="33"/>
  <c r="K10" i="33"/>
  <c r="L9" i="33"/>
  <c r="K9" i="33"/>
  <c r="M9" i="33" s="1"/>
  <c r="C5" i="33"/>
  <c r="C4" i="33"/>
  <c r="E3" i="33"/>
  <c r="C3" i="33"/>
  <c r="L44" i="11"/>
  <c r="M29" i="11"/>
  <c r="M28" i="11"/>
  <c r="T27" i="11"/>
  <c r="M27" i="11"/>
  <c r="M26" i="11"/>
  <c r="C25" i="11"/>
  <c r="L21" i="11"/>
  <c r="F20" i="11"/>
  <c r="F43" i="11" s="1"/>
  <c r="T19" i="11"/>
  <c r="T42" i="11" s="1"/>
  <c r="Q19" i="11"/>
  <c r="Q42" i="11" s="1"/>
  <c r="L19" i="11"/>
  <c r="L42" i="11" s="1"/>
  <c r="J19" i="11"/>
  <c r="J42" i="11" s="1"/>
  <c r="F19" i="11"/>
  <c r="F42" i="11" s="1"/>
  <c r="A19" i="11"/>
  <c r="A42" i="11" s="1"/>
  <c r="T18" i="11"/>
  <c r="T41" i="11" s="1"/>
  <c r="Q18" i="11"/>
  <c r="Q41" i="11" s="1"/>
  <c r="L18" i="11"/>
  <c r="L41" i="11" s="1"/>
  <c r="J18" i="11"/>
  <c r="J41" i="11" s="1"/>
  <c r="F18" i="11"/>
  <c r="F41" i="11" s="1"/>
  <c r="A18" i="11"/>
  <c r="A41" i="11" s="1"/>
  <c r="T17" i="11"/>
  <c r="T40" i="11" s="1"/>
  <c r="Q17" i="11"/>
  <c r="Q40" i="11" s="1"/>
  <c r="L17" i="11"/>
  <c r="L40" i="11" s="1"/>
  <c r="J17" i="11"/>
  <c r="J40" i="11" s="1"/>
  <c r="F17" i="11"/>
  <c r="F40" i="11" s="1"/>
  <c r="A17" i="11"/>
  <c r="A40" i="11" s="1"/>
  <c r="T16" i="11"/>
  <c r="T39" i="11" s="1"/>
  <c r="Q16" i="11"/>
  <c r="Q39" i="11" s="1"/>
  <c r="L16" i="11"/>
  <c r="L39" i="11" s="1"/>
  <c r="J16" i="11"/>
  <c r="J39" i="11" s="1"/>
  <c r="F16" i="11"/>
  <c r="F39" i="11" s="1"/>
  <c r="A16" i="11"/>
  <c r="A39" i="11" s="1"/>
  <c r="T15" i="11"/>
  <c r="T38" i="11" s="1"/>
  <c r="Q15" i="11"/>
  <c r="Q38" i="11" s="1"/>
  <c r="L15" i="11"/>
  <c r="L38" i="11" s="1"/>
  <c r="J15" i="11"/>
  <c r="J38" i="11" s="1"/>
  <c r="F15" i="11"/>
  <c r="F38" i="11" s="1"/>
  <c r="A15" i="11"/>
  <c r="A38" i="11" s="1"/>
  <c r="T14" i="11"/>
  <c r="T37" i="11" s="1"/>
  <c r="Q14" i="11"/>
  <c r="Q37" i="11" s="1"/>
  <c r="L14" i="11"/>
  <c r="L37" i="11" s="1"/>
  <c r="J14" i="11"/>
  <c r="J37" i="11" s="1"/>
  <c r="F14" i="11"/>
  <c r="F37" i="11" s="1"/>
  <c r="A14" i="11"/>
  <c r="A37" i="11" s="1"/>
  <c r="T13" i="11"/>
  <c r="T36" i="11" s="1"/>
  <c r="Q13" i="11"/>
  <c r="Q36" i="11" s="1"/>
  <c r="L13" i="11"/>
  <c r="L36" i="11" s="1"/>
  <c r="J13" i="11"/>
  <c r="J36" i="11" s="1"/>
  <c r="F13" i="11"/>
  <c r="F36" i="11" s="1"/>
  <c r="A13" i="11"/>
  <c r="A36" i="11" s="1"/>
  <c r="T12" i="11"/>
  <c r="T35" i="11" s="1"/>
  <c r="Q12" i="11"/>
  <c r="Q35" i="11" s="1"/>
  <c r="L12" i="11"/>
  <c r="L35" i="11" s="1"/>
  <c r="J12" i="11"/>
  <c r="J35" i="11" s="1"/>
  <c r="F12" i="11"/>
  <c r="F35" i="11" s="1"/>
  <c r="A12" i="11"/>
  <c r="A35" i="11" s="1"/>
  <c r="T11" i="11"/>
  <c r="T34" i="11" s="1"/>
  <c r="Q11" i="11"/>
  <c r="Q34" i="11" s="1"/>
  <c r="L11" i="11"/>
  <c r="L34" i="11" s="1"/>
  <c r="J11" i="11"/>
  <c r="J34" i="11" s="1"/>
  <c r="F11" i="11"/>
  <c r="F34" i="11" s="1"/>
  <c r="A11" i="11"/>
  <c r="A34" i="11" s="1"/>
  <c r="T10" i="11"/>
  <c r="T33" i="11" s="1"/>
  <c r="Q10" i="11"/>
  <c r="Q33" i="11" s="1"/>
  <c r="L10" i="11"/>
  <c r="L33" i="11" s="1"/>
  <c r="J10" i="11"/>
  <c r="J33" i="11" s="1"/>
  <c r="F10" i="11"/>
  <c r="F33" i="11" s="1"/>
  <c r="A10" i="11"/>
  <c r="A33" i="11" s="1"/>
  <c r="T9" i="11"/>
  <c r="T32" i="11" s="1"/>
  <c r="Q9" i="11"/>
  <c r="Q32" i="11" s="1"/>
  <c r="L9" i="11"/>
  <c r="L32" i="11" s="1"/>
  <c r="J9" i="11"/>
  <c r="J32" i="11" s="1"/>
  <c r="F9" i="11"/>
  <c r="F32" i="11" s="1"/>
  <c r="A9" i="11"/>
  <c r="A32" i="11" s="1"/>
  <c r="T8" i="11"/>
  <c r="T31" i="11" s="1"/>
  <c r="Q8" i="11"/>
  <c r="Q31" i="11" s="1"/>
  <c r="L8" i="11"/>
  <c r="L31" i="11" s="1"/>
  <c r="J8" i="11"/>
  <c r="F8" i="11"/>
  <c r="F31" i="11" s="1"/>
  <c r="A8" i="11"/>
  <c r="A31" i="11" s="1"/>
  <c r="T6" i="11"/>
  <c r="T29" i="11" s="1"/>
  <c r="C6" i="11"/>
  <c r="C29" i="11" s="1"/>
  <c r="C5" i="11"/>
  <c r="C28" i="11" s="1"/>
  <c r="C4" i="11"/>
  <c r="C27" i="11" s="1"/>
  <c r="C3" i="11"/>
  <c r="C26" i="11" s="1"/>
  <c r="T25" i="11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J28" i="19"/>
  <c r="I28" i="19"/>
  <c r="H28" i="19"/>
  <c r="E12" i="19"/>
  <c r="J20" i="11" l="1"/>
  <c r="J43" i="11" s="1"/>
  <c r="J31" i="11"/>
  <c r="K4" i="19"/>
  <c r="K6" i="19" s="1"/>
  <c r="F21" i="11" s="1"/>
  <c r="F44" i="11" s="1"/>
  <c r="Q21" i="11"/>
  <c r="Q44" i="11" s="1"/>
  <c r="Q20" i="11" l="1"/>
  <c r="Q43" i="11" s="1"/>
</calcChain>
</file>

<file path=xl/sharedStrings.xml><?xml version="1.0" encoding="utf-8"?>
<sst xmlns="http://schemas.openxmlformats.org/spreadsheetml/2006/main" count="1909" uniqueCount="1473">
  <si>
    <t>제품명</t>
    <phoneticPr fontId="1" type="noConversion"/>
  </si>
  <si>
    <t>제품코드</t>
    <phoneticPr fontId="1" type="noConversion"/>
  </si>
  <si>
    <t>ID</t>
    <phoneticPr fontId="1" type="noConversion"/>
  </si>
  <si>
    <t>단위</t>
    <phoneticPr fontId="1" type="noConversion"/>
  </si>
  <si>
    <t>비고</t>
    <phoneticPr fontId="1" type="noConversion"/>
  </si>
  <si>
    <t>EA</t>
    <phoneticPr fontId="1" type="noConversion"/>
  </si>
  <si>
    <t>BOX</t>
    <phoneticPr fontId="1" type="noConversion"/>
  </si>
  <si>
    <t>CTN</t>
    <phoneticPr fontId="1" type="noConversion"/>
  </si>
  <si>
    <t>거래처명</t>
    <phoneticPr fontId="1" type="noConversion"/>
  </si>
  <si>
    <t>연락처</t>
    <phoneticPr fontId="1" type="noConversion"/>
  </si>
  <si>
    <t>주소</t>
    <phoneticPr fontId="1" type="noConversion"/>
  </si>
  <si>
    <t>ID_제품</t>
    <phoneticPr fontId="1" type="noConversion"/>
  </si>
  <si>
    <t>입출고내역 입력</t>
    <phoneticPr fontId="1" type="noConversion"/>
  </si>
  <si>
    <t>순번</t>
    <phoneticPr fontId="1" type="noConversion"/>
  </si>
  <si>
    <t>일자</t>
    <phoneticPr fontId="1" type="noConversion"/>
  </si>
  <si>
    <t>ID_재고</t>
    <phoneticPr fontId="1" type="noConversion"/>
  </si>
  <si>
    <t>입고수량</t>
    <phoneticPr fontId="1" type="noConversion"/>
  </si>
  <si>
    <t>출고수량</t>
    <phoneticPr fontId="1" type="noConversion"/>
  </si>
  <si>
    <t>PCS</t>
    <phoneticPr fontId="1" type="noConversion"/>
  </si>
  <si>
    <t>PLT</t>
  </si>
  <si>
    <t>CAN</t>
  </si>
  <si>
    <t>기본제품ID</t>
    <phoneticPr fontId="1" type="noConversion"/>
  </si>
  <si>
    <t>기본제품기준수량</t>
    <phoneticPr fontId="1" type="noConversion"/>
  </si>
  <si>
    <t>프로모션제품ID</t>
    <phoneticPr fontId="1" type="noConversion"/>
  </si>
  <si>
    <t>프로모션제공수량</t>
    <phoneticPr fontId="1" type="noConversion"/>
  </si>
  <si>
    <t>프로모션 제품</t>
    <phoneticPr fontId="1" type="noConversion"/>
  </si>
  <si>
    <t>미르오토</t>
    <phoneticPr fontId="1" type="noConversion"/>
  </si>
  <si>
    <t>010-6859-2065</t>
    <phoneticPr fontId="1" type="noConversion"/>
  </si>
  <si>
    <t>대구 서구 가르뱅이로10길 3-5</t>
    <phoneticPr fontId="1" type="noConversion"/>
  </si>
  <si>
    <t>배송</t>
    <phoneticPr fontId="1" type="noConversion"/>
  </si>
  <si>
    <t>하정오토</t>
  </si>
  <si>
    <t>010-8752-6273</t>
  </si>
  <si>
    <t>광주광역시 서구 풍서우로 148</t>
  </si>
  <si>
    <t>대구</t>
    <phoneticPr fontId="1" type="noConversion"/>
  </si>
  <si>
    <t>연화오토</t>
  </si>
  <si>
    <t>010-8854-0599</t>
  </si>
  <si>
    <t>대구광역시 달서구 호산동로 6-8</t>
  </si>
  <si>
    <t>BENZ</t>
    <phoneticPr fontId="1" type="noConversion"/>
  </si>
  <si>
    <t>사업자 번호</t>
    <phoneticPr fontId="1" type="noConversion"/>
  </si>
  <si>
    <t>배송구분</t>
    <phoneticPr fontId="1" type="noConversion"/>
  </si>
  <si>
    <t>배송지주소</t>
    <phoneticPr fontId="1" type="noConversion"/>
  </si>
  <si>
    <t>경동(화물)</t>
    <phoneticPr fontId="1" type="noConversion"/>
  </si>
  <si>
    <t>경동(택배)</t>
    <phoneticPr fontId="1" type="noConversion"/>
  </si>
  <si>
    <t>대신(화물)</t>
    <phoneticPr fontId="1" type="noConversion"/>
  </si>
  <si>
    <t>대신(택배)</t>
    <phoneticPr fontId="1" type="noConversion"/>
  </si>
  <si>
    <t>구분</t>
    <phoneticPr fontId="1" type="noConversion"/>
  </si>
  <si>
    <t>GS</t>
    <phoneticPr fontId="1" type="noConversion"/>
  </si>
  <si>
    <t>경동(화물)</t>
    <phoneticPr fontId="1" type="noConversion"/>
  </si>
  <si>
    <t>GS</t>
    <phoneticPr fontId="1" type="noConversion"/>
  </si>
  <si>
    <t>GA</t>
    <phoneticPr fontId="1" type="noConversion"/>
  </si>
  <si>
    <t>GB</t>
    <phoneticPr fontId="1" type="noConversion"/>
  </si>
  <si>
    <t>구분</t>
    <phoneticPr fontId="1" type="noConversion"/>
  </si>
  <si>
    <t>부산사상구</t>
    <phoneticPr fontId="1" type="noConversion"/>
  </si>
  <si>
    <t>단가</t>
    <phoneticPr fontId="1" type="noConversion"/>
  </si>
  <si>
    <t>차량구분</t>
    <phoneticPr fontId="1" type="noConversion"/>
  </si>
  <si>
    <t>Part No</t>
    <phoneticPr fontId="1" type="noConversion"/>
  </si>
  <si>
    <t>단가</t>
    <phoneticPr fontId="1" type="noConversion"/>
  </si>
  <si>
    <t>Part No</t>
    <phoneticPr fontId="1" type="noConversion"/>
  </si>
  <si>
    <t>차량구분</t>
    <phoneticPr fontId="1" type="noConversion"/>
  </si>
  <si>
    <t>출고수량</t>
    <phoneticPr fontId="1" type="noConversion"/>
  </si>
  <si>
    <t>PartNo</t>
    <phoneticPr fontId="1" type="noConversion"/>
  </si>
  <si>
    <t>단가</t>
    <phoneticPr fontId="1" type="noConversion"/>
  </si>
  <si>
    <t>입고</t>
    <phoneticPr fontId="1" type="noConversion"/>
  </si>
  <si>
    <t>출고</t>
    <phoneticPr fontId="1" type="noConversion"/>
  </si>
  <si>
    <t>비고</t>
    <phoneticPr fontId="1" type="noConversion"/>
  </si>
  <si>
    <t>Volkswagen</t>
  </si>
  <si>
    <t>거래처</t>
    <phoneticPr fontId="1" type="noConversion"/>
  </si>
  <si>
    <t>수량</t>
    <phoneticPr fontId="1" type="noConversion"/>
  </si>
  <si>
    <t>ID_거래처</t>
    <phoneticPr fontId="1" type="noConversion"/>
  </si>
  <si>
    <t>재고수량</t>
    <phoneticPr fontId="1" type="noConversion"/>
  </si>
  <si>
    <t>주문제품</t>
    <phoneticPr fontId="1" type="noConversion"/>
  </si>
  <si>
    <t>PartNo</t>
    <phoneticPr fontId="1" type="noConversion"/>
  </si>
  <si>
    <t>총주문가격</t>
    <phoneticPr fontId="1" type="noConversion"/>
  </si>
  <si>
    <t>조이오토</t>
    <phoneticPr fontId="1" type="noConversion"/>
  </si>
  <si>
    <t>010-4141-9634</t>
    <phoneticPr fontId="1" type="noConversion"/>
  </si>
  <si>
    <t>GS</t>
  </si>
  <si>
    <t>대구광역시 북구 연암로42길 43-1</t>
    <phoneticPr fontId="1" type="noConversion"/>
  </si>
  <si>
    <t>결재금액</t>
    <phoneticPr fontId="1" type="noConversion"/>
  </si>
  <si>
    <t>공급가액</t>
    <phoneticPr fontId="1" type="noConversion"/>
  </si>
  <si>
    <t>상호</t>
    <phoneticPr fontId="1" type="noConversion"/>
  </si>
  <si>
    <t>주소</t>
    <phoneticPr fontId="1" type="noConversion"/>
  </si>
  <si>
    <t>등록
번호</t>
    <phoneticPr fontId="1" type="noConversion"/>
  </si>
  <si>
    <t>성명</t>
    <phoneticPr fontId="1" type="noConversion"/>
  </si>
  <si>
    <t>날짜:</t>
    <phoneticPr fontId="1" type="noConversion"/>
  </si>
  <si>
    <t>인수자:</t>
    <phoneticPr fontId="1" type="noConversion"/>
  </si>
  <si>
    <t>계좌:</t>
    <phoneticPr fontId="1" type="noConversion"/>
  </si>
  <si>
    <t>010-5168-3542</t>
    <phoneticPr fontId="1" type="noConversion"/>
  </si>
  <si>
    <t>수  량</t>
    <phoneticPr fontId="1" type="noConversion"/>
  </si>
  <si>
    <t>공 급 가</t>
    <phoneticPr fontId="1" type="noConversion"/>
  </si>
  <si>
    <t>부 가 세</t>
    <phoneticPr fontId="1" type="noConversion"/>
  </si>
  <si>
    <t>품          명</t>
    <phoneticPr fontId="1" type="noConversion"/>
  </si>
  <si>
    <t>거   래   명   세   서</t>
    <phoneticPr fontId="1" type="noConversion"/>
  </si>
  <si>
    <t>259-12-01768</t>
    <phoneticPr fontId="1" type="noConversion"/>
  </si>
  <si>
    <t>BTS&amp;P</t>
    <phoneticPr fontId="1" type="noConversion"/>
  </si>
  <si>
    <t>장효주</t>
    <phoneticPr fontId="1" type="noConversion"/>
  </si>
  <si>
    <t>대구 달서구 용산로 28(본리동)</t>
    <phoneticPr fontId="1" type="noConversion"/>
  </si>
  <si>
    <t>전화</t>
    <phoneticPr fontId="1" type="noConversion"/>
  </si>
  <si>
    <t xml:space="preserve">  (공급하는자 보관용)</t>
    <phoneticPr fontId="1" type="noConversion"/>
  </si>
  <si>
    <t xml:space="preserve">  (공급받는자 보관용)</t>
    <phoneticPr fontId="1" type="noConversion"/>
  </si>
  <si>
    <t>Part No</t>
    <phoneticPr fontId="1" type="noConversion"/>
  </si>
  <si>
    <t>미수금</t>
    <phoneticPr fontId="1" type="noConversion"/>
  </si>
  <si>
    <t>일자</t>
    <phoneticPr fontId="1" type="noConversion"/>
  </si>
  <si>
    <t>미수금:</t>
    <phoneticPr fontId="1" type="noConversion"/>
  </si>
  <si>
    <t>부가세</t>
    <phoneticPr fontId="1" type="noConversion"/>
  </si>
  <si>
    <t>공급가액</t>
    <phoneticPr fontId="1" type="noConversion"/>
  </si>
  <si>
    <t>일자</t>
    <phoneticPr fontId="1" type="noConversion"/>
  </si>
  <si>
    <t>제품코드</t>
    <phoneticPr fontId="1" type="noConversion"/>
  </si>
  <si>
    <t>제품명</t>
    <phoneticPr fontId="1" type="noConversion"/>
  </si>
  <si>
    <t>단가</t>
    <phoneticPr fontId="1" type="noConversion"/>
  </si>
  <si>
    <t>수량</t>
    <phoneticPr fontId="1" type="noConversion"/>
  </si>
  <si>
    <t>결재금액</t>
    <phoneticPr fontId="1" type="noConversion"/>
  </si>
  <si>
    <t>ID</t>
    <phoneticPr fontId="1" type="noConversion"/>
  </si>
  <si>
    <t>Total</t>
    <phoneticPr fontId="1" type="noConversion"/>
  </si>
  <si>
    <t>연락처</t>
    <phoneticPr fontId="1" type="noConversion"/>
  </si>
  <si>
    <t>부가세 선택</t>
    <phoneticPr fontId="1" type="noConversion"/>
  </si>
  <si>
    <t>총합계(주문가+미수금)</t>
    <phoneticPr fontId="1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</si>
  <si>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</si>
  <si>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</si>
  <si>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</si>
  <si>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</si>
  <si>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</si>
  <si>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</si>
  <si>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</si>
  <si>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</si>
  <si>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</si>
  <si>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</si>
  <si>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</si>
  <si>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</si>
  <si>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</si>
  <si>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</si>
  <si>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</si>
  <si>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</si>
  <si>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</si>
  <si>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</si>
  <si>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</si>
  <si>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</si>
  <si>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</si>
  <si>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</si>
  <si>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</si>
  <si>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</si>
  <si>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</si>
  <si>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</si>
  <si>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</si>
  <si>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</si>
  <si>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</si>
  <si>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</si>
  <si>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</si>
  <si>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</si>
  <si>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</si>
  <si>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</si>
  <si>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</si>
  <si>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</si>
  <si>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</si>
  <si>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</si>
  <si>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</si>
  <si>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</si>
  <si>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</si>
  <si>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</si>
  <si>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</si>
  <si>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</si>
  <si>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</si>
  <si>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</si>
  <si>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</si>
  <si>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</si>
  <si>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</si>
  <si>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</si>
  <si>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</si>
  <si>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</si>
  <si>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</si>
  <si>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</si>
  <si>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</si>
  <si>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</si>
  <si>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</si>
  <si>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</si>
  <si>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</si>
  <si>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</si>
  <si>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</si>
  <si>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</si>
  <si>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</si>
  <si>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</si>
  <si>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</si>
  <si>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</si>
  <si>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</si>
  <si>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</si>
  <si>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</si>
  <si>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</si>
  <si>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</si>
  <si>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</si>
  <si>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</si>
  <si>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</si>
  <si>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</si>
  <si>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</si>
  <si>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</si>
  <si>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</si>
  <si>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</si>
  <si>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</si>
  <si>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</si>
  <si>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</si>
  <si>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</si>
  <si>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</si>
  <si>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</si>
  <si>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</si>
  <si>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</si>
  <si>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</si>
  <si>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</si>
  <si>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</si>
  <si>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</si>
  <si>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</si>
  <si>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</si>
  <si>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</si>
  <si>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</si>
  <si>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</si>
  <si>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</si>
  <si>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</si>
  <si>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</si>
  <si>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</si>
  <si>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</si>
  <si>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</si>
  <si>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</si>
  <si>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</si>
  <si>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</si>
  <si>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</si>
  <si>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</si>
  <si>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</si>
  <si>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</si>
  <si>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</si>
  <si>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</si>
  <si>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</si>
  <si>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</si>
  <si>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</si>
  <si>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</si>
  <si>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</si>
  <si>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</si>
  <si>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</si>
  <si>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</si>
  <si>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</si>
  <si>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</si>
  <si>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</si>
  <si>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</si>
  <si>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</si>
  <si>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</si>
  <si>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</si>
  <si>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</si>
  <si>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</si>
  <si>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</si>
  <si>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</si>
  <si>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</si>
  <si>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</si>
  <si>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</si>
  <si>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</si>
  <si>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</si>
  <si>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</si>
  <si>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</si>
  <si>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</si>
  <si>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</si>
  <si>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</si>
  <si>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</si>
  <si>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</si>
  <si>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</si>
  <si>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</si>
  <si>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</si>
  <si>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</si>
  <si>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</si>
  <si>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</si>
  <si>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</si>
  <si>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</si>
  <si>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</si>
  <si>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</si>
  <si>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</si>
  <si>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</si>
  <si>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</si>
  <si>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</si>
  <si>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</si>
  <si>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</si>
  <si>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</si>
  <si>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</si>
  <si>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</si>
  <si>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</si>
  <si>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</si>
  <si>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</si>
  <si>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</si>
  <si>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</si>
  <si>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</si>
  <si>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</si>
  <si>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</si>
  <si>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</si>
  <si>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</si>
  <si>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</si>
  <si>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</si>
  <si>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</si>
  <si>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</si>
  <si>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</si>
  <si>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</si>
  <si>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</si>
  <si>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</si>
  <si>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</si>
  <si>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</si>
  <si>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</si>
  <si>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</si>
  <si>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</si>
  <si>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</si>
  <si>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</si>
  <si>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</si>
  <si>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</si>
  <si>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</si>
  <si>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</si>
  <si>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</si>
  <si>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</si>
  <si>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</si>
  <si>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</si>
  <si>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</si>
  <si>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</si>
  <si>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</si>
  <si>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</si>
  <si>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</si>
  <si>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</si>
  <si>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</si>
  <si>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</si>
  <si>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</si>
  <si>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</si>
  <si>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</si>
  <si>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</si>
  <si>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</si>
  <si>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</si>
  <si>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</si>
  <si>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</si>
  <si>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</si>
  <si>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</si>
  <si>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</si>
  <si>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</si>
  <si>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</si>
  <si>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</si>
  <si>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</si>
  <si>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</si>
  <si>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</si>
  <si>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</si>
  <si>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</si>
  <si>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</si>
  <si>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</si>
  <si>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</si>
  <si>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</si>
  <si>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</si>
  <si>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</si>
  <si>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</si>
  <si>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</si>
  <si>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</si>
  <si>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</si>
  <si>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</si>
  <si>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</si>
  <si>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</si>
  <si>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</si>
  <si>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</si>
  <si>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</si>
  <si>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</si>
  <si>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</si>
  <si>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</si>
  <si>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</si>
  <si>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</si>
  <si>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</si>
  <si>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</si>
  <si>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</si>
  <si>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</si>
  <si>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</si>
  <si>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</si>
  <si>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</si>
  <si>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</si>
  <si>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</si>
  <si>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</si>
  <si>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</si>
  <si>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</si>
  <si>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</si>
  <si>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</si>
  <si>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</si>
  <si>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</si>
  <si>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</si>
  <si>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</si>
  <si>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</si>
  <si>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</si>
  <si>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</si>
  <si>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</si>
  <si>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</si>
  <si>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</si>
  <si>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</si>
  <si>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</si>
  <si>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</si>
  <si>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</si>
  <si>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</si>
  <si>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</si>
  <si>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</si>
  <si>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</si>
  <si>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</si>
  <si>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</si>
  <si>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</si>
  <si>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</si>
  <si>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</si>
  <si>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</si>
  <si>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</si>
  <si>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</si>
  <si>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</si>
  <si>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</si>
  <si>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</si>
  <si>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</si>
  <si>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</si>
  <si>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</si>
  <si>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</si>
  <si>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</si>
  <si>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</si>
  <si>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</si>
  <si>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</si>
  <si>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</si>
  <si>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</si>
  <si>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</si>
  <si>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</si>
  <si>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</si>
  <si>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</si>
  <si>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</si>
  <si>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</si>
  <si>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</si>
  <si>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</si>
  <si>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</si>
  <si>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</si>
  <si>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</si>
  <si>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</si>
  <si>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</si>
  <si>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</si>
  <si>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</si>
  <si>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</si>
  <si>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</si>
  <si>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</si>
  <si>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</si>
  <si>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</si>
  <si>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</si>
  <si>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</si>
  <si>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</si>
  <si>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</si>
  <si>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</si>
  <si>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</si>
  <si>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</si>
  <si>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</si>
  <si>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</si>
  <si>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</si>
  <si>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</si>
  <si>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</si>
  <si>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</si>
  <si>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</si>
  <si>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</si>
  <si>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</si>
  <si>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</si>
  <si>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</si>
  <si>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</si>
  <si>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</si>
  <si>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</si>
  <si>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</si>
  <si>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</si>
  <si>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</si>
  <si>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</si>
  <si>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</si>
  <si>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</si>
  <si>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</si>
  <si>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</si>
  <si>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</si>
  <si>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</si>
  <si>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</si>
  <si>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</si>
  <si>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</si>
  <si>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</si>
  <si>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</si>
  <si>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</si>
  <si>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</si>
  <si>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</si>
  <si>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</si>
  <si>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</si>
  <si>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</si>
  <si>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</si>
  <si>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</si>
  <si>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</si>
  <si>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</si>
  <si>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</si>
  <si>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</si>
  <si>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</si>
  <si>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</si>
  <si>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</si>
  <si>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</si>
  <si>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</si>
  <si>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</si>
  <si>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</si>
  <si>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</si>
  <si>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</si>
  <si>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</si>
  <si>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</si>
  <si>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</si>
  <si>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</si>
  <si>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</si>
  <si>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</si>
  <si>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</si>
  <si>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</si>
  <si>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</si>
  <si>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</si>
  <si>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</si>
  <si>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</si>
  <si>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</si>
  <si>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</si>
  <si>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</si>
  <si>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</si>
  <si>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</si>
  <si>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</si>
  <si>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</si>
  <si>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</si>
  <si>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</si>
  <si>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</si>
  <si>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</si>
  <si>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</si>
  <si>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</si>
  <si>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</si>
  <si>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</si>
  <si>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</si>
  <si>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</si>
  <si>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</si>
  <si>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</si>
  <si>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</si>
  <si>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</si>
  <si>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</si>
  <si>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</si>
  <si>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</si>
  <si>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</si>
  <si>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</si>
  <si>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</si>
  <si>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</si>
  <si>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</si>
  <si>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</si>
  <si>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</si>
  <si>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</si>
  <si>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</si>
  <si>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</si>
  <si>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</si>
  <si>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</si>
  <si>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</si>
  <si>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</si>
  <si>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</si>
  <si>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</si>
  <si>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</si>
  <si>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</si>
  <si>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</si>
  <si>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</si>
  <si>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</si>
  <si>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</si>
  <si>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</si>
  <si>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</si>
  <si>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</si>
  <si>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</si>
  <si>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</si>
  <si>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</si>
  <si>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</si>
  <si>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</si>
  <si>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</si>
  <si>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</si>
  <si>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</si>
  <si>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</si>
  <si>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</si>
  <si>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</si>
  <si>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</si>
  <si>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</si>
  <si>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</si>
  <si>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</si>
  <si>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</si>
  <si>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</si>
  <si>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</si>
  <si>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</si>
  <si>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</si>
  <si>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</si>
  <si>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</si>
  <si>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</si>
  <si>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</si>
  <si>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</si>
  <si>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</si>
  <si>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</si>
  <si>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</si>
  <si>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</si>
  <si>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</si>
  <si>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</si>
  <si>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</si>
  <si>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</si>
  <si>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</si>
  <si>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</si>
  <si>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</si>
  <si>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</si>
  <si>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</si>
  <si>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</si>
  <si>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</si>
  <si>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</si>
  <si>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</si>
  <si>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</si>
  <si>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</si>
  <si>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</si>
  <si>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</si>
  <si>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</si>
  <si>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</si>
  <si>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</si>
  <si>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</si>
  <si>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</si>
  <si>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</si>
  <si>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</si>
  <si>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</si>
  <si>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</si>
  <si>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</si>
  <si>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</si>
  <si>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</si>
  <si>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</si>
  <si>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</si>
  <si>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</si>
  <si>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</si>
  <si>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</si>
  <si>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</si>
  <si>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</si>
  <si>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</si>
  <si>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</si>
  <si>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</si>
  <si>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</si>
  <si>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</si>
  <si>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</si>
  <si>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</si>
  <si>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</si>
  <si>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</si>
  <si>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</si>
  <si>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</si>
  <si>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</si>
  <si>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</si>
  <si>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</si>
  <si>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</si>
  <si>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</si>
  <si>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</si>
  <si>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</si>
  <si>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</si>
  <si>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</si>
  <si>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</si>
  <si>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</si>
  <si>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</si>
  <si>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</si>
  <si>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</si>
  <si>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</si>
  <si>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</si>
  <si>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</si>
  <si>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</si>
  <si>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</si>
  <si>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</si>
  <si>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</si>
  <si>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</si>
  <si>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</si>
  <si>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</si>
  <si>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</si>
  <si>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</si>
  <si>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</si>
  <si>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</si>
  <si>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</si>
  <si>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</si>
  <si>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</si>
  <si>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</si>
  <si>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</si>
  <si>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</si>
  <si>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</si>
  <si>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</si>
  <si>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</si>
  <si>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</si>
  <si>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</si>
  <si>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</si>
  <si>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</si>
  <si>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</si>
  <si>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</si>
  <si>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</si>
  <si>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</si>
  <si>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</si>
  <si>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</si>
  <si>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</si>
  <si>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</si>
  <si>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</si>
  <si>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</si>
  <si>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</si>
  <si>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</si>
  <si>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</si>
  <si>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</si>
  <si>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</si>
  <si>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</si>
  <si>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</si>
  <si>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</si>
  <si>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</si>
  <si>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</si>
  <si>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</si>
  <si>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</si>
  <si>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</si>
  <si>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</si>
  <si>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</si>
  <si>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</si>
  <si>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</si>
  <si>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</si>
  <si>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</si>
  <si>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</si>
  <si>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</si>
  <si>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</si>
  <si>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</si>
  <si>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</si>
  <si>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</si>
  <si>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</si>
  <si>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</si>
  <si>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</si>
  <si>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</si>
  <si>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</si>
  <si>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</si>
  <si>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</si>
  <si>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</si>
  <si>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</si>
  <si>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</si>
  <si>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</si>
  <si>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</si>
  <si>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</si>
  <si>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</si>
  <si>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</si>
  <si>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</si>
  <si>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</si>
  <si>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</si>
  <si>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</si>
  <si>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</si>
  <si>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</si>
  <si>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</si>
  <si>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</si>
  <si>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</si>
  <si>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</si>
  <si>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</si>
  <si>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</si>
  <si>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</si>
  <si>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</si>
  <si>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</si>
  <si>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</si>
  <si>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</si>
  <si>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</si>
  <si>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</si>
  <si>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</si>
  <si>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</si>
  <si>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</si>
  <si>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</si>
  <si>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</si>
  <si>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</si>
  <si>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</si>
  <si>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</si>
  <si>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</si>
  <si>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</si>
  <si>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</si>
  <si>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</si>
  <si>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</si>
  <si>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</si>
  <si>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</si>
  <si>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</si>
  <si>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</si>
  <si>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</si>
  <si>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</si>
  <si>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</si>
  <si>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</si>
  <si>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</si>
  <si>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</si>
  <si>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</si>
  <si>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</si>
  <si>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</si>
  <si>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</si>
  <si>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</si>
  <si>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</si>
  <si>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</si>
  <si>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</si>
  <si>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</si>
  <si>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</si>
  <si>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</si>
  <si>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</si>
  <si>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</si>
  <si>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</si>
  <si>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</si>
  <si>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</si>
  <si>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</si>
  <si>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</si>
  <si>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</si>
  <si>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</si>
  <si>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</si>
  <si>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</si>
  <si>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</si>
  <si>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</si>
  <si>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</si>
  <si>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</si>
  <si>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</si>
  <si>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</si>
  <si>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</si>
  <si>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</si>
  <si>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</si>
  <si>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</si>
  <si>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</si>
  <si>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</si>
  <si>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</si>
  <si>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</si>
  <si>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</si>
  <si>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</si>
  <si>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</si>
  <si>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</si>
  <si>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</si>
  <si>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</si>
  <si>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</si>
  <si>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</si>
  <si>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</si>
  <si>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</si>
  <si>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</si>
  <si>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</si>
  <si>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</si>
  <si>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</si>
  <si>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</si>
  <si>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</si>
  <si>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</si>
  <si>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</si>
  <si>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</si>
  <si>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</si>
  <si>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</si>
  <si>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</si>
  <si>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</si>
  <si>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</si>
  <si>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</si>
  <si>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</si>
  <si>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</si>
  <si>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</si>
  <si>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</si>
  <si>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</si>
  <si>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</si>
  <si>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</si>
  <si>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</si>
  <si>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</si>
  <si>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</si>
  <si>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</si>
  <si>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</si>
  <si>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</si>
  <si>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</si>
  <si>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</si>
  <si>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</si>
  <si>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</si>
  <si>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</si>
  <si>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</si>
  <si>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</si>
  <si>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</si>
  <si>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</si>
  <si>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</si>
  <si>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</si>
  <si>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</si>
  <si>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</si>
  <si>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</si>
  <si>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</si>
  <si>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</si>
  <si>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</si>
  <si>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</si>
  <si>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</si>
  <si>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</si>
  <si>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</si>
  <si>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</si>
  <si>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</si>
  <si>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</si>
  <si>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</si>
  <si>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</si>
  <si>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</si>
  <si>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</si>
  <si>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</si>
  <si>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</si>
  <si>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</si>
  <si>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</si>
  <si>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</si>
  <si>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</si>
  <si>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</si>
  <si>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</si>
  <si>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</si>
  <si>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</si>
  <si>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</si>
  <si>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</si>
  <si>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</si>
  <si>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</si>
  <si>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</si>
  <si>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</si>
  <si>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</si>
  <si>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</si>
  <si>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</si>
  <si>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</si>
  <si>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</si>
  <si>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</si>
  <si>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</si>
  <si>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</si>
  <si>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</si>
  <si>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</si>
  <si>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</si>
  <si>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</si>
  <si>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</si>
  <si>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</si>
  <si>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</si>
  <si>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</si>
  <si>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</si>
  <si>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</si>
  <si>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</si>
  <si>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</si>
  <si>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</si>
  <si>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</si>
  <si>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</si>
  <si>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</si>
  <si>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</si>
  <si>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</si>
  <si>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</si>
  <si>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</si>
  <si>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</si>
  <si>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</si>
  <si>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</si>
  <si>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</si>
  <si>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</si>
  <si>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</si>
  <si>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</si>
  <si>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</si>
  <si>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</si>
  <si>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</si>
  <si>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</si>
  <si>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</si>
  <si>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</si>
  <si>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</si>
  <si>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</si>
  <si>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</si>
  <si>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</si>
  <si>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</si>
  <si>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</si>
  <si>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</si>
  <si>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</si>
  <si>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</si>
  <si>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</si>
  <si>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</si>
  <si>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</si>
  <si>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</si>
  <si>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</si>
  <si>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</si>
  <si>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</si>
  <si>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</si>
  <si>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</si>
  <si>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</si>
  <si>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</si>
  <si>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</si>
  <si>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</si>
  <si>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</si>
  <si>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</si>
  <si>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</si>
  <si>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</si>
  <si>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</si>
  <si>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</si>
  <si>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</si>
  <si>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</si>
  <si>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</si>
  <si>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</si>
  <si>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</si>
  <si>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</si>
  <si>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</si>
  <si>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</si>
  <si>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</si>
  <si>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</si>
  <si>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</si>
  <si>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</si>
  <si>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</si>
  <si>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</si>
  <si>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</si>
  <si>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</si>
  <si>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</si>
  <si>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</si>
  <si>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</si>
  <si>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</si>
  <si>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</si>
  <si>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</si>
  <si>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</si>
  <si>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</si>
  <si>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</si>
  <si>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</si>
  <si>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</si>
  <si>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</si>
  <si>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</si>
  <si>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</si>
  <si>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</si>
  <si>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</si>
  <si>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</si>
  <si>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</si>
  <si>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</si>
  <si>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</si>
  <si>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1" type="noConversion"/>
  </si>
  <si>
    <t>PartNo</t>
    <phoneticPr fontId="1" type="noConversion"/>
  </si>
  <si>
    <t>177-01-03420</t>
    <phoneticPr fontId="1" type="noConversion"/>
  </si>
  <si>
    <t>합계:</t>
    <phoneticPr fontId="1" type="noConversion"/>
  </si>
  <si>
    <t>이전 미수금</t>
    <phoneticPr fontId="1" type="noConversion"/>
  </si>
  <si>
    <t>주문+이전미수금</t>
    <phoneticPr fontId="1" type="noConversion"/>
  </si>
  <si>
    <t>259-12-01768</t>
  </si>
  <si>
    <t>경동(화물)</t>
  </si>
  <si>
    <t>BTS&amp;P</t>
  </si>
  <si>
    <t>납품자:</t>
    <phoneticPr fontId="1" type="noConversion"/>
  </si>
  <si>
    <t>대명오토</t>
  </si>
  <si>
    <t>010-3218-6031</t>
  </si>
  <si>
    <t>서울 서초구 마방로2길 20</t>
  </si>
  <si>
    <t>한신오토미션</t>
  </si>
  <si>
    <t>010-5260-3253</t>
  </si>
  <si>
    <t>서울시 송파구 송파대로 24길5</t>
  </si>
  <si>
    <t>프로오토미션</t>
  </si>
  <si>
    <t>010-7473-7271</t>
  </si>
  <si>
    <t>GA</t>
  </si>
  <si>
    <t>광주광역시 서구 월드컵4강로237</t>
  </si>
  <si>
    <t>AZ제일오토미션</t>
  </si>
  <si>
    <t>010-6235-6470</t>
  </si>
  <si>
    <t>전남 순천시 우석로81</t>
  </si>
  <si>
    <t>010-3838-0429</t>
    <phoneticPr fontId="1" type="noConversion"/>
  </si>
  <si>
    <t>부산 사상구 학장동 학감대로 145</t>
    <phoneticPr fontId="1" type="noConversion"/>
  </si>
  <si>
    <t>수레카모터스</t>
    <phoneticPr fontId="1" type="noConversion"/>
  </si>
  <si>
    <t>010-8720-9825</t>
    <phoneticPr fontId="1" type="noConversion"/>
  </si>
  <si>
    <t>인천 부평구 수변로 89-1</t>
    <phoneticPr fontId="1" type="noConversion"/>
  </si>
  <si>
    <t>경동(화물)</t>
    <phoneticPr fontId="1" type="noConversion"/>
  </si>
  <si>
    <t>춘의190</t>
  </si>
  <si>
    <t>명차</t>
  </si>
  <si>
    <t>010-2050-8899</t>
  </si>
  <si>
    <t>대구 서구 문화로 17길 39</t>
  </si>
  <si>
    <t>대구</t>
  </si>
  <si>
    <t>한국오토정비공업사</t>
  </si>
  <si>
    <t>010-3573-5439</t>
  </si>
  <si>
    <t>울산 남구 삼산로 402번길 21</t>
  </si>
  <si>
    <t>대신(화물)</t>
  </si>
  <si>
    <t>스카이오토미션</t>
  </si>
  <si>
    <t>010-2278-2326</t>
  </si>
  <si>
    <t>충남 천안시 동남구 유량로 153</t>
  </si>
  <si>
    <t>마일레오토(마포)</t>
  </si>
  <si>
    <t>010-8232-7418</t>
  </si>
  <si>
    <t>서울시 마포구 서강로 70</t>
  </si>
  <si>
    <t>마일레오토(군포)</t>
  </si>
  <si>
    <t>010-8779-3722</t>
  </si>
  <si>
    <t>경기도 군포시 군포로 121</t>
  </si>
  <si>
    <t>한국오토(일산)</t>
    <phoneticPr fontId="1" type="noConversion"/>
  </si>
  <si>
    <t>010-6322-0551</t>
    <phoneticPr fontId="1" type="noConversion"/>
  </si>
  <si>
    <t>GA</t>
    <phoneticPr fontId="1" type="noConversion"/>
  </si>
  <si>
    <t>경기도 고양시 일산서구 송포로 349</t>
    <phoneticPr fontId="1" type="noConversion"/>
  </si>
  <si>
    <t>메르카바(고양)</t>
    <phoneticPr fontId="1" type="noConversion"/>
  </si>
  <si>
    <t>010-8743-2402</t>
    <phoneticPr fontId="1" type="noConversion"/>
  </si>
  <si>
    <t>GS</t>
    <phoneticPr fontId="1" type="noConversion"/>
  </si>
  <si>
    <t>경기도 고양시 덕양구 토당로 9</t>
    <phoneticPr fontId="1" type="noConversion"/>
  </si>
  <si>
    <t>경기 고양 백석1115지점</t>
    <phoneticPr fontId="1" type="noConversion"/>
  </si>
  <si>
    <t>한국오토(안양)</t>
  </si>
  <si>
    <t>010-9220-4828</t>
  </si>
  <si>
    <t>경기도 군포시 금정동 1-40</t>
  </si>
  <si>
    <t>마이오토</t>
  </si>
  <si>
    <t>010-7326-0913</t>
  </si>
  <si>
    <t>전북 완주군 삼례읍 삼봉로 344</t>
  </si>
  <si>
    <t>차닥터남모터스</t>
  </si>
  <si>
    <t>010-4821-1735</t>
  </si>
  <si>
    <t>인천 서구 북항로 120번길 13-6</t>
  </si>
  <si>
    <t>디에이치모터스</t>
  </si>
  <si>
    <t>010-9033-8865</t>
  </si>
  <si>
    <t>서울특별시 동대문구 장안벛꽃로 27</t>
  </si>
  <si>
    <t>하오르모터스</t>
  </si>
  <si>
    <t>010-3687-3573</t>
  </si>
  <si>
    <t>부산 수영구 반포로 32</t>
  </si>
  <si>
    <t>신일모터스</t>
  </si>
  <si>
    <t>010-9220-4599</t>
  </si>
  <si>
    <t>경북 경주시 용황로11길 26-11</t>
  </si>
  <si>
    <t>제이씨오토</t>
  </si>
  <si>
    <t>010-2399-2804</t>
  </si>
  <si>
    <t>충천만도 예산군 예산읍 발연로 60-5</t>
  </si>
  <si>
    <t>SJ모터스</t>
  </si>
  <si>
    <t>010-5883-6482</t>
  </si>
  <si>
    <t>부산 금정구 범어천로 7-8</t>
  </si>
  <si>
    <t>지오모터스</t>
  </si>
  <si>
    <t>010-5317-7200</t>
  </si>
  <si>
    <t>경남 창원시 마산회원구 자유무역1길 92</t>
  </si>
  <si>
    <t>신일오토</t>
  </si>
  <si>
    <t>010-5851-3115</t>
  </si>
  <si>
    <t>부산광역시 남구 유엔로 212</t>
  </si>
  <si>
    <t>상상오토컴퍼니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</si>
  <si>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</si>
  <si>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</si>
  <si>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</si>
  <si>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</si>
  <si>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</si>
  <si>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</si>
  <si>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</si>
  <si>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</si>
  <si>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한독오토</t>
  </si>
  <si>
    <t>010-9114-3008</t>
  </si>
  <si>
    <t>대구광역시 달서구 달구벌대로 1374</t>
  </si>
  <si>
    <t>대성오토</t>
  </si>
  <si>
    <t>010-7519-0971</t>
  </si>
  <si>
    <t>대구광역시 남구 대명복개로 51</t>
  </si>
  <si>
    <t>오거리카</t>
  </si>
  <si>
    <t>010-8314-0322</t>
  </si>
  <si>
    <t>대구 북구 산격로 7</t>
  </si>
  <si>
    <t>현진미션(칠곡)</t>
  </si>
  <si>
    <t>010-4505-2801</t>
  </si>
  <si>
    <t>대구광역시 북구 태전로1길 36</t>
  </si>
  <si>
    <t>BMW모터스</t>
  </si>
  <si>
    <t>010-8582-4285</t>
  </si>
  <si>
    <t>울산 남구 달동 569-6</t>
  </si>
  <si>
    <t>성민오토</t>
  </si>
  <si>
    <t>010-6261-2920</t>
  </si>
  <si>
    <t>대전 대덕구 비래동로15번길 76</t>
  </si>
  <si>
    <t>제일오토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</si>
  <si>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</si>
  <si>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</si>
  <si>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</si>
  <si>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</si>
  <si>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</si>
  <si>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</si>
  <si>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</si>
  <si>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</si>
  <si>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한결카오토미션</t>
  </si>
  <si>
    <t>010-6488-3631</t>
  </si>
  <si>
    <t>대전 중구 대전천서로 263</t>
  </si>
  <si>
    <t>대덕오토</t>
  </si>
  <si>
    <t>010-5452-4454</t>
  </si>
  <si>
    <t>대전광역시 대덕구 신탄진로614</t>
  </si>
  <si>
    <t>대신(택배)</t>
  </si>
  <si>
    <t>오토서비스</t>
  </si>
  <si>
    <t>010-4131-2070</t>
  </si>
  <si>
    <t>경기도 평택시 평남로 374</t>
  </si>
  <si>
    <t>경남오토미션</t>
  </si>
  <si>
    <t>010-2441-4994</t>
  </si>
  <si>
    <t>경낭남도 창원시 의창구 사화로 286</t>
  </si>
  <si>
    <t>로얄오토</t>
  </si>
  <si>
    <t>010-3547-4485</t>
  </si>
  <si>
    <t>대구광역시 달서구 문화회관5길 63</t>
  </si>
  <si>
    <t>그린오토매틱</t>
  </si>
  <si>
    <t>010-3693-1600</t>
  </si>
  <si>
    <t>제주시 연미2길 16-3(오라3동)</t>
  </si>
  <si>
    <t>현진미션(남대구)</t>
  </si>
  <si>
    <t>010-2991-0341</t>
  </si>
  <si>
    <t>대구광역시 달서구 문화회관6길 12</t>
  </si>
  <si>
    <t>대구오토</t>
  </si>
  <si>
    <t>010-3542-4069</t>
  </si>
  <si>
    <t>대구광역시 달서구 장기로65번길 7</t>
  </si>
  <si>
    <t>현대오토(전주)</t>
    <phoneticPr fontId="1" type="noConversion"/>
  </si>
  <si>
    <t>010-3651-6759</t>
    <phoneticPr fontId="1" type="noConversion"/>
  </si>
  <si>
    <t>전북 전주시 완산구 산월2길 16</t>
    <phoneticPr fontId="1" type="noConversion"/>
  </si>
  <si>
    <t>현대오토(영천)</t>
  </si>
  <si>
    <t>010-6526-9328</t>
  </si>
  <si>
    <t>경상북도 영천시 장수로 64</t>
  </si>
  <si>
    <t>모토매니아</t>
  </si>
  <si>
    <t>010-9900-6293</t>
  </si>
  <si>
    <t>경기도 화성시 양감면 장승백이길4</t>
  </si>
  <si>
    <t>웨스트모터스</t>
  </si>
  <si>
    <t>010-3567-6656</t>
  </si>
  <si>
    <t>대구광역시 서구 와룡로 355</t>
  </si>
  <si>
    <t>진홍오토</t>
  </si>
  <si>
    <t>010-5486-7951</t>
  </si>
  <si>
    <t>대구광역시 달서구 성서서로36길 5-4</t>
  </si>
  <si>
    <t>지원오토미션</t>
  </si>
  <si>
    <t>010-8546-5932</t>
  </si>
  <si>
    <t>경상남도 창원시 마산회원구 봉암공단10길 5</t>
  </si>
  <si>
    <t>엠팩토리</t>
  </si>
  <si>
    <t>010-6315-6046</t>
  </si>
  <si>
    <t>대구 달서구 장기로 382</t>
  </si>
  <si>
    <t>010-5698-1136</t>
  </si>
  <si>
    <t>경북 구미시 산선대로 23</t>
  </si>
  <si>
    <t>부산비엔비(부산)</t>
    <phoneticPr fontId="1" type="noConversion"/>
  </si>
  <si>
    <t>알씨모터스</t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</si>
  <si>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</si>
  <si>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</si>
  <si>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</si>
  <si>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</si>
  <si>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</si>
  <si>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오토젠</t>
  </si>
  <si>
    <t>010-7728-7330</t>
  </si>
  <si>
    <t>경기도 남양주시 별내면 송산로 519-8</t>
  </si>
  <si>
    <t>정인호오토샵</t>
  </si>
  <si>
    <t>010-3543-0211</t>
  </si>
  <si>
    <t>경북 김천시 다삼로 30</t>
  </si>
  <si>
    <t>매드모터스</t>
  </si>
  <si>
    <t>010-4420-6528</t>
  </si>
  <si>
    <t>광주광역시 북구 설죽로142</t>
  </si>
  <si>
    <t>오토세븐</t>
  </si>
  <si>
    <t>010-9459-0999</t>
  </si>
  <si>
    <t>대구 서구 팔달로 72-6</t>
  </si>
  <si>
    <t>오토맥스</t>
  </si>
  <si>
    <t>010-4111-1882</t>
  </si>
  <si>
    <t>대구 달서구 장기로 26</t>
  </si>
  <si>
    <t>세기자동차공업사</t>
  </si>
  <si>
    <t>010-9155-7581</t>
  </si>
  <si>
    <t>인천 미추홀구 승의동 309-10</t>
  </si>
  <si>
    <t>마이스터</t>
  </si>
  <si>
    <t>010-7180-5255</t>
  </si>
  <si>
    <t>대구 서구 염색공단천로 8-1</t>
  </si>
  <si>
    <t>삼호미션</t>
  </si>
  <si>
    <t>010-7472-7003</t>
  </si>
  <si>
    <t>전주시 덕진구 신복로 18-11</t>
  </si>
  <si>
    <t>근모터스</t>
  </si>
  <si>
    <t>0110-8520-0940</t>
  </si>
  <si>
    <t>경상남도 김해시 관동동 1122</t>
  </si>
  <si>
    <t>김해오토</t>
  </si>
  <si>
    <t>010-6571-4560</t>
  </si>
  <si>
    <t>경남 김해시 홍동로 183</t>
  </si>
  <si>
    <t>전주오토(전주)</t>
  </si>
  <si>
    <t>010-6665-7115</t>
  </si>
  <si>
    <t>전자북도 전주시 완산구 쑥고개로 303</t>
  </si>
  <si>
    <t>서기사오토</t>
  </si>
  <si>
    <t>010-6524-1782</t>
  </si>
  <si>
    <t>대구 서구 서대구로63길 39</t>
  </si>
  <si>
    <t>최고윤우오토샵</t>
  </si>
  <si>
    <t>010-6640-2226</t>
  </si>
  <si>
    <t>부산시 해운대구 송정중앙로 9번길 90</t>
  </si>
  <si>
    <t>태양모터스</t>
  </si>
  <si>
    <t>010-2586-5588</t>
  </si>
  <si>
    <t>대구 달서구 남구 대봉로 164</t>
  </si>
  <si>
    <t>하나로카(매직카)</t>
  </si>
  <si>
    <t>010-3833-7730</t>
  </si>
  <si>
    <t>부산 기장군 기장읍 차성동로 116번길8 하나로카</t>
  </si>
  <si>
    <t>젠오토(구미)</t>
  </si>
  <si>
    <t>010-7145-8215</t>
  </si>
  <si>
    <t>경북 구미시 송선로 373</t>
  </si>
  <si>
    <t>혜광오토(부산)</t>
  </si>
  <si>
    <t>010-4341-6869</t>
  </si>
  <si>
    <t>부산시 금정구 중앙대로 1793번길 46</t>
  </si>
  <si>
    <t>진영오토</t>
  </si>
  <si>
    <t>010-7460-3253</t>
  </si>
  <si>
    <t>남양주시 진접읍 경북대로 451</t>
  </si>
  <si>
    <t>한국지엠(대구남구)</t>
  </si>
  <si>
    <t>010-3534-9601</t>
  </si>
  <si>
    <t>대구광역시 남구 대명복개로 141</t>
  </si>
  <si>
    <t>메이븐오토미션</t>
  </si>
  <si>
    <t>010-7140-3822</t>
  </si>
  <si>
    <t>서울 중랑구 봉화산로58길 11</t>
  </si>
  <si>
    <t>한국오토(노원)</t>
    <phoneticPr fontId="1" type="noConversion"/>
  </si>
  <si>
    <t>010-3717-1041</t>
    <phoneticPr fontId="1" type="noConversion"/>
  </si>
  <si>
    <t>서울 노원구 공릉로 62길 15</t>
    <phoneticPr fontId="1" type="noConversion"/>
  </si>
  <si>
    <t>오토월드</t>
  </si>
  <si>
    <t>010-3525-5490</t>
  </si>
  <si>
    <t>대구광역시 수성구 만촌동 425-1</t>
  </si>
  <si>
    <t>댐스</t>
  </si>
  <si>
    <t>010-8852-0830</t>
  </si>
  <si>
    <t>대구광역시 서구 북비산로 105-8</t>
  </si>
  <si>
    <t>하이웨이</t>
  </si>
  <si>
    <t>010-7383-8520</t>
  </si>
  <si>
    <t>경북 구미시 형곡로14길 5</t>
  </si>
  <si>
    <t>YG모터스</t>
    <phoneticPr fontId="1" type="noConversion"/>
  </si>
  <si>
    <t>010-5047-4749</t>
    <phoneticPr fontId="1" type="noConversion"/>
  </si>
  <si>
    <t>대구 남구 이천로64</t>
    <phoneticPr fontId="1" type="noConversion"/>
  </si>
  <si>
    <t>우본정비공장</t>
  </si>
  <si>
    <t>010-2029-2144</t>
  </si>
  <si>
    <t>대구광역시 북구 노원로1길 4</t>
  </si>
  <si>
    <t>지성모터스</t>
  </si>
  <si>
    <t>010-6402-9728</t>
  </si>
  <si>
    <t>대전 중구 안영로 17</t>
  </si>
  <si>
    <t>카이드모터스</t>
  </si>
  <si>
    <t>010-6240-6260</t>
  </si>
  <si>
    <t>인천 서구 석남동 223-936</t>
  </si>
  <si>
    <t>윤마스터</t>
  </si>
  <si>
    <t>010-9155-0301</t>
  </si>
  <si>
    <t>경북 포항시 북구 법원로97번길 24-12</t>
  </si>
  <si>
    <t>세븐모터스</t>
  </si>
  <si>
    <t>010-4518-7907</t>
  </si>
  <si>
    <t>대구 달서구 평리로 136</t>
  </si>
  <si>
    <t>아이디모터스</t>
  </si>
  <si>
    <t>010-6670-5324</t>
  </si>
  <si>
    <t>부산시 수영구 광남로 219</t>
  </si>
  <si>
    <t>디유모터스</t>
  </si>
  <si>
    <t>010-6351-6658</t>
  </si>
  <si>
    <t>울산광역시 남구 돋질로 367</t>
  </si>
  <si>
    <t>윤중오토미션</t>
  </si>
  <si>
    <t>010-5421-9978</t>
  </si>
  <si>
    <t>대전 서구 변동로 84</t>
  </si>
  <si>
    <t>대경카마스터</t>
  </si>
  <si>
    <t>010-4507-9730</t>
  </si>
  <si>
    <t>대구 수성구 동원로 30-1</t>
  </si>
  <si>
    <t>영성모터스</t>
  </si>
  <si>
    <t>010-4810-7573</t>
  </si>
  <si>
    <t>경북 경산시 경안로 133</t>
  </si>
  <si>
    <t>D&amp;N모터스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</si>
  <si>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</si>
  <si>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</si>
  <si>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</si>
  <si>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</si>
  <si>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</si>
  <si>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세계오토</t>
  </si>
  <si>
    <t>010-3535-6883</t>
  </si>
  <si>
    <t>대구 동구 반야원로14길21</t>
  </si>
  <si>
    <t>혜광오토(김해)</t>
  </si>
  <si>
    <t>010-4541-6869</t>
  </si>
  <si>
    <t>김해시 해반천로 50-1</t>
  </si>
  <si>
    <t>코리아탑오토샵</t>
  </si>
  <si>
    <t>010-6447-3759</t>
  </si>
  <si>
    <t>대전 서구 내동 8-57번지</t>
  </si>
  <si>
    <t>뉴아트</t>
  </si>
  <si>
    <t>010-5370-6523</t>
  </si>
  <si>
    <t>대구광역시 서구 북비산로 42</t>
  </si>
  <si>
    <t>형제카정비</t>
    <phoneticPr fontId="1" type="noConversion"/>
  </si>
  <si>
    <t>010-7999-2566</t>
    <phoneticPr fontId="1" type="noConversion"/>
  </si>
  <si>
    <t>달성군 현풍읍 현풍동로 147</t>
    <phoneticPr fontId="1" type="noConversion"/>
  </si>
  <si>
    <t>금성오토</t>
  </si>
  <si>
    <t>010-7191-8898</t>
  </si>
  <si>
    <t>광주 광산구 상무대로419번길 11</t>
  </si>
  <si>
    <t>가든모터스</t>
  </si>
  <si>
    <t>010-3846-5973</t>
  </si>
  <si>
    <t>서울 도봉구 도봉로 881</t>
  </si>
  <si>
    <t>성실자동차</t>
  </si>
  <si>
    <t>010-8969-4658</t>
  </si>
  <si>
    <t>인천광역시 서구 원석로 196번길 24</t>
  </si>
  <si>
    <t>은현자동차공업소</t>
  </si>
  <si>
    <t>010-5227-9921</t>
  </si>
  <si>
    <t>경기도 용인시 수지구 죽전동 푸른솔로 77</t>
  </si>
  <si>
    <t>엠모터스(김천)</t>
    <phoneticPr fontId="1" type="noConversion"/>
  </si>
  <si>
    <t>010-9297-3393</t>
    <phoneticPr fontId="1" type="noConversion"/>
  </si>
  <si>
    <t>경상북도 김천시 송설로 114</t>
    <phoneticPr fontId="1" type="noConversion"/>
  </si>
  <si>
    <t>제이오토</t>
  </si>
  <si>
    <t>010-5102-8176</t>
  </si>
  <si>
    <t>대구광역시 서구 가르뱅이로 53</t>
  </si>
  <si>
    <t>한일오토(구리)</t>
    <phoneticPr fontId="1" type="noConversion"/>
  </si>
  <si>
    <t>010-3792-6944</t>
    <phoneticPr fontId="1" type="noConversion"/>
  </si>
  <si>
    <t>경기 구리시 경춘로43</t>
    <phoneticPr fontId="1" type="noConversion"/>
  </si>
  <si>
    <t>준오토미션</t>
  </si>
  <si>
    <t>010-9437-9328</t>
  </si>
  <si>
    <t>부산 북구 구만덕로60번길 66</t>
  </si>
  <si>
    <t>태경오토</t>
  </si>
  <si>
    <t>010-4740-3666</t>
  </si>
  <si>
    <t>경기도 고양일산동구 풍동 457-2 3,4호</t>
  </si>
  <si>
    <t>오토티엠</t>
  </si>
  <si>
    <t>010-6432-2999</t>
  </si>
  <si>
    <t>경기도 용인시 처인구 모현읍 곡현로 656번길 1</t>
  </si>
  <si>
    <t>제이피오토미션</t>
  </si>
  <si>
    <t>010-4877-5553</t>
  </si>
  <si>
    <t>부산 사상구 모덕로 105</t>
  </si>
  <si>
    <t>명종모터스</t>
  </si>
  <si>
    <t>010-9825-2555</t>
  </si>
  <si>
    <t>대구 달서구 성화로 155</t>
  </si>
  <si>
    <t>건영자동차공업사</t>
  </si>
  <si>
    <t>010-4544-7703</t>
  </si>
  <si>
    <t>제주시 남성로23길 19-1</t>
  </si>
  <si>
    <t>직원번호</t>
    <phoneticPr fontId="1" type="noConversion"/>
  </si>
  <si>
    <t>비밀번호</t>
    <phoneticPr fontId="1" type="noConversion"/>
  </si>
  <si>
    <t>사용자명</t>
    <phoneticPr fontId="1" type="noConversion"/>
  </si>
  <si>
    <t>admin</t>
  </si>
  <si>
    <t>PARKPAWL</t>
  </si>
  <si>
    <t>A7259820003</t>
  </si>
  <si>
    <t>OILPAN</t>
  </si>
  <si>
    <t>양현진</t>
    <phoneticPr fontId="1" type="noConversion"/>
  </si>
  <si>
    <t>접속시간</t>
    <phoneticPr fontId="1" type="noConversion"/>
  </si>
  <si>
    <t>직원전호</t>
    <phoneticPr fontId="1" type="noConversion"/>
  </si>
  <si>
    <t>119모터스</t>
    <phoneticPr fontId="1" type="noConversion"/>
  </si>
  <si>
    <t>010-5511-5207</t>
  </si>
  <si>
    <t>경기도 화성시 향남읍 두물안길2</t>
    <phoneticPr fontId="1" type="noConversion"/>
  </si>
  <si>
    <t>경동(택배)</t>
    <phoneticPr fontId="1" type="noConversion"/>
  </si>
  <si>
    <t>BMW</t>
    <phoneticPr fontId="1" type="noConversion"/>
  </si>
  <si>
    <t>AUDI</t>
    <phoneticPr fontId="1" type="noConversion"/>
  </si>
  <si>
    <t>Rangerover</t>
    <phoneticPr fontId="1" type="noConversion"/>
  </si>
  <si>
    <t>Car</t>
    <phoneticPr fontId="1" type="noConversion"/>
  </si>
  <si>
    <t>Parts name</t>
    <phoneticPr fontId="1" type="noConversion"/>
  </si>
  <si>
    <t>Parts No</t>
    <phoneticPr fontId="1" type="noConversion"/>
  </si>
  <si>
    <t>053)217-0224</t>
    <phoneticPr fontId="1" type="noConversion"/>
  </si>
  <si>
    <t>FORD</t>
  </si>
  <si>
    <t xml:space="preserve">BTS&amp;P 관리자만 접근 가능합니다. </t>
    <phoneticPr fontId="1" type="noConversion"/>
  </si>
  <si>
    <r>
      <rPr>
        <b/>
        <u/>
        <sz val="28"/>
        <color theme="1"/>
        <rFont val="맑은 고딕"/>
        <family val="3"/>
        <charset val="129"/>
      </rPr>
      <t>로그인</t>
    </r>
    <r>
      <rPr>
        <b/>
        <sz val="28"/>
        <color theme="1"/>
        <rFont val="맑은 고딕"/>
        <family val="3"/>
        <charset val="129"/>
      </rPr>
      <t xml:space="preserve"> 해주세요</t>
    </r>
    <phoneticPr fontId="1" type="noConversion"/>
  </si>
  <si>
    <t>aa</t>
  </si>
  <si>
    <t>aa</t>
    <phoneticPr fontId="1" type="noConversion"/>
  </si>
  <si>
    <t>bb</t>
  </si>
  <si>
    <t>bb</t>
    <phoneticPr fontId="1" type="noConversion"/>
  </si>
  <si>
    <t>양현진</t>
    <phoneticPr fontId="1" type="noConversion"/>
  </si>
  <si>
    <t>yhj0319</t>
  </si>
  <si>
    <t>yhj0319</t>
    <phoneticPr fontId="1" type="noConversion"/>
  </si>
  <si>
    <t>cc</t>
    <phoneticPr fontId="1" type="noConversion"/>
  </si>
  <si>
    <t>yhj0310</t>
    <phoneticPr fontId="1" type="noConversion"/>
  </si>
  <si>
    <t>PARKPAWL</t>
    <phoneticPr fontId="1" type="noConversion"/>
  </si>
  <si>
    <t>제품구분_ID</t>
    <phoneticPr fontId="1" type="noConversion"/>
  </si>
  <si>
    <t>code</t>
  </si>
  <si>
    <t>Product</t>
  </si>
  <si>
    <t>Partno</t>
  </si>
  <si>
    <t>서울서초신원418</t>
    <phoneticPr fontId="1" type="noConversion"/>
  </si>
  <si>
    <t>부산시 금정구 회동동94</t>
    <phoneticPr fontId="1" type="noConversion"/>
  </si>
  <si>
    <t>매출수량</t>
    <phoneticPr fontId="1" type="noConversion"/>
  </si>
  <si>
    <t>원가</t>
    <phoneticPr fontId="1" type="noConversion"/>
  </si>
  <si>
    <t>원가총액</t>
    <phoneticPr fontId="1" type="noConversion"/>
  </si>
  <si>
    <t>매출총액</t>
    <phoneticPr fontId="1" type="noConversion"/>
  </si>
  <si>
    <t>이익금액</t>
    <phoneticPr fontId="1" type="noConversion"/>
  </si>
  <si>
    <t>이익률</t>
    <phoneticPr fontId="1" type="noConversion"/>
  </si>
  <si>
    <t>판매비율</t>
    <phoneticPr fontId="1" type="noConversion"/>
  </si>
  <si>
    <t>평균판매가</t>
    <phoneticPr fontId="1" type="noConversion"/>
  </si>
  <si>
    <t>판매단가</t>
    <phoneticPr fontId="1" type="noConversion"/>
  </si>
  <si>
    <t>이익률(매입)</t>
    <phoneticPr fontId="1" type="noConversion"/>
  </si>
  <si>
    <t>이익률(원가)</t>
    <phoneticPr fontId="1" type="noConversion"/>
  </si>
  <si>
    <t>이익률(매출)</t>
    <phoneticPr fontId="1" type="noConversion"/>
  </si>
  <si>
    <t>판매비율(금액)</t>
    <phoneticPr fontId="1" type="noConversion"/>
  </si>
  <si>
    <t>판매비율(수량)</t>
    <phoneticPr fontId="1" type="noConversion"/>
  </si>
  <si>
    <t>판매비율(매출)</t>
    <phoneticPr fontId="1" type="noConversion"/>
  </si>
  <si>
    <t>119모터스</t>
  </si>
  <si>
    <t>대명오토</t>
    <phoneticPr fontId="1" type="noConversion"/>
  </si>
  <si>
    <t>결재</t>
  </si>
  <si>
    <t>OILPAN</t>
    <phoneticPr fontId="1" type="noConversion"/>
  </si>
  <si>
    <t>A7259820003</t>
    <phoneticPr fontId="1" type="noConversion"/>
  </si>
  <si>
    <t>오늘 총매출</t>
    <phoneticPr fontId="1" type="noConversion"/>
  </si>
  <si>
    <t>이번달 총매출</t>
    <phoneticPr fontId="1" type="noConversion"/>
  </si>
  <si>
    <t>올해 총매출</t>
    <phoneticPr fontId="1" type="noConversion"/>
  </si>
  <si>
    <t>O2E_AL</t>
  </si>
  <si>
    <t>VGSNAG3 9G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</si>
  <si>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</si>
  <si>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</si>
  <si>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</si>
  <si>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</si>
  <si>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</si>
  <si>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</si>
  <si>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</si>
  <si>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</si>
  <si>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</si>
  <si>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</si>
  <si>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</si>
  <si>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1" type="noConversion"/>
  </si>
  <si>
    <t>LUK</t>
  </si>
  <si>
    <t>OB5 FILTER ORING SET</t>
  </si>
  <si>
    <t>CLUTCH Rebuild</t>
  </si>
  <si>
    <t>RAVENOL</t>
  </si>
  <si>
    <t>ME9.7 A273</t>
  </si>
  <si>
    <t>미르오토</t>
  </si>
  <si>
    <t>농협 3520106511413</t>
    <phoneticPr fontId="1" type="noConversion"/>
  </si>
  <si>
    <t>삼호미션</t>
    <phoneticPr fontId="1" type="noConversion"/>
  </si>
  <si>
    <t>177-01-03420</t>
  </si>
  <si>
    <t>엠모터스(구미)</t>
  </si>
  <si>
    <t>엠모터스(구미)</t>
    <phoneticPr fontId="1" type="noConversion"/>
  </si>
  <si>
    <t>엠모터스(구미)</t>
    <phoneticPr fontId="1" type="noConversion"/>
  </si>
  <si>
    <t>D&amp;N모터스</t>
    <phoneticPr fontId="1" type="noConversion"/>
  </si>
  <si>
    <t>VGSNAG3 9G</t>
    <phoneticPr fontId="1" type="noConversion"/>
  </si>
  <si>
    <t>대륙오토</t>
    <phoneticPr fontId="1" type="noConversion"/>
  </si>
  <si>
    <t>OB5 CLUTCH 구미엠</t>
  </si>
  <si>
    <t>OB5 CLUTCH 구미엠</t>
    <phoneticPr fontId="1" type="noConversion"/>
  </si>
  <si>
    <t>OB5_Repair_kit &amp; Solenoid</t>
  </si>
  <si>
    <t>제일오토</t>
    <phoneticPr fontId="1" type="noConversion"/>
  </si>
  <si>
    <t>8HP50_VALBE_BODY</t>
  </si>
  <si>
    <t>8HP75_Mechatronics</t>
  </si>
  <si>
    <t>비앤비모터스</t>
  </si>
  <si>
    <t>010-4849-8824</t>
  </si>
  <si>
    <t>경남 창원시 의창구 남산로 115번길 11</t>
  </si>
  <si>
    <t>태양모터스</t>
    <phoneticPr fontId="1" type="noConversion"/>
  </si>
  <si>
    <t>ISM_NEW</t>
  </si>
  <si>
    <t>한독오토</t>
    <phoneticPr fontId="1" type="noConversion"/>
  </si>
  <si>
    <t>OAM_Mechatronics</t>
  </si>
  <si>
    <t>혜광오토(부산)</t>
    <phoneticPr fontId="1" type="noConversion"/>
  </si>
  <si>
    <t>혜광오토(김해)</t>
    <phoneticPr fontId="1" type="noConversion"/>
  </si>
  <si>
    <t>MEISTER-K(부산)</t>
  </si>
  <si>
    <t>010-7749-5966</t>
  </si>
  <si>
    <t>부산광역시 금정구 반송로 395</t>
  </si>
  <si>
    <t>MEISTER-K(울산)</t>
    <phoneticPr fontId="1" type="noConversion"/>
  </si>
  <si>
    <t>010-3105-8191</t>
    <phoneticPr fontId="1" type="noConversion"/>
  </si>
  <si>
    <t>울산광역시 중구 번영로 612(남외동 544-3)</t>
    <phoneticPr fontId="1" type="noConversion"/>
  </si>
  <si>
    <t>대신(화물)</t>
    <phoneticPr fontId="1" type="noConversion"/>
  </si>
  <si>
    <t>OHL_ONLINE_SERVICE</t>
  </si>
  <si>
    <t>OHK_4번_ONLINE</t>
  </si>
  <si>
    <t>VAS6154</t>
  </si>
  <si>
    <t>메르카바(고양)</t>
  </si>
  <si>
    <t>OB5_VALBE_BODY</t>
  </si>
  <si>
    <t>공급받는자</t>
    <phoneticPr fontId="1" type="noConversion"/>
  </si>
  <si>
    <t>공급자</t>
    <phoneticPr fontId="1" type="noConversion"/>
  </si>
  <si>
    <t>MEISTER-K(부산)</t>
    <phoneticPr fontId="1" type="noConversion"/>
  </si>
  <si>
    <t>ME9.7 A273</t>
    <phoneticPr fontId="1" type="noConversion"/>
  </si>
  <si>
    <t>VAS6154</t>
    <phoneticPr fontId="1" type="noConversion"/>
  </si>
  <si>
    <t>OHK_4번_ONLINE</t>
    <phoneticPr fontId="1" type="noConversion"/>
  </si>
  <si>
    <t>OHL_ONLINE_SERVICE</t>
    <phoneticPr fontId="1" type="noConversion"/>
  </si>
  <si>
    <t>OAM REPAIR KIT</t>
    <phoneticPr fontId="1" type="noConversion"/>
  </si>
  <si>
    <t>OB5_VALBE_BODY</t>
    <phoneticPr fontId="1" type="noConversion"/>
  </si>
  <si>
    <t>O2E_AL</t>
    <phoneticPr fontId="1" type="noConversion"/>
  </si>
  <si>
    <t>OGC_REPAIR</t>
    <phoneticPr fontId="1" type="noConversion"/>
  </si>
  <si>
    <t>8HP75_Mechatronics</t>
    <phoneticPr fontId="1" type="noConversion"/>
  </si>
  <si>
    <t>8HP50_EGS</t>
    <phoneticPr fontId="1" type="noConversion"/>
  </si>
  <si>
    <t>RAVENOL</t>
    <phoneticPr fontId="1" type="noConversion"/>
  </si>
  <si>
    <t>75W140</t>
    <phoneticPr fontId="1" type="noConversion"/>
  </si>
  <si>
    <t>9G_OILPAN</t>
    <phoneticPr fontId="1" type="noConversion"/>
  </si>
  <si>
    <t>OB5_FILTER</t>
    <phoneticPr fontId="1" type="noConversion"/>
  </si>
  <si>
    <t>6F35_SOLENOID_PACK</t>
    <phoneticPr fontId="1" type="noConversion"/>
  </si>
  <si>
    <t>CLUTCH Rebuild</t>
    <phoneticPr fontId="1" type="noConversion"/>
  </si>
  <si>
    <t>OB5 FILTER ORING SET</t>
    <phoneticPr fontId="1" type="noConversion"/>
  </si>
  <si>
    <t>OB5_Repair_kit &amp; Solenoid</t>
    <phoneticPr fontId="1" type="noConversion"/>
  </si>
  <si>
    <t>8HP50_VALBE_BODY</t>
    <phoneticPr fontId="1" type="noConversion"/>
  </si>
  <si>
    <t>OAM Mechatronics</t>
    <phoneticPr fontId="1" type="noConversion"/>
  </si>
  <si>
    <t>8HP70 VALBEBODY</t>
    <phoneticPr fontId="1" type="noConversion"/>
  </si>
  <si>
    <t>미르오토</t>
    <phoneticPr fontId="1" type="noConversion"/>
  </si>
  <si>
    <t>주문리스트_ID</t>
    <phoneticPr fontId="1" type="noConversion"/>
  </si>
  <si>
    <t>결과</t>
    <phoneticPr fontId="1" type="noConversion"/>
  </si>
  <si>
    <t>현상</t>
    <phoneticPr fontId="1" type="noConversion"/>
  </si>
  <si>
    <t>증상</t>
    <phoneticPr fontId="1" type="noConversion"/>
  </si>
  <si>
    <t>명세서위치</t>
    <phoneticPr fontId="1" type="noConversion"/>
  </si>
  <si>
    <t>c:\너어러러\미르오토_250101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</si>
</sst>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* #,##0_);_(* \(#,##0\);_(* &quot;-&quot;_);_(@_)"/>
    <numFmt numFmtId="177" formatCode="_(&quot;₩&quot;* #,##0_);_(&quot;₩&quot;* \(#,##0\);_(&quot;₩&quot;* &quot;-&quot;_);_(@_)"/>
    <numFmt numFmtId="178" formatCode="_-#,##0_-;_-@_-"/>
    <numFmt numFmtId="179" formatCode="_-@"/>
    <numFmt numFmtId="180" formatCode="#,##0;\-#,##0;\-;@"/>
    <numFmt numFmtId="181" formatCode="#"/>
    <numFmt numFmtId="182" formatCode="&quot;₩&quot;#,##0"/>
    <numFmt numFmtId="183" formatCode="&quot;₩&quot;\ #,##0"/>
    <numFmt numFmtId="184" formatCode="0&quot;월&quot;"/>
    <numFmt numFmtId="185" formatCode="0&quot;일&quot;"/>
    <numFmt numFmtId="186" formatCode="0&quot;년&quot;"/>
    <numFmt numFmtId="187" formatCode="#,###"/>
    <numFmt numFmtId="188" formatCode="0###\-####\-####"/>
  </numFmts>
  <fonts count="25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11"/>
      <color theme="1"/>
      <name val="HY견고딕"/>
      <family val="1"/>
      <charset val="129"/>
    </font>
    <font>
      <b/>
      <sz val="28"/>
      <color theme="1"/>
      <name val="맑은 고딕"/>
      <family val="3"/>
      <charset val="129"/>
    </font>
    <font>
      <b/>
      <u/>
      <sz val="28"/>
      <color theme="1"/>
      <name val="맑은 고딕"/>
      <family val="3"/>
      <charset val="129"/>
    </font>
    <font>
      <sz val="10"/>
      <color theme="1"/>
      <name val="HY견고딕"/>
      <family val="1"/>
      <charset val="129"/>
    </font>
    <font>
      <sz val="72"/>
      <color theme="1"/>
      <name val="code128"/>
    </font>
    <font>
      <sz val="9"/>
      <color theme="1"/>
      <name val="HY견고딕"/>
      <family val="1"/>
      <charset val="129"/>
    </font>
    <font>
      <b/>
      <sz val="9"/>
      <color theme="1"/>
      <name val="HY견고딕"/>
      <family val="1"/>
      <charset val="129"/>
    </font>
    <font>
      <sz val="9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auto="1"/>
      </left>
      <right style="thin">
        <color theme="0"/>
      </right>
      <top style="thick">
        <color auto="1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auto="1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ck">
        <color auto="1"/>
      </right>
      <top style="thick">
        <color auto="1"/>
      </top>
      <bottom style="thin">
        <color theme="0"/>
      </bottom>
      <diagonal/>
    </border>
    <border>
      <left/>
      <right style="thick">
        <color auto="1"/>
      </right>
      <top style="thin">
        <color theme="0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auto="1"/>
      </bottom>
      <diagonal/>
    </border>
    <border>
      <left/>
      <right style="thick">
        <color auto="1"/>
      </right>
      <top style="thin">
        <color theme="0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176" fontId="10" fillId="0" borderId="0" applyFon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2" borderId="0" xfId="0" applyFon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indent="1"/>
    </xf>
    <xf numFmtId="0" fontId="7" fillId="5" borderId="0" xfId="0" applyFont="1" applyFill="1">
      <alignment vertical="center"/>
    </xf>
    <xf numFmtId="14" fontId="0" fillId="0" borderId="0" xfId="0" applyNumberForma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 shrinkToFit="1"/>
    </xf>
    <xf numFmtId="3" fontId="4" fillId="0" borderId="0" xfId="0" applyNumberFormat="1" applyFont="1" applyAlignment="1">
      <alignment horizontal="center" vertical="center" shrinkToFit="1"/>
    </xf>
    <xf numFmtId="3" fontId="3" fillId="3" borderId="2" xfId="0" applyNumberFormat="1" applyFont="1" applyFill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 shrinkToFit="1"/>
    </xf>
    <xf numFmtId="180" fontId="4" fillId="0" borderId="0" xfId="0" applyNumberFormat="1" applyFont="1" applyAlignment="1">
      <alignment horizontal="center" vertical="center" shrinkToFit="1"/>
    </xf>
    <xf numFmtId="180" fontId="3" fillId="3" borderId="2" xfId="0" applyNumberFormat="1" applyFont="1" applyFill="1" applyBorder="1" applyAlignment="1">
      <alignment horizontal="center" vertical="center"/>
    </xf>
    <xf numFmtId="180" fontId="4" fillId="0" borderId="2" xfId="0" applyNumberFormat="1" applyFont="1" applyBorder="1" applyAlignment="1">
      <alignment vertical="center" shrinkToFit="1"/>
    </xf>
    <xf numFmtId="0" fontId="9" fillId="6" borderId="0" xfId="0" applyFont="1" applyFill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 indent="1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 indent="1"/>
    </xf>
    <xf numFmtId="0" fontId="2" fillId="0" borderId="1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left" vertical="center"/>
    </xf>
    <xf numFmtId="14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76" fontId="5" fillId="4" borderId="2" xfId="1" applyFont="1" applyFill="1" applyBorder="1" applyAlignment="1">
      <alignment horizontal="center" vertical="center"/>
    </xf>
    <xf numFmtId="3" fontId="5" fillId="6" borderId="2" xfId="0" applyNumberFormat="1" applyFont="1" applyFill="1" applyBorder="1" applyAlignment="1">
      <alignment horizontal="center" vertical="center"/>
    </xf>
    <xf numFmtId="179" fontId="3" fillId="3" borderId="3" xfId="0" applyNumberFormat="1" applyFont="1" applyFill="1" applyBorder="1" applyAlignment="1">
      <alignment horizontal="left" vertical="center"/>
    </xf>
    <xf numFmtId="0" fontId="9" fillId="0" borderId="0" xfId="0" applyFont="1">
      <alignment vertical="center"/>
    </xf>
    <xf numFmtId="14" fontId="9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shrinkToFit="1"/>
    </xf>
    <xf numFmtId="180" fontId="4" fillId="0" borderId="2" xfId="0" applyNumberFormat="1" applyFont="1" applyBorder="1">
      <alignment vertical="center"/>
    </xf>
    <xf numFmtId="14" fontId="5" fillId="4" borderId="2" xfId="0" applyNumberFormat="1" applyFont="1" applyFill="1" applyBorder="1" applyAlignment="1">
      <alignment horizontal="left" vertical="center"/>
    </xf>
    <xf numFmtId="14" fontId="5" fillId="4" borderId="2" xfId="0" applyNumberFormat="1" applyFont="1" applyFill="1" applyBorder="1">
      <alignment vertical="center"/>
    </xf>
    <xf numFmtId="0" fontId="5" fillId="4" borderId="2" xfId="0" applyFont="1" applyFill="1" applyBorder="1">
      <alignment vertical="center"/>
    </xf>
    <xf numFmtId="0" fontId="13" fillId="7" borderId="5" xfId="0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center" vertical="center"/>
    </xf>
    <xf numFmtId="0" fontId="14" fillId="0" borderId="35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8" borderId="35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14" fillId="9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83" fontId="4" fillId="0" borderId="2" xfId="0" applyNumberFormat="1" applyFont="1" applyBorder="1" applyAlignment="1">
      <alignment vertical="center" shrinkToFit="1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2" fillId="0" borderId="1" xfId="0" applyNumberFormat="1" applyFont="1" applyBorder="1" applyAlignment="1">
      <alignment horizontal="center" vertical="center"/>
    </xf>
    <xf numFmtId="176" fontId="2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4" fillId="0" borderId="2" xfId="0" applyNumberFormat="1" applyFont="1" applyBorder="1" applyAlignment="1">
      <alignment horizontal="center" vertical="center" shrinkToFit="1"/>
    </xf>
    <xf numFmtId="0" fontId="3" fillId="3" borderId="4" xfId="0" applyFont="1" applyFill="1" applyBorder="1" applyAlignment="1">
      <alignment horizontal="left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15" fillId="0" borderId="44" xfId="0" applyFont="1" applyBorder="1">
      <alignment vertical="center"/>
    </xf>
    <xf numFmtId="0" fontId="15" fillId="0" borderId="45" xfId="0" applyFont="1" applyBorder="1">
      <alignment vertical="center"/>
    </xf>
    <xf numFmtId="0" fontId="15" fillId="0" borderId="46" xfId="0" applyFont="1" applyBorder="1">
      <alignment vertical="center"/>
    </xf>
    <xf numFmtId="0" fontId="0" fillId="10" borderId="0" xfId="0" applyFill="1">
      <alignment vertical="center"/>
    </xf>
    <xf numFmtId="0" fontId="16" fillId="10" borderId="0" xfId="0" applyFont="1" applyFill="1">
      <alignment vertical="center"/>
    </xf>
    <xf numFmtId="1" fontId="5" fillId="4" borderId="2" xfId="0" applyNumberFormat="1" applyFont="1" applyFill="1" applyBorder="1" applyAlignment="1">
      <alignment horizontal="center" vertical="center"/>
    </xf>
    <xf numFmtId="0" fontId="18" fillId="0" borderId="43" xfId="0" applyFont="1" applyBorder="1">
      <alignment vertical="center"/>
    </xf>
    <xf numFmtId="0" fontId="18" fillId="0" borderId="44" xfId="0" applyFont="1" applyBorder="1">
      <alignment vertical="center"/>
    </xf>
    <xf numFmtId="0" fontId="18" fillId="0" borderId="47" xfId="0" applyFont="1" applyBorder="1">
      <alignment vertical="center"/>
    </xf>
    <xf numFmtId="1" fontId="4" fillId="0" borderId="0" xfId="0" applyNumberFormat="1" applyFont="1" applyAlignment="1">
      <alignment horizontal="center" vertical="center" shrinkToFit="1"/>
    </xf>
    <xf numFmtId="1" fontId="3" fillId="3" borderId="2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>
      <alignment vertical="center"/>
    </xf>
    <xf numFmtId="9" fontId="19" fillId="0" borderId="41" xfId="0" applyNumberFormat="1" applyFont="1" applyBorder="1">
      <alignment vertical="center"/>
    </xf>
    <xf numFmtId="9" fontId="0" fillId="0" borderId="41" xfId="0" applyNumberFormat="1" applyBorder="1">
      <alignment vertical="center"/>
    </xf>
    <xf numFmtId="0" fontId="20" fillId="0" borderId="41" xfId="0" applyFont="1" applyBorder="1">
      <alignment vertical="center"/>
    </xf>
    <xf numFmtId="0" fontId="21" fillId="0" borderId="41" xfId="0" applyFont="1" applyBorder="1">
      <alignment vertical="center"/>
    </xf>
    <xf numFmtId="0" fontId="18" fillId="0" borderId="51" xfId="0" applyFont="1" applyBorder="1">
      <alignment vertical="center"/>
    </xf>
    <xf numFmtId="0" fontId="20" fillId="0" borderId="45" xfId="0" applyFont="1" applyBorder="1">
      <alignment vertical="center"/>
    </xf>
    <xf numFmtId="0" fontId="15" fillId="0" borderId="55" xfId="0" applyFont="1" applyBorder="1">
      <alignment vertical="center"/>
    </xf>
    <xf numFmtId="0" fontId="15" fillId="0" borderId="56" xfId="0" applyFont="1" applyBorder="1">
      <alignment vertical="center"/>
    </xf>
    <xf numFmtId="1" fontId="20" fillId="0" borderId="45" xfId="0" applyNumberFormat="1" applyFont="1" applyBorder="1" applyAlignment="1">
      <alignment horizontal="left" vertical="center"/>
    </xf>
    <xf numFmtId="0" fontId="20" fillId="0" borderId="45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49" fontId="2" fillId="0" borderId="1" xfId="1" applyNumberFormat="1" applyFont="1" applyBorder="1" applyAlignment="1">
      <alignment horizontal="center" vertical="center"/>
    </xf>
    <xf numFmtId="49" fontId="2" fillId="0" borderId="57" xfId="0" applyNumberFormat="1" applyFont="1" applyBorder="1" applyAlignment="1">
      <alignment horizontal="center" vertical="center"/>
    </xf>
    <xf numFmtId="182" fontId="4" fillId="0" borderId="2" xfId="0" applyNumberFormat="1" applyFont="1" applyBorder="1" applyAlignment="1">
      <alignment vertical="center" shrinkToFit="1"/>
    </xf>
    <xf numFmtId="0" fontId="2" fillId="11" borderId="1" xfId="0" applyFont="1" applyFill="1" applyBorder="1" applyAlignment="1">
      <alignment horizontal="center" vertical="center"/>
    </xf>
    <xf numFmtId="176" fontId="2" fillId="11" borderId="1" xfId="1" applyFont="1" applyFill="1" applyBorder="1" applyAlignment="1">
      <alignment horizontal="center" vertical="center"/>
    </xf>
    <xf numFmtId="3" fontId="4" fillId="0" borderId="2" xfId="0" applyNumberFormat="1" applyFont="1" applyBorder="1" applyAlignment="1">
      <alignment vertical="center" shrinkToFit="1"/>
    </xf>
    <xf numFmtId="14" fontId="4" fillId="0" borderId="2" xfId="0" applyNumberFormat="1" applyFont="1" applyBorder="1" applyAlignment="1">
      <alignment vertical="center" shrinkToFit="1"/>
    </xf>
    <xf numFmtId="1" fontId="4" fillId="0" borderId="2" xfId="0" applyNumberFormat="1" applyFont="1" applyBorder="1" applyAlignment="1">
      <alignment vertical="center" shrinkToFit="1"/>
    </xf>
    <xf numFmtId="3" fontId="11" fillId="0" borderId="41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80" fontId="11" fillId="0" borderId="41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/>
    </xf>
    <xf numFmtId="0" fontId="11" fillId="0" borderId="41" xfId="0" applyFont="1" applyBorder="1">
      <alignment vertical="center"/>
    </xf>
    <xf numFmtId="0" fontId="24" fillId="5" borderId="41" xfId="0" applyFont="1" applyFill="1" applyBorder="1">
      <alignment vertical="center"/>
    </xf>
    <xf numFmtId="0" fontId="11" fillId="0" borderId="79" xfId="0" applyFont="1" applyBorder="1">
      <alignment vertical="center"/>
    </xf>
    <xf numFmtId="3" fontId="11" fillId="0" borderId="80" xfId="0" applyNumberFormat="1" applyFont="1" applyBorder="1" applyAlignment="1">
      <alignment horizontal="center" vertical="center" shrinkToFit="1"/>
    </xf>
    <xf numFmtId="0" fontId="11" fillId="0" borderId="80" xfId="0" applyFont="1" applyBorder="1" applyAlignment="1">
      <alignment horizontal="center" vertical="center" shrinkToFit="1"/>
    </xf>
    <xf numFmtId="180" fontId="11" fillId="0" borderId="80" xfId="0" applyNumberFormat="1" applyFont="1" applyBorder="1" applyAlignment="1">
      <alignment horizontal="center" vertical="center" shrinkToFit="1"/>
    </xf>
    <xf numFmtId="0" fontId="11" fillId="0" borderId="80" xfId="0" applyFont="1" applyBorder="1" applyAlignment="1">
      <alignment horizontal="center" vertical="center"/>
    </xf>
    <xf numFmtId="0" fontId="11" fillId="0" borderId="80" xfId="0" applyFont="1" applyBorder="1">
      <alignment vertical="center"/>
    </xf>
    <xf numFmtId="0" fontId="0" fillId="0" borderId="80" xfId="0" applyBorder="1">
      <alignment vertical="center"/>
    </xf>
    <xf numFmtId="3" fontId="23" fillId="3" borderId="81" xfId="0" applyNumberFormat="1" applyFont="1" applyFill="1" applyBorder="1" applyAlignment="1">
      <alignment horizontal="center" vertical="center"/>
    </xf>
    <xf numFmtId="14" fontId="23" fillId="3" borderId="82" xfId="0" applyNumberFormat="1" applyFont="1" applyFill="1" applyBorder="1" applyAlignment="1">
      <alignment horizontal="center" vertical="center"/>
    </xf>
    <xf numFmtId="180" fontId="23" fillId="3" borderId="82" xfId="0" applyNumberFormat="1" applyFont="1" applyFill="1" applyBorder="1" applyAlignment="1">
      <alignment horizontal="center" vertical="center"/>
    </xf>
    <xf numFmtId="180" fontId="23" fillId="3" borderId="83" xfId="0" applyNumberFormat="1" applyFont="1" applyFill="1" applyBorder="1" applyAlignment="1">
      <alignment horizontal="center" vertical="center"/>
    </xf>
    <xf numFmtId="0" fontId="11" fillId="0" borderId="85" xfId="0" applyFont="1" applyBorder="1">
      <alignment vertical="center"/>
    </xf>
    <xf numFmtId="176" fontId="11" fillId="0" borderId="85" xfId="1" applyFont="1" applyBorder="1">
      <alignment vertical="center"/>
    </xf>
    <xf numFmtId="37" fontId="11" fillId="0" borderId="85" xfId="0" applyNumberFormat="1" applyFont="1" applyBorder="1">
      <alignment vertical="center"/>
    </xf>
    <xf numFmtId="176" fontId="11" fillId="0" borderId="85" xfId="0" applyNumberFormat="1" applyFont="1" applyBorder="1">
      <alignment vertical="center"/>
    </xf>
    <xf numFmtId="0" fontId="11" fillId="0" borderId="86" xfId="0" applyFont="1" applyBorder="1">
      <alignment vertical="center"/>
    </xf>
    <xf numFmtId="3" fontId="11" fillId="0" borderId="84" xfId="0" applyNumberFormat="1" applyFont="1" applyBorder="1" applyAlignment="1">
      <alignment horizontal="center" vertical="center" shrinkToFit="1"/>
    </xf>
    <xf numFmtId="0" fontId="11" fillId="0" borderId="85" xfId="0" applyFont="1" applyBorder="1" applyAlignment="1">
      <alignment horizontal="center" vertical="center" shrinkToFit="1"/>
    </xf>
    <xf numFmtId="180" fontId="11" fillId="0" borderId="85" xfId="0" applyNumberFormat="1" applyFont="1" applyBorder="1" applyAlignment="1">
      <alignment vertical="center" shrinkToFit="1"/>
    </xf>
    <xf numFmtId="0" fontId="11" fillId="0" borderId="85" xfId="0" applyFont="1" applyBorder="1" applyAlignment="1">
      <alignment horizontal="center" vertical="center"/>
    </xf>
    <xf numFmtId="3" fontId="11" fillId="0" borderId="42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80" fontId="11" fillId="0" borderId="42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/>
    </xf>
    <xf numFmtId="176" fontId="11" fillId="0" borderId="82" xfId="1" applyFont="1" applyBorder="1" applyAlignment="1">
      <alignment horizontal="center" vertical="center" shrinkToFit="1"/>
    </xf>
    <xf numFmtId="0" fontId="23" fillId="12" borderId="82" xfId="0" applyFont="1" applyFill="1" applyBorder="1" applyAlignment="1">
      <alignment horizontal="center" vertical="center" shrinkToFit="1"/>
    </xf>
    <xf numFmtId="180" fontId="23" fillId="12" borderId="82" xfId="0" applyNumberFormat="1" applyFont="1" applyFill="1" applyBorder="1" applyAlignment="1">
      <alignment horizontal="center" vertical="center" shrinkToFit="1"/>
    </xf>
    <xf numFmtId="0" fontId="11" fillId="0" borderId="82" xfId="0" applyFont="1" applyBorder="1" applyAlignment="1">
      <alignment horizontal="center" vertical="center"/>
    </xf>
    <xf numFmtId="176" fontId="11" fillId="0" borderId="85" xfId="1" applyFont="1" applyBorder="1" applyAlignment="1">
      <alignment horizontal="center" vertical="center" shrinkToFit="1"/>
    </xf>
    <xf numFmtId="180" fontId="11" fillId="0" borderId="85" xfId="0" applyNumberFormat="1" applyFont="1" applyBorder="1" applyAlignment="1">
      <alignment horizontal="center" vertical="center" shrinkToFit="1"/>
    </xf>
    <xf numFmtId="0" fontId="11" fillId="0" borderId="86" xfId="0" applyFont="1" applyBorder="1" applyAlignment="1">
      <alignment horizontal="center" vertical="center"/>
    </xf>
    <xf numFmtId="176" fontId="11" fillId="0" borderId="88" xfId="1" applyFont="1" applyBorder="1" applyAlignment="1">
      <alignment horizontal="center" vertical="center" shrinkToFit="1"/>
    </xf>
    <xf numFmtId="180" fontId="11" fillId="0" borderId="88" xfId="0" applyNumberFormat="1" applyFont="1" applyBorder="1" applyAlignment="1">
      <alignment horizontal="center" vertical="center" shrinkToFit="1"/>
    </xf>
    <xf numFmtId="0" fontId="11" fillId="0" borderId="89" xfId="0" applyFont="1" applyBorder="1" applyAlignment="1">
      <alignment horizontal="center" vertical="center"/>
    </xf>
    <xf numFmtId="0" fontId="23" fillId="12" borderId="82" xfId="0" applyFont="1" applyFill="1" applyBorder="1" applyAlignment="1">
      <alignment horizontal="center" vertical="center"/>
    </xf>
    <xf numFmtId="0" fontId="11" fillId="0" borderId="83" xfId="0" applyFont="1" applyBorder="1" applyAlignment="1">
      <alignment horizontal="center" vertical="center"/>
    </xf>
    <xf numFmtId="0" fontId="11" fillId="0" borderId="88" xfId="0" applyFont="1" applyBorder="1" applyAlignment="1">
      <alignment horizontal="center" vertical="center"/>
    </xf>
    <xf numFmtId="185" fontId="11" fillId="0" borderId="81" xfId="0" quotePrefix="1" applyNumberFormat="1" applyFont="1" applyBorder="1" applyAlignment="1">
      <alignment horizontal="center" vertical="center" shrinkToFit="1"/>
    </xf>
    <xf numFmtId="184" fontId="11" fillId="0" borderId="84" xfId="0" applyNumberFormat="1" applyFont="1" applyBorder="1" applyAlignment="1">
      <alignment horizontal="center" vertical="center" shrinkToFit="1"/>
    </xf>
    <xf numFmtId="186" fontId="11" fillId="0" borderId="87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176" fontId="4" fillId="0" borderId="2" xfId="1" applyFont="1" applyBorder="1" applyAlignment="1">
      <alignment vertical="center" shrinkToFit="1"/>
    </xf>
    <xf numFmtId="176" fontId="4" fillId="0" borderId="2" xfId="1" applyFont="1" applyBorder="1" applyAlignment="1">
      <alignment horizontal="center" vertical="center" shrinkToFit="1"/>
    </xf>
    <xf numFmtId="1" fontId="4" fillId="0" borderId="2" xfId="1" applyNumberFormat="1" applyFont="1" applyBorder="1" applyAlignment="1">
      <alignment horizontal="center" vertical="center" shrinkToFit="1"/>
    </xf>
    <xf numFmtId="1" fontId="4" fillId="0" borderId="2" xfId="1" applyNumberFormat="1" applyFont="1" applyBorder="1" applyAlignment="1">
      <alignment vertical="center" shrinkToFit="1"/>
    </xf>
    <xf numFmtId="187" fontId="4" fillId="0" borderId="2" xfId="1" applyNumberFormat="1" applyFont="1" applyBorder="1" applyAlignment="1">
      <alignment vertical="center" shrinkToFit="1"/>
    </xf>
    <xf numFmtId="187" fontId="2" fillId="0" borderId="1" xfId="1" applyNumberFormat="1" applyFont="1" applyBorder="1" applyAlignment="1">
      <alignment horizontal="center" vertical="center"/>
    </xf>
    <xf numFmtId="187" fontId="0" fillId="0" borderId="0" xfId="1" applyNumberFormat="1" applyFont="1">
      <alignment vertical="center"/>
    </xf>
    <xf numFmtId="0" fontId="11" fillId="0" borderId="84" xfId="0" applyFont="1" applyBorder="1" applyAlignment="1">
      <alignment horizontal="center" vertical="center"/>
    </xf>
    <xf numFmtId="14" fontId="11" fillId="0" borderId="41" xfId="0" applyNumberFormat="1" applyFont="1" applyBorder="1" applyAlignment="1">
      <alignment horizontal="center" vertical="center" shrinkToFit="1"/>
    </xf>
    <xf numFmtId="14" fontId="11" fillId="0" borderId="80" xfId="0" applyNumberFormat="1" applyFont="1" applyBorder="1" applyAlignment="1">
      <alignment horizontal="center" vertical="center" shrinkToFit="1"/>
    </xf>
    <xf numFmtId="14" fontId="23" fillId="12" borderId="82" xfId="0" applyNumberFormat="1" applyFont="1" applyFill="1" applyBorder="1" applyAlignment="1">
      <alignment horizontal="center" vertical="center" shrinkToFit="1"/>
    </xf>
    <xf numFmtId="14" fontId="23" fillId="12" borderId="85" xfId="0" applyNumberFormat="1" applyFont="1" applyFill="1" applyBorder="1" applyAlignment="1">
      <alignment horizontal="center" vertical="center" shrinkToFit="1"/>
    </xf>
    <xf numFmtId="14" fontId="23" fillId="12" borderId="88" xfId="0" applyNumberFormat="1" applyFont="1" applyFill="1" applyBorder="1" applyAlignment="1">
      <alignment horizontal="center" vertical="center" shrinkToFit="1"/>
    </xf>
    <xf numFmtId="14" fontId="11" fillId="0" borderId="42" xfId="0" applyNumberFormat="1" applyFont="1" applyBorder="1" applyAlignment="1">
      <alignment horizontal="center" vertical="center" shrinkToFit="1"/>
    </xf>
    <xf numFmtId="14" fontId="11" fillId="0" borderId="85" xfId="0" applyNumberFormat="1" applyFont="1" applyBorder="1" applyAlignment="1">
      <alignment horizontal="center" vertical="center" shrinkToFit="1"/>
    </xf>
    <xf numFmtId="14" fontId="11" fillId="0" borderId="85" xfId="0" applyNumberFormat="1" applyFont="1" applyBorder="1" applyAlignment="1">
      <alignment horizontal="center" vertical="center"/>
    </xf>
    <xf numFmtId="188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179" fontId="3" fillId="3" borderId="3" xfId="0" applyNumberFormat="1" applyFont="1" applyFill="1" applyBorder="1" applyAlignment="1">
      <alignment horizontal="left" vertical="center"/>
    </xf>
    <xf numFmtId="179" fontId="3" fillId="3" borderId="4" xfId="0" applyNumberFormat="1" applyFont="1" applyFill="1" applyBorder="1" applyAlignment="1">
      <alignment horizontal="left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10" xfId="0" applyFont="1" applyFill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6" fontId="13" fillId="0" borderId="9" xfId="0" applyNumberFormat="1" applyFont="1" applyBorder="1" applyAlignment="1">
      <alignment horizontal="right" vertical="center"/>
    </xf>
    <xf numFmtId="176" fontId="13" fillId="0" borderId="10" xfId="0" applyNumberFormat="1" applyFont="1" applyBorder="1" applyAlignment="1">
      <alignment horizontal="right" vertical="center"/>
    </xf>
    <xf numFmtId="176" fontId="13" fillId="0" borderId="11" xfId="0" applyNumberFormat="1" applyFont="1" applyBorder="1" applyAlignment="1">
      <alignment horizontal="right" vertical="center"/>
    </xf>
    <xf numFmtId="177" fontId="11" fillId="0" borderId="9" xfId="0" applyNumberFormat="1" applyFont="1" applyBorder="1" applyAlignment="1">
      <alignment horizontal="center" vertical="center"/>
    </xf>
    <xf numFmtId="177" fontId="11" fillId="0" borderId="10" xfId="0" applyNumberFormat="1" applyFont="1" applyBorder="1" applyAlignment="1">
      <alignment horizontal="center" vertical="center"/>
    </xf>
    <xf numFmtId="177" fontId="11" fillId="0" borderId="16" xfId="0" applyNumberFormat="1" applyFont="1" applyBorder="1" applyAlignment="1">
      <alignment horizontal="center" vertical="center"/>
    </xf>
    <xf numFmtId="0" fontId="13" fillId="7" borderId="27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14" fontId="11" fillId="0" borderId="27" xfId="0" applyNumberFormat="1" applyFont="1" applyBorder="1" applyAlignment="1">
      <alignment horizontal="center" vertical="center"/>
    </xf>
    <xf numFmtId="14" fontId="11" fillId="0" borderId="25" xfId="0" applyNumberFormat="1" applyFont="1" applyBorder="1" applyAlignment="1">
      <alignment horizontal="center" vertical="center"/>
    </xf>
    <xf numFmtId="14" fontId="11" fillId="0" borderId="28" xfId="0" applyNumberFormat="1" applyFont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176" fontId="11" fillId="0" borderId="13" xfId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14" fontId="11" fillId="0" borderId="39" xfId="0" applyNumberFormat="1" applyFont="1" applyBorder="1" applyAlignment="1">
      <alignment horizontal="center" vertical="center"/>
    </xf>
    <xf numFmtId="14" fontId="11" fillId="0" borderId="33" xfId="0" applyNumberFormat="1" applyFont="1" applyBorder="1" applyAlignment="1">
      <alignment horizontal="center" vertical="center"/>
    </xf>
    <xf numFmtId="1" fontId="11" fillId="0" borderId="9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39" xfId="0" applyFont="1" applyBorder="1" applyAlignment="1">
      <alignment horizontal="right" vertical="center"/>
    </xf>
    <xf numFmtId="0" fontId="11" fillId="0" borderId="32" xfId="0" applyFont="1" applyBorder="1" applyAlignment="1">
      <alignment horizontal="right" vertical="center"/>
    </xf>
    <xf numFmtId="0" fontId="11" fillId="0" borderId="40" xfId="0" applyFont="1" applyBorder="1" applyAlignment="1">
      <alignment horizontal="right" vertical="center"/>
    </xf>
    <xf numFmtId="176" fontId="11" fillId="0" borderId="63" xfId="1" applyFont="1" applyBorder="1" applyAlignment="1">
      <alignment horizontal="center" vertical="center"/>
    </xf>
    <xf numFmtId="176" fontId="11" fillId="0" borderId="65" xfId="1" applyFont="1" applyBorder="1" applyAlignment="1">
      <alignment horizontal="center" vertical="center"/>
    </xf>
    <xf numFmtId="176" fontId="11" fillId="0" borderId="66" xfId="1" applyFont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77" fontId="13" fillId="0" borderId="25" xfId="0" applyNumberFormat="1" applyFont="1" applyBorder="1" applyAlignment="1">
      <alignment horizontal="center" vertical="center"/>
    </xf>
    <xf numFmtId="177" fontId="13" fillId="0" borderId="26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6" xfId="0" applyNumberFormat="1" applyFont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176" fontId="11" fillId="0" borderId="5" xfId="0" applyNumberFormat="1" applyFont="1" applyBorder="1">
      <alignment vertical="center"/>
    </xf>
    <xf numFmtId="176" fontId="11" fillId="0" borderId="68" xfId="1" applyFont="1" applyBorder="1" applyAlignment="1">
      <alignment horizontal="center" vertical="center"/>
    </xf>
    <xf numFmtId="176" fontId="11" fillId="0" borderId="69" xfId="1" applyFont="1" applyBorder="1" applyAlignment="1">
      <alignment horizontal="center" vertical="center"/>
    </xf>
    <xf numFmtId="176" fontId="11" fillId="0" borderId="70" xfId="1" applyFont="1" applyBorder="1" applyAlignment="1">
      <alignment horizontal="center" vertical="center"/>
    </xf>
    <xf numFmtId="176" fontId="11" fillId="0" borderId="68" xfId="0" applyNumberFormat="1" applyFont="1" applyBorder="1" applyAlignment="1">
      <alignment horizontal="center" vertical="center"/>
    </xf>
    <xf numFmtId="176" fontId="11" fillId="0" borderId="72" xfId="0" applyNumberFormat="1" applyFont="1" applyBorder="1" applyAlignment="1">
      <alignment horizontal="center" vertical="center"/>
    </xf>
    <xf numFmtId="181" fontId="11" fillId="0" borderId="62" xfId="0" applyNumberFormat="1" applyFont="1" applyBorder="1" applyAlignment="1">
      <alignment horizontal="center" vertical="center"/>
    </xf>
    <xf numFmtId="181" fontId="11" fillId="0" borderId="59" xfId="0" applyNumberFormat="1" applyFont="1" applyBorder="1" applyAlignment="1">
      <alignment horizontal="center" vertical="center"/>
    </xf>
    <xf numFmtId="181" fontId="11" fillId="0" borderId="60" xfId="0" applyNumberFormat="1" applyFont="1" applyBorder="1" applyAlignment="1">
      <alignment horizontal="center" vertical="center"/>
    </xf>
    <xf numFmtId="181" fontId="11" fillId="0" borderId="58" xfId="0" applyNumberFormat="1" applyFont="1" applyBorder="1" applyAlignment="1">
      <alignment horizontal="center" vertical="center"/>
    </xf>
    <xf numFmtId="176" fontId="11" fillId="0" borderId="58" xfId="1" applyFont="1" applyBorder="1" applyAlignment="1">
      <alignment horizontal="center" vertical="center"/>
    </xf>
    <xf numFmtId="176" fontId="11" fillId="0" borderId="59" xfId="1" applyFont="1" applyBorder="1" applyAlignment="1">
      <alignment horizontal="center" vertical="center"/>
    </xf>
    <xf numFmtId="176" fontId="11" fillId="0" borderId="60" xfId="1" applyFont="1" applyBorder="1" applyAlignment="1">
      <alignment horizontal="center" vertical="center"/>
    </xf>
    <xf numFmtId="176" fontId="11" fillId="0" borderId="58" xfId="0" applyNumberFormat="1" applyFont="1" applyBorder="1" applyAlignment="1">
      <alignment horizontal="center" vertical="center"/>
    </xf>
    <xf numFmtId="176" fontId="11" fillId="0" borderId="61" xfId="0" applyNumberFormat="1" applyFont="1" applyBorder="1" applyAlignment="1">
      <alignment horizontal="center" vertical="center"/>
    </xf>
    <xf numFmtId="0" fontId="13" fillId="7" borderId="73" xfId="0" applyFont="1" applyFill="1" applyBorder="1" applyAlignment="1">
      <alignment horizontal="center" vertical="center" wrapText="1"/>
    </xf>
    <xf numFmtId="0" fontId="13" fillId="7" borderId="74" xfId="0" applyFont="1" applyFill="1" applyBorder="1" applyAlignment="1">
      <alignment horizontal="center" vertical="center" wrapText="1"/>
    </xf>
    <xf numFmtId="0" fontId="13" fillId="7" borderId="75" xfId="0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7" borderId="76" xfId="0" applyFont="1" applyFill="1" applyBorder="1" applyAlignment="1">
      <alignment horizontal="center" vertical="center" wrapText="1"/>
    </xf>
    <xf numFmtId="0" fontId="13" fillId="7" borderId="77" xfId="0" applyFont="1" applyFill="1" applyBorder="1" applyAlignment="1">
      <alignment horizontal="center" vertical="center" wrapText="1"/>
    </xf>
    <xf numFmtId="0" fontId="13" fillId="7" borderId="78" xfId="0" applyFont="1" applyFill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center" vertical="center"/>
    </xf>
    <xf numFmtId="14" fontId="13" fillId="0" borderId="10" xfId="0" applyNumberFormat="1" applyFont="1" applyBorder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176" fontId="11" fillId="0" borderId="13" xfId="0" applyNumberFormat="1" applyFont="1" applyBorder="1" applyAlignment="1">
      <alignment horizontal="center" vertical="center"/>
    </xf>
    <xf numFmtId="176" fontId="11" fillId="0" borderId="20" xfId="0" applyNumberFormat="1" applyFont="1" applyBorder="1" applyAlignment="1">
      <alignment horizontal="center" vertical="center"/>
    </xf>
    <xf numFmtId="176" fontId="11" fillId="0" borderId="19" xfId="0" applyNumberFormat="1" applyFont="1" applyBorder="1" applyAlignment="1">
      <alignment horizontal="center" vertical="center"/>
    </xf>
    <xf numFmtId="176" fontId="11" fillId="0" borderId="12" xfId="0" applyNumberFormat="1" applyFont="1" applyBorder="1" applyAlignment="1">
      <alignment horizontal="center" vertical="center"/>
    </xf>
    <xf numFmtId="176" fontId="11" fillId="0" borderId="18" xfId="0" applyNumberFormat="1" applyFont="1" applyBorder="1" applyAlignment="1">
      <alignment horizontal="center" vertical="center"/>
    </xf>
    <xf numFmtId="176" fontId="11" fillId="0" borderId="17" xfId="0" applyNumberFormat="1" applyFont="1" applyBorder="1" applyAlignment="1">
      <alignment horizontal="center" vertical="center"/>
    </xf>
    <xf numFmtId="176" fontId="11" fillId="0" borderId="21" xfId="0" applyNumberFormat="1" applyFont="1" applyBorder="1" applyAlignment="1">
      <alignment horizontal="center" vertical="center"/>
    </xf>
    <xf numFmtId="176" fontId="11" fillId="0" borderId="14" xfId="0" applyNumberFormat="1" applyFont="1" applyBorder="1" applyAlignment="1">
      <alignment horizontal="center" vertical="center"/>
    </xf>
    <xf numFmtId="176" fontId="11" fillId="0" borderId="14" xfId="1" applyFont="1" applyBorder="1" applyAlignment="1">
      <alignment horizontal="center" vertical="center"/>
    </xf>
    <xf numFmtId="176" fontId="11" fillId="0" borderId="22" xfId="0" applyNumberFormat="1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31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81" fontId="11" fillId="0" borderId="63" xfId="0" applyNumberFormat="1" applyFont="1" applyBorder="1" applyAlignment="1">
      <alignment horizontal="center" vertical="center"/>
    </xf>
    <xf numFmtId="181" fontId="11" fillId="0" borderId="66" xfId="0" applyNumberFormat="1" applyFont="1" applyBorder="1" applyAlignment="1">
      <alignment horizontal="center" vertical="center"/>
    </xf>
    <xf numFmtId="176" fontId="11" fillId="0" borderId="63" xfId="0" applyNumberFormat="1" applyFont="1" applyBorder="1" applyAlignment="1">
      <alignment horizontal="center" vertical="center"/>
    </xf>
    <xf numFmtId="176" fontId="11" fillId="0" borderId="64" xfId="0" applyNumberFormat="1" applyFont="1" applyBorder="1" applyAlignment="1">
      <alignment horizontal="center" vertical="center"/>
    </xf>
    <xf numFmtId="181" fontId="11" fillId="0" borderId="67" xfId="0" applyNumberFormat="1" applyFont="1" applyBorder="1" applyAlignment="1">
      <alignment horizontal="center" vertical="center"/>
    </xf>
    <xf numFmtId="181" fontId="11" fillId="0" borderId="6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22" fillId="0" borderId="48" xfId="0" applyNumberFormat="1" applyFont="1" applyBorder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22" fillId="0" borderId="49" xfId="0" applyFont="1" applyBorder="1" applyAlignment="1">
      <alignment horizontal="center" vertical="center"/>
    </xf>
    <xf numFmtId="0" fontId="22" fillId="0" borderId="53" xfId="0" applyFont="1" applyBorder="1" applyAlignment="1">
      <alignment horizontal="center" vertical="center"/>
    </xf>
    <xf numFmtId="0" fontId="22" fillId="0" borderId="50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image" Target="../media/image9.png"/><Relationship Id="rId18" Type="http://schemas.openxmlformats.org/officeDocument/2006/relationships/image" Target="../media/image19.svg"/><Relationship Id="rId3" Type="http://schemas.openxmlformats.org/officeDocument/2006/relationships/image" Target="../media/image13.png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17" Type="http://schemas.openxmlformats.org/officeDocument/2006/relationships/image" Target="../media/image18.png"/><Relationship Id="rId2" Type="http://schemas.openxmlformats.org/officeDocument/2006/relationships/image" Target="../media/image2.svg"/><Relationship Id="rId16" Type="http://schemas.openxmlformats.org/officeDocument/2006/relationships/image" Target="../media/image12.svg"/><Relationship Id="rId20" Type="http://schemas.openxmlformats.org/officeDocument/2006/relationships/image" Target="../media/image21.svg"/><Relationship Id="rId1" Type="http://schemas.openxmlformats.org/officeDocument/2006/relationships/image" Target="../media/image1.png"/><Relationship Id="rId6" Type="http://schemas.openxmlformats.org/officeDocument/2006/relationships/image" Target="../media/image17.svg"/><Relationship Id="rId11" Type="http://schemas.openxmlformats.org/officeDocument/2006/relationships/image" Target="../media/image7.png"/><Relationship Id="rId5" Type="http://schemas.openxmlformats.org/officeDocument/2006/relationships/image" Target="../media/image16.png"/><Relationship Id="rId15" Type="http://schemas.openxmlformats.org/officeDocument/2006/relationships/image" Target="../media/image11.png"/><Relationship Id="rId10" Type="http://schemas.openxmlformats.org/officeDocument/2006/relationships/image" Target="../media/image6.svg"/><Relationship Id="rId19" Type="http://schemas.openxmlformats.org/officeDocument/2006/relationships/image" Target="../media/image20.png"/><Relationship Id="rId4" Type="http://schemas.openxmlformats.org/officeDocument/2006/relationships/image" Target="../media/image14.svg"/><Relationship Id="rId9" Type="http://schemas.openxmlformats.org/officeDocument/2006/relationships/image" Target="../media/image5.png"/><Relationship Id="rId1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28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12759" y="609929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4203" y="604068"/>
          <a:ext cx="929666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5003" y="1422134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2144246</xdr:colOff>
      <xdr:row>5</xdr:row>
      <xdr:rowOff>14091</xdr:rowOff>
    </xdr:from>
    <xdr:to>
      <xdr:col>2</xdr:col>
      <xdr:colOff>2334505</xdr:colOff>
      <xdr:row>5</xdr:row>
      <xdr:rowOff>197655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0376" y="1413852"/>
          <a:ext cx="190259" cy="183564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5003" y="1182601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318268</xdr:colOff>
      <xdr:row>3</xdr:row>
      <xdr:rowOff>0</xdr:rowOff>
    </xdr:from>
    <xdr:to>
      <xdr:col>6</xdr:col>
      <xdr:colOff>704021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56290" y="935935"/>
          <a:ext cx="1445927" cy="364068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317606</xdr:colOff>
      <xdr:row>5</xdr:row>
      <xdr:rowOff>24847</xdr:rowOff>
    </xdr:from>
    <xdr:to>
      <xdr:col>6</xdr:col>
      <xdr:colOff>695739</xdr:colOff>
      <xdr:row>6</xdr:row>
      <xdr:rowOff>179862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55628" y="1424608"/>
          <a:ext cx="1438307" cy="386928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325888</xdr:colOff>
      <xdr:row>7</xdr:row>
      <xdr:rowOff>76898</xdr:rowOff>
    </xdr:from>
    <xdr:to>
      <xdr:col>6</xdr:col>
      <xdr:colOff>704021</xdr:colOff>
      <xdr:row>9</xdr:row>
      <xdr:rowOff>0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3910" y="1940485"/>
          <a:ext cx="1438307" cy="386928"/>
          <a:chOff x="1412632" y="4347613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Order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775436</xdr:colOff>
      <xdr:row>4</xdr:row>
      <xdr:rowOff>26349</xdr:rowOff>
    </xdr:from>
    <xdr:to>
      <xdr:col>3</xdr:col>
      <xdr:colOff>965695</xdr:colOff>
      <xdr:row>4</xdr:row>
      <xdr:rowOff>217533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0088" y="1194197"/>
          <a:ext cx="190259" cy="191184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1118610</xdr:colOff>
      <xdr:row>4</xdr:row>
      <xdr:rowOff>26348</xdr:rowOff>
    </xdr:from>
    <xdr:to>
      <xdr:col>4</xdr:col>
      <xdr:colOff>1308869</xdr:colOff>
      <xdr:row>4</xdr:row>
      <xdr:rowOff>217532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748588" y="1194196"/>
          <a:ext cx="190259" cy="191184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136292</xdr:colOff>
      <xdr:row>8</xdr:row>
      <xdr:rowOff>46227</xdr:rowOff>
    </xdr:from>
    <xdr:to>
      <xdr:col>7</xdr:col>
      <xdr:colOff>326551</xdr:colOff>
      <xdr:row>9</xdr:row>
      <xdr:rowOff>5498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6488" y="2141727"/>
          <a:ext cx="190259" cy="191184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352425</xdr:colOff>
      <xdr:row>0</xdr:row>
      <xdr:rowOff>123825</xdr:rowOff>
    </xdr:from>
    <xdr:to>
      <xdr:col>1</xdr:col>
      <xdr:colOff>745378</xdr:colOff>
      <xdr:row>1</xdr:row>
      <xdr:rowOff>178300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352425" y="123825"/>
          <a:ext cx="916828" cy="28307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show_frmLogin" textlink="">
      <xdr:nvSpPr>
        <xdr:cNvPr id="2" name="직사각형 1">
          <a:extLst>
            <a:ext uri="{FF2B5EF4-FFF2-40B4-BE49-F238E27FC236}">
              <a16:creationId xmlns:a16="http://schemas.microsoft.com/office/drawing/2014/main" id="{C24FE502-1221-FA65-C6F3-776265B90EEA}"/>
            </a:ext>
          </a:extLst>
        </xdr:cNvPr>
        <xdr:cNvSpPr/>
      </xdr:nvSpPr>
      <xdr:spPr>
        <a:xfrm>
          <a:off x="7543800" y="419100"/>
          <a:ext cx="2743200" cy="5238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935358</xdr:colOff>
      <xdr:row>18</xdr:row>
      <xdr:rowOff>122988</xdr:rowOff>
    </xdr:from>
    <xdr:to>
      <xdr:col>2</xdr:col>
      <xdr:colOff>1617429</xdr:colOff>
      <xdr:row>23</xdr:row>
      <xdr:rowOff>97155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A2EC570-DB6B-E090-1C81-3125C4B44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833" y="580188"/>
          <a:ext cx="695406" cy="10733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S35"/>
  <sheetViews>
    <sheetView showGridLines="0" zoomScale="115" zoomScaleNormal="115" workbookViewId="0">
      <selection activeCell="C10" sqref="C10"/>
    </sheetView>
  </sheetViews>
  <sheetFormatPr defaultColWidth="8.75" defaultRowHeight="18" customHeight="1"/>
  <cols>
    <col min="1" max="1" width="3.25" style="39" customWidth="1"/>
    <col min="2" max="2" width="12.125" style="4" customWidth="1"/>
    <col min="3" max="3" width="31.75" style="3" customWidth="1"/>
    <col min="4" max="4" width="13.625" style="2" customWidth="1"/>
    <col min="5" max="5" width="18.5" style="2" customWidth="1"/>
    <col min="6" max="6" width="13.875" style="2" customWidth="1"/>
    <col min="7" max="7" width="10" style="2" customWidth="1"/>
    <col min="8" max="8" width="13.375" style="2" customWidth="1"/>
    <col min="9" max="9" width="10.875" style="2" customWidth="1"/>
    <col min="10" max="10" width="14.125" style="2" bestFit="1" customWidth="1"/>
    <col min="11" max="11" width="19.75" style="2" customWidth="1"/>
    <col min="12" max="12" width="25.375" style="2" customWidth="1"/>
    <col min="13" max="15" width="9.75" style="2" customWidth="1"/>
    <col min="16" max="16" width="20.625" style="2" customWidth="1"/>
    <col min="17" max="18" width="8.75" style="1"/>
    <col min="19" max="19" width="8.75" style="1" customWidth="1"/>
    <col min="20" max="16384" width="8.75" style="1"/>
  </cols>
  <sheetData>
    <row r="1" spans="1:19" ht="18" customHeight="1">
      <c r="A1" s="41"/>
      <c r="B1" s="10"/>
      <c r="C1" s="11"/>
      <c r="E1" s="16"/>
      <c r="F1" s="16"/>
      <c r="G1" s="16"/>
      <c r="H1" s="16"/>
      <c r="I1" s="16"/>
      <c r="J1" s="16"/>
      <c r="K1" s="16"/>
      <c r="L1" s="23"/>
      <c r="M1" s="23"/>
      <c r="N1" s="23"/>
      <c r="O1" s="23"/>
      <c r="P1" s="16"/>
      <c r="Q1" s="2"/>
    </row>
    <row r="2" spans="1:19" ht="25.5" customHeight="1">
      <c r="E2" s="16"/>
      <c r="F2" s="16"/>
      <c r="G2" s="16"/>
      <c r="H2" s="16"/>
      <c r="I2" s="16"/>
      <c r="J2" s="16"/>
      <c r="K2" s="16"/>
      <c r="L2" s="23"/>
      <c r="M2" s="23"/>
      <c r="N2" s="23"/>
      <c r="O2" s="23"/>
      <c r="P2" s="16"/>
      <c r="Q2" s="2"/>
    </row>
    <row r="3" spans="1:19" ht="30.6" customHeight="1">
      <c r="E3" s="16"/>
      <c r="F3" s="16"/>
      <c r="G3" s="1"/>
      <c r="H3" s="1"/>
      <c r="I3" s="1"/>
      <c r="J3" s="1"/>
      <c r="K3" s="1"/>
      <c r="L3" s="23"/>
      <c r="M3" s="23"/>
      <c r="N3" s="23"/>
      <c r="O3" s="23"/>
      <c r="P3" s="16"/>
      <c r="Q3" s="2"/>
    </row>
    <row r="4" spans="1:19" ht="18" customHeight="1">
      <c r="B4" s="167" t="s">
        <v>66</v>
      </c>
      <c r="C4" s="168"/>
      <c r="D4" s="38" t="s">
        <v>70</v>
      </c>
      <c r="E4" s="66"/>
      <c r="F4" s="1"/>
      <c r="G4" s="1"/>
      <c r="J4" s="38" t="s">
        <v>72</v>
      </c>
      <c r="K4" s="99">
        <f>SUM(H28:J28)</f>
        <v>0</v>
      </c>
      <c r="L4" s="1"/>
      <c r="M4" s="1"/>
      <c r="N4" s="1"/>
      <c r="O4" s="1"/>
      <c r="P4" s="1"/>
    </row>
    <row r="5" spans="1:19" ht="18" customHeight="1">
      <c r="B5" s="32" t="s">
        <v>14</v>
      </c>
      <c r="C5" s="45">
        <v>45726</v>
      </c>
      <c r="D5" s="32" t="s">
        <v>1</v>
      </c>
      <c r="E5" s="74"/>
      <c r="F5" s="1"/>
      <c r="G5" s="1"/>
      <c r="H5" s="1"/>
      <c r="J5" s="38" t="s">
        <v>985</v>
      </c>
      <c r="K5" s="96">
        <v>7222000</v>
      </c>
      <c r="L5" s="1"/>
      <c r="M5" s="1"/>
      <c r="N5" s="1"/>
      <c r="O5" s="1"/>
      <c r="P5" s="1"/>
    </row>
    <row r="6" spans="1:19" ht="18" customHeight="1">
      <c r="B6" s="32" t="s">
        <v>66</v>
      </c>
      <c r="C6" s="46" t="s">
        <v>26</v>
      </c>
      <c r="D6" s="32" t="s">
        <v>0</v>
      </c>
      <c r="E6" s="74" t="s">
        <v>1451</v>
      </c>
      <c r="F6" s="1"/>
      <c r="G6" s="1"/>
      <c r="H6" s="1"/>
      <c r="I6" s="1"/>
      <c r="J6" s="38" t="s">
        <v>986</v>
      </c>
      <c r="K6" s="59">
        <f>K4+K5</f>
        <v>7222000</v>
      </c>
      <c r="L6" s="1"/>
      <c r="M6" s="1"/>
      <c r="N6" s="1"/>
      <c r="O6" s="1"/>
      <c r="P6" s="1"/>
    </row>
    <row r="7" spans="1:19" ht="18" customHeight="1">
      <c r="B7" s="32" t="s">
        <v>38</v>
      </c>
      <c r="C7" s="47" t="s">
        <v>1408</v>
      </c>
      <c r="D7" s="32" t="s">
        <v>71</v>
      </c>
      <c r="E7" s="35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9" ht="18" customHeight="1">
      <c r="A8" s="39">
        <v>39</v>
      </c>
      <c r="B8" s="32" t="s">
        <v>10</v>
      </c>
      <c r="C8" s="47" t="s">
        <v>28</v>
      </c>
      <c r="D8" s="32" t="s">
        <v>53</v>
      </c>
      <c r="E8" s="36">
        <v>1500000</v>
      </c>
      <c r="F8" s="1"/>
      <c r="G8" s="1"/>
      <c r="H8" s="1"/>
      <c r="I8" s="1"/>
      <c r="J8" s="1"/>
      <c r="L8" s="1"/>
      <c r="M8" s="1"/>
      <c r="N8" s="1"/>
      <c r="O8" s="1"/>
      <c r="P8" s="1"/>
    </row>
    <row r="9" spans="1:19" ht="18" customHeight="1">
      <c r="A9" s="40">
        <v>1</v>
      </c>
      <c r="B9" s="32" t="s">
        <v>113</v>
      </c>
      <c r="C9" s="47" t="s">
        <v>27</v>
      </c>
      <c r="D9" s="32" t="s">
        <v>67</v>
      </c>
      <c r="E9" s="47">
        <v>1</v>
      </c>
      <c r="F9" s="1">
        <v>1500000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9" ht="18" customHeight="1">
      <c r="B10" s="32" t="s">
        <v>29</v>
      </c>
      <c r="C10" s="47" t="s">
        <v>33</v>
      </c>
      <c r="D10" s="32" t="s">
        <v>77</v>
      </c>
      <c r="E10" s="36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9" ht="18" customHeight="1">
      <c r="B11" s="1"/>
      <c r="C11" s="1"/>
      <c r="D11" s="32" t="s">
        <v>114</v>
      </c>
      <c r="E11" s="36">
        <v>150000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9" ht="18" customHeight="1">
      <c r="B12" s="1"/>
      <c r="C12" s="1"/>
      <c r="D12" s="32" t="s">
        <v>78</v>
      </c>
      <c r="E12" s="36">
        <f>(E8*E9)+E11</f>
        <v>1650000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9" ht="18" customHeight="1">
      <c r="B13" s="1"/>
      <c r="C13" s="1"/>
      <c r="D13" s="32" t="s">
        <v>4</v>
      </c>
      <c r="E13" s="35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9" s="12" customFormat="1" ht="18" customHeight="1">
      <c r="A14" s="39"/>
      <c r="D14" s="15"/>
    </row>
    <row r="15" spans="1:19" s="12" customFormat="1" ht="18" customHeight="1">
      <c r="A15" s="42" t="s">
        <v>111</v>
      </c>
      <c r="B15" s="5" t="s">
        <v>105</v>
      </c>
      <c r="C15" s="5" t="s">
        <v>106</v>
      </c>
      <c r="D15" s="5" t="s">
        <v>107</v>
      </c>
      <c r="E15" s="5" t="s">
        <v>982</v>
      </c>
      <c r="F15" s="24" t="s">
        <v>108</v>
      </c>
      <c r="G15" s="24" t="s">
        <v>109</v>
      </c>
      <c r="H15" s="24" t="s">
        <v>110</v>
      </c>
      <c r="I15" s="24" t="s">
        <v>103</v>
      </c>
      <c r="J15" s="24" t="s">
        <v>104</v>
      </c>
      <c r="K15" s="5" t="s">
        <v>4</v>
      </c>
    </row>
    <row r="16" spans="1:19" s="12" customFormat="1" ht="18" customHeight="1">
      <c r="A16" s="43"/>
      <c r="B16" s="18"/>
      <c r="C16" s="65"/>
      <c r="D16" s="17"/>
      <c r="E16" s="149"/>
      <c r="F16" s="150"/>
      <c r="G16" s="151"/>
      <c r="H16" s="149"/>
      <c r="I16" s="149"/>
      <c r="J16" s="149"/>
      <c r="K16" s="19"/>
      <c r="O16" s="1"/>
      <c r="P16" s="1"/>
      <c r="Q16" s="1"/>
      <c r="R16" s="1"/>
      <c r="S16" s="1"/>
    </row>
    <row r="17" spans="1:19" s="12" customFormat="1" ht="18" customHeight="1">
      <c r="A17" s="43"/>
      <c r="B17" s="18"/>
      <c r="C17" s="18"/>
      <c r="D17" s="18"/>
      <c r="E17" s="150"/>
      <c r="F17" s="150"/>
      <c r="G17" s="151"/>
      <c r="H17" s="153"/>
      <c r="I17" s="150"/>
      <c r="J17" s="150"/>
      <c r="K17" s="18"/>
      <c r="M17" s="1"/>
      <c r="N17" s="1"/>
      <c r="O17" s="1"/>
      <c r="P17" s="1"/>
      <c r="Q17" s="1"/>
      <c r="R17" s="1"/>
      <c r="S17" s="1"/>
    </row>
    <row r="18" spans="1:19" s="12" customFormat="1" ht="18" customHeight="1">
      <c r="A18" s="43"/>
      <c r="B18" s="18"/>
      <c r="C18" s="18"/>
      <c r="D18" s="18"/>
      <c r="E18" s="150"/>
      <c r="F18" s="150"/>
      <c r="G18" s="151"/>
      <c r="H18" s="150"/>
      <c r="I18" s="150"/>
      <c r="J18" s="150"/>
      <c r="K18" s="18"/>
      <c r="M18" s="1"/>
      <c r="N18" s="1"/>
      <c r="O18" s="1"/>
      <c r="P18" s="1"/>
      <c r="Q18" s="1"/>
      <c r="R18" s="1"/>
      <c r="S18" s="1"/>
    </row>
    <row r="19" spans="1:19" s="12" customFormat="1" ht="18" customHeight="1">
      <c r="A19" s="43"/>
      <c r="B19" s="18"/>
      <c r="C19" s="18"/>
      <c r="D19" s="18"/>
      <c r="E19" s="150"/>
      <c r="F19" s="150"/>
      <c r="G19" s="151"/>
      <c r="H19" s="150"/>
      <c r="I19" s="150"/>
      <c r="J19" s="150"/>
      <c r="K19" s="18"/>
      <c r="M19" s="1"/>
      <c r="N19" s="1"/>
      <c r="O19" s="1"/>
      <c r="P19" s="1"/>
      <c r="Q19" s="1"/>
      <c r="R19" s="1"/>
      <c r="S19" s="1"/>
    </row>
    <row r="20" spans="1:19" s="12" customFormat="1" ht="18" customHeight="1">
      <c r="A20" s="43"/>
      <c r="B20" s="18"/>
      <c r="C20" s="18"/>
      <c r="D20" s="18"/>
      <c r="E20" s="150"/>
      <c r="F20" s="150"/>
      <c r="G20" s="151"/>
      <c r="H20" s="150"/>
      <c r="I20" s="150"/>
      <c r="J20" s="150"/>
      <c r="K20" s="18"/>
      <c r="M20" s="1"/>
      <c r="N20" s="1"/>
      <c r="O20" s="1"/>
      <c r="P20" s="1"/>
      <c r="Q20" s="1"/>
      <c r="R20" s="1"/>
      <c r="S20" s="1"/>
    </row>
    <row r="21" spans="1:19" s="12" customFormat="1" ht="18" customHeight="1">
      <c r="A21" s="43"/>
      <c r="B21" s="18"/>
      <c r="C21" s="18"/>
      <c r="D21" s="18"/>
      <c r="E21" s="150"/>
      <c r="F21" s="150"/>
      <c r="G21" s="151"/>
      <c r="H21" s="150"/>
      <c r="I21" s="150"/>
      <c r="J21" s="150"/>
      <c r="K21" s="18"/>
      <c r="M21" s="1"/>
      <c r="N21" s="1"/>
      <c r="O21" s="1"/>
      <c r="P21" s="1"/>
      <c r="Q21" s="1"/>
      <c r="R21" s="1"/>
      <c r="S21" s="1"/>
    </row>
    <row r="22" spans="1:19" s="12" customFormat="1" ht="18" customHeight="1">
      <c r="A22" s="43"/>
      <c r="B22" s="18"/>
      <c r="C22" s="18"/>
      <c r="D22" s="18"/>
      <c r="E22" s="150"/>
      <c r="F22" s="150"/>
      <c r="G22" s="151"/>
      <c r="H22" s="150"/>
      <c r="I22" s="150"/>
      <c r="J22" s="150"/>
      <c r="K22" s="18"/>
      <c r="M22" s="1"/>
      <c r="N22" s="1"/>
      <c r="O22" s="1"/>
      <c r="P22" s="1"/>
      <c r="Q22" s="1"/>
      <c r="R22" s="1"/>
      <c r="S22" s="1"/>
    </row>
    <row r="23" spans="1:19" s="12" customFormat="1" ht="18" customHeight="1">
      <c r="A23" s="43"/>
      <c r="B23" s="18"/>
      <c r="C23" s="18"/>
      <c r="D23" s="18"/>
      <c r="E23" s="150"/>
      <c r="F23" s="150"/>
      <c r="G23" s="151"/>
      <c r="H23" s="150"/>
      <c r="I23" s="150"/>
      <c r="J23" s="150"/>
      <c r="K23" s="18"/>
      <c r="M23" s="1"/>
      <c r="N23" s="1"/>
      <c r="O23" s="1"/>
      <c r="P23" s="1"/>
      <c r="Q23" s="1"/>
      <c r="R23" s="1"/>
      <c r="S23" s="1"/>
    </row>
    <row r="24" spans="1:19" ht="18" customHeight="1">
      <c r="A24" s="43"/>
      <c r="B24" s="18"/>
      <c r="C24" s="65"/>
      <c r="D24" s="17"/>
      <c r="E24" s="149"/>
      <c r="F24" s="149"/>
      <c r="G24" s="152"/>
      <c r="H24" s="149"/>
      <c r="I24" s="149"/>
      <c r="J24" s="149"/>
      <c r="K24" s="19"/>
      <c r="M24" s="1"/>
      <c r="N24" s="1"/>
      <c r="O24" s="1"/>
      <c r="P24" s="1"/>
    </row>
    <row r="25" spans="1:19" ht="18" customHeight="1">
      <c r="A25" s="43"/>
      <c r="B25" s="18"/>
      <c r="C25" s="65"/>
      <c r="D25" s="17"/>
      <c r="E25" s="149"/>
      <c r="F25" s="149"/>
      <c r="G25" s="152"/>
      <c r="H25" s="149"/>
      <c r="I25" s="149"/>
      <c r="J25" s="149"/>
      <c r="K25" s="19"/>
      <c r="M25" s="1"/>
      <c r="N25" s="1"/>
      <c r="O25" s="1"/>
      <c r="P25" s="1"/>
    </row>
    <row r="26" spans="1:19" ht="18" customHeight="1">
      <c r="A26" s="43"/>
      <c r="B26" s="18"/>
      <c r="C26" s="65"/>
      <c r="D26" s="17"/>
      <c r="E26" s="149"/>
      <c r="F26" s="149"/>
      <c r="G26" s="152"/>
      <c r="H26" s="149"/>
      <c r="I26" s="149"/>
      <c r="J26" s="149"/>
      <c r="K26" s="19"/>
      <c r="M26" s="1"/>
      <c r="N26" s="1"/>
      <c r="O26" s="1"/>
      <c r="P26" s="1"/>
    </row>
    <row r="27" spans="1:19" ht="18" customHeight="1">
      <c r="A27" s="43"/>
      <c r="B27" s="18"/>
      <c r="C27" s="65"/>
      <c r="D27" s="17"/>
      <c r="E27" s="149"/>
      <c r="F27" s="149"/>
      <c r="G27" s="152"/>
      <c r="H27" s="149"/>
      <c r="I27" s="149"/>
      <c r="J27" s="149"/>
      <c r="K27" s="19"/>
      <c r="M27" s="1"/>
      <c r="N27" s="1"/>
      <c r="O27" s="1"/>
      <c r="P27" s="1"/>
    </row>
    <row r="28" spans="1:19" ht="18" customHeight="1">
      <c r="B28" s="169" t="s">
        <v>112</v>
      </c>
      <c r="C28" s="170"/>
      <c r="D28" s="170"/>
      <c r="E28" s="170"/>
      <c r="F28" s="170"/>
      <c r="G28" s="171"/>
      <c r="H28" s="44">
        <f>SUM(H16:H27)</f>
        <v>0</v>
      </c>
      <c r="I28" s="44">
        <f>SUM(I16:I27)</f>
        <v>0</v>
      </c>
      <c r="J28" s="44">
        <f>SUM(J16:J27)</f>
        <v>0</v>
      </c>
      <c r="K28" s="44"/>
    </row>
    <row r="29" spans="1:19" ht="18" customHeight="1">
      <c r="A29" s="4"/>
      <c r="C29" s="4"/>
      <c r="D29" s="4"/>
      <c r="E29" s="4"/>
      <c r="F29" s="4"/>
      <c r="G29" s="4"/>
      <c r="H29" s="4"/>
      <c r="I29" s="4"/>
      <c r="J29" s="4"/>
      <c r="K29" s="4"/>
    </row>
    <row r="30" spans="1:19" ht="18" customHeight="1">
      <c r="A30" s="4"/>
      <c r="C30" s="4"/>
      <c r="D30" s="4"/>
      <c r="E30" s="4"/>
      <c r="F30" s="4"/>
      <c r="G30" s="4"/>
      <c r="H30" s="4"/>
      <c r="I30" s="4"/>
      <c r="J30" s="4"/>
      <c r="K30" s="4"/>
    </row>
    <row r="31" spans="1:19" ht="18" customHeight="1">
      <c r="A31" s="4"/>
      <c r="C31" s="4"/>
      <c r="D31" s="4"/>
      <c r="E31" s="4"/>
      <c r="F31" s="4"/>
      <c r="G31" s="4"/>
      <c r="H31" s="4"/>
      <c r="I31" s="4"/>
      <c r="J31" s="4"/>
      <c r="K31" s="4"/>
    </row>
    <row r="32" spans="1:19" ht="18" customHeight="1">
      <c r="A32" s="4"/>
      <c r="C32" s="4"/>
      <c r="D32" s="4"/>
      <c r="E32" s="4"/>
      <c r="F32" s="4"/>
      <c r="G32" s="4"/>
      <c r="H32" s="4"/>
      <c r="I32" s="4"/>
      <c r="J32" s="4"/>
      <c r="K32" s="4"/>
    </row>
    <row r="33" spans="1:11" ht="18" customHeight="1">
      <c r="A33" s="4"/>
      <c r="C33" s="4"/>
      <c r="D33" s="4"/>
      <c r="E33" s="4"/>
      <c r="F33" s="4"/>
      <c r="G33" s="4"/>
      <c r="H33" s="4"/>
      <c r="I33" s="4"/>
      <c r="J33" s="4"/>
      <c r="K33" s="4"/>
    </row>
    <row r="34" spans="1:11" ht="18" customHeight="1">
      <c r="A34" s="4"/>
      <c r="C34" s="4"/>
      <c r="D34" s="4"/>
      <c r="E34" s="4"/>
      <c r="F34" s="4"/>
      <c r="G34" s="4"/>
      <c r="H34" s="4"/>
      <c r="I34" s="4"/>
      <c r="J34" s="4"/>
      <c r="K34" s="4"/>
    </row>
    <row r="35" spans="1:11" ht="18" customHeight="1">
      <c r="A35" s="4"/>
      <c r="C35" s="4"/>
      <c r="D35" s="4"/>
      <c r="E35" s="4"/>
      <c r="F35" s="4"/>
      <c r="G35" s="4"/>
      <c r="H35" s="4"/>
      <c r="I35" s="4"/>
      <c r="J35" s="4"/>
      <c r="K35" s="4"/>
    </row>
  </sheetData>
  <mergeCells count="2">
    <mergeCell ref="B4:C4"/>
    <mergeCell ref="B28:G28"/>
  </mergeCells>
  <phoneticPr fontId="1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H2"/>
  <sheetViews>
    <sheetView workbookViewId="0">
      <selection activeCell="G2" sqref="G2"/>
    </sheetView>
  </sheetViews>
  <sheetFormatPr defaultRowHeight="16.5"/>
  <cols>
    <col min="1" max="1" width="3.75" bestFit="1" customWidth="1"/>
    <col min="2" max="2" width="14.25" bestFit="1" customWidth="1"/>
    <col min="3" max="3" width="18.125" customWidth="1"/>
    <col min="4" max="4" width="47.5" customWidth="1"/>
    <col min="5" max="5" width="37.625" customWidth="1"/>
    <col min="6" max="6" width="18.25" customWidth="1"/>
    <col min="7" max="7" width="20.875" customWidth="1"/>
    <col min="8" max="8" width="20" customWidth="1"/>
  </cols>
  <sheetData>
    <row r="1" spans="1:8" ht="17.25" thickBot="1">
      <c r="A1" s="31" t="s">
        <v>2</v>
      </c>
      <c r="B1" s="31" t="s">
        <v>1467</v>
      </c>
      <c r="C1" s="31" t="s">
        <v>14</v>
      </c>
      <c r="D1" s="62" t="s">
        <v>66</v>
      </c>
      <c r="E1" s="166" t="s">
        <v>1470</v>
      </c>
      <c r="F1" s="166" t="s">
        <v>1468</v>
      </c>
      <c r="G1" s="166" t="s">
        <v>1471</v>
      </c>
      <c r="H1">
        <v>1</v>
      </c>
    </row>
    <row r="2" spans="1:8">
      <c r="A2">
        <v>1</v>
      </c>
      <c r="B2">
        <v>1</v>
      </c>
      <c r="C2" s="13">
        <v>45719</v>
      </c>
      <c r="D2" t="s">
        <v>26</v>
      </c>
      <c r="E2" t="s">
        <v>1470</v>
      </c>
      <c r="F2" t="s">
        <v>1468</v>
      </c>
      <c r="G2" t="s">
        <v>1472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8"/>
  <sheetViews>
    <sheetView workbookViewId="0">
      <selection activeCell="G10" sqref="G10"/>
    </sheetView>
  </sheetViews>
  <sheetFormatPr defaultColWidth="9" defaultRowHeight="16.5"/>
  <cols>
    <col min="1" max="1" width="6.375" customWidth="1"/>
    <col min="2" max="2" width="12.25" style="13" customWidth="1"/>
    <col min="3" max="3" width="18.75" customWidth="1"/>
    <col min="4" max="4" width="13.25" style="61" bestFit="1" customWidth="1"/>
    <col min="5" max="5" width="21.875" bestFit="1" customWidth="1"/>
    <col min="6" max="6" width="12" bestFit="1" customWidth="1"/>
    <col min="7" max="7" width="10.5" style="64" bestFit="1" customWidth="1"/>
    <col min="8" max="8" width="9.5" bestFit="1" customWidth="1"/>
    <col min="9" max="9" width="13.25" style="155" bestFit="1" customWidth="1"/>
    <col min="10" max="10" width="13.25" style="64" customWidth="1"/>
    <col min="11" max="12" width="45.75" style="64" customWidth="1"/>
    <col min="15" max="15" width="13.5" bestFit="1" customWidth="1"/>
    <col min="16" max="17" width="11.125" bestFit="1" customWidth="1"/>
    <col min="18" max="18" width="15.25" bestFit="1" customWidth="1"/>
  </cols>
  <sheetData>
    <row r="1" spans="1:16" s="93" customFormat="1" ht="17.25" thickBot="1">
      <c r="A1" s="31" t="s">
        <v>2</v>
      </c>
      <c r="B1" s="92" t="s">
        <v>101</v>
      </c>
      <c r="C1" s="31" t="s">
        <v>8</v>
      </c>
      <c r="D1" s="62" t="s">
        <v>1</v>
      </c>
      <c r="E1" s="31" t="s">
        <v>0</v>
      </c>
      <c r="F1" s="31" t="s">
        <v>60</v>
      </c>
      <c r="G1" s="63" t="s">
        <v>53</v>
      </c>
      <c r="H1" s="31" t="s">
        <v>67</v>
      </c>
      <c r="I1" s="154" t="s">
        <v>77</v>
      </c>
      <c r="J1" s="63" t="s">
        <v>78</v>
      </c>
      <c r="K1" s="63" t="s">
        <v>1469</v>
      </c>
      <c r="L1" s="63" t="s">
        <v>1468</v>
      </c>
      <c r="M1" s="8">
        <v>40</v>
      </c>
    </row>
    <row r="2" spans="1:16">
      <c r="A2" s="61">
        <v>1</v>
      </c>
      <c r="B2" s="13">
        <v>45723</v>
      </c>
      <c r="C2" s="61" t="s">
        <v>1405</v>
      </c>
      <c r="E2" s="61" t="s">
        <v>1393</v>
      </c>
      <c r="F2" s="61"/>
      <c r="G2" s="64">
        <v>30000</v>
      </c>
      <c r="H2" s="61">
        <v>3</v>
      </c>
      <c r="J2" s="64">
        <v>90000</v>
      </c>
      <c r="M2" s="61"/>
    </row>
    <row r="3" spans="1:16">
      <c r="A3" s="61">
        <v>2</v>
      </c>
      <c r="B3" s="13">
        <v>45723</v>
      </c>
      <c r="C3" s="61" t="s">
        <v>1378</v>
      </c>
      <c r="E3" s="61" t="s">
        <v>1387</v>
      </c>
      <c r="F3" s="61"/>
      <c r="G3" s="64">
        <v>1300000</v>
      </c>
      <c r="H3" s="61">
        <v>1</v>
      </c>
      <c r="J3" s="64">
        <v>1300000</v>
      </c>
      <c r="M3" s="61"/>
      <c r="N3" s="61"/>
      <c r="O3" s="61"/>
      <c r="P3" s="61"/>
    </row>
    <row r="4" spans="1:16">
      <c r="A4" s="61">
        <v>3</v>
      </c>
      <c r="B4" s="13">
        <v>45723</v>
      </c>
      <c r="C4" s="61" t="s">
        <v>1378</v>
      </c>
      <c r="E4" s="61" t="s">
        <v>1404</v>
      </c>
      <c r="F4" s="61"/>
      <c r="G4" s="64">
        <v>800000</v>
      </c>
      <c r="H4" s="61">
        <v>1</v>
      </c>
      <c r="J4" s="64">
        <v>800000</v>
      </c>
      <c r="M4" s="61"/>
      <c r="N4" s="61"/>
      <c r="O4" s="61"/>
      <c r="P4" s="61"/>
    </row>
    <row r="5" spans="1:16">
      <c r="A5" s="61">
        <v>4</v>
      </c>
      <c r="B5" s="13">
        <v>45723</v>
      </c>
      <c r="C5" s="61" t="s">
        <v>1179</v>
      </c>
      <c r="E5" s="61" t="s">
        <v>1394</v>
      </c>
      <c r="F5" s="61"/>
      <c r="G5" s="64">
        <v>1000000</v>
      </c>
      <c r="H5" s="61">
        <v>1</v>
      </c>
      <c r="J5" s="64">
        <v>1000000</v>
      </c>
      <c r="M5" s="61"/>
      <c r="N5" s="61"/>
      <c r="O5" s="61"/>
      <c r="P5" s="61"/>
    </row>
    <row r="6" spans="1:16">
      <c r="A6" s="61">
        <v>5</v>
      </c>
      <c r="B6" s="13">
        <v>45722</v>
      </c>
      <c r="C6" s="61" t="s">
        <v>1405</v>
      </c>
      <c r="E6" s="61" t="s">
        <v>1395</v>
      </c>
      <c r="F6" s="61"/>
      <c r="G6" s="64">
        <v>198000</v>
      </c>
      <c r="H6" s="61">
        <v>1</v>
      </c>
      <c r="J6" s="64">
        <v>198000</v>
      </c>
      <c r="M6" s="61"/>
      <c r="N6" s="61"/>
      <c r="O6" s="61"/>
      <c r="P6" s="61"/>
    </row>
    <row r="7" spans="1:16">
      <c r="A7" s="61">
        <v>6</v>
      </c>
      <c r="B7" s="13">
        <v>45722</v>
      </c>
      <c r="C7" s="61" t="s">
        <v>1405</v>
      </c>
      <c r="E7" s="61" t="s">
        <v>1396</v>
      </c>
      <c r="F7" s="61"/>
      <c r="G7" s="64">
        <v>12000</v>
      </c>
      <c r="H7" s="61">
        <v>3</v>
      </c>
      <c r="J7" s="64">
        <v>36000</v>
      </c>
      <c r="M7" s="61"/>
      <c r="N7" s="61"/>
      <c r="O7" s="61"/>
      <c r="P7" s="61"/>
    </row>
    <row r="8" spans="1:16">
      <c r="A8" s="61">
        <v>7</v>
      </c>
      <c r="B8" s="13">
        <v>45722</v>
      </c>
      <c r="C8" s="61" t="s">
        <v>1466</v>
      </c>
      <c r="E8" s="61" t="s">
        <v>1403</v>
      </c>
      <c r="F8" s="61"/>
      <c r="G8" s="64">
        <v>25000</v>
      </c>
      <c r="H8" s="61">
        <v>2</v>
      </c>
      <c r="J8" s="64">
        <v>50000</v>
      </c>
      <c r="M8" s="61"/>
      <c r="N8" s="61"/>
      <c r="O8" s="61"/>
      <c r="P8" s="61"/>
    </row>
    <row r="9" spans="1:16">
      <c r="A9" s="61">
        <v>8</v>
      </c>
      <c r="B9" s="13">
        <v>45722</v>
      </c>
      <c r="C9" s="61" t="s">
        <v>1409</v>
      </c>
      <c r="E9" s="61" t="s">
        <v>1397</v>
      </c>
      <c r="F9" s="61"/>
      <c r="G9" s="64">
        <v>1100000</v>
      </c>
      <c r="H9" s="61">
        <v>1</v>
      </c>
      <c r="J9" s="64">
        <v>1100000</v>
      </c>
      <c r="M9" s="61"/>
      <c r="N9" s="61"/>
      <c r="O9" s="61"/>
      <c r="P9" s="61"/>
    </row>
    <row r="10" spans="1:16">
      <c r="A10" s="61">
        <v>9</v>
      </c>
      <c r="B10" s="13">
        <v>45722</v>
      </c>
      <c r="C10" s="61" t="s">
        <v>1263</v>
      </c>
      <c r="E10" s="61" t="s">
        <v>1387</v>
      </c>
      <c r="F10" s="61"/>
      <c r="G10" s="64">
        <v>1200000</v>
      </c>
      <c r="H10" s="61">
        <v>1</v>
      </c>
      <c r="J10" s="64">
        <v>1200000</v>
      </c>
      <c r="M10" s="61"/>
      <c r="N10" s="61"/>
      <c r="O10" s="61"/>
      <c r="P10" s="61"/>
    </row>
    <row r="11" spans="1:16">
      <c r="A11" s="61">
        <v>10</v>
      </c>
      <c r="B11" s="13">
        <v>45722</v>
      </c>
      <c r="C11" s="61" t="s">
        <v>1073</v>
      </c>
      <c r="E11" s="61"/>
      <c r="F11" s="61">
        <v>415054509</v>
      </c>
      <c r="G11" s="64">
        <v>330000</v>
      </c>
      <c r="H11" s="61">
        <v>1</v>
      </c>
      <c r="J11" s="64">
        <v>330000</v>
      </c>
      <c r="M11" s="61"/>
      <c r="N11" s="61"/>
      <c r="O11" s="61"/>
      <c r="P11" s="61"/>
    </row>
    <row r="12" spans="1:16">
      <c r="A12" s="61">
        <v>11</v>
      </c>
      <c r="B12" s="13">
        <v>45722</v>
      </c>
      <c r="C12" s="61" t="s">
        <v>1405</v>
      </c>
      <c r="E12" s="61" t="s">
        <v>1398</v>
      </c>
      <c r="F12" s="61"/>
      <c r="G12" s="64">
        <v>1000000</v>
      </c>
      <c r="H12" s="61">
        <v>1</v>
      </c>
      <c r="J12" s="64">
        <v>1000000</v>
      </c>
      <c r="M12" s="61"/>
      <c r="N12" s="61"/>
      <c r="O12" s="61"/>
      <c r="P12" s="61"/>
    </row>
    <row r="13" spans="1:16">
      <c r="A13" s="61">
        <v>14</v>
      </c>
      <c r="B13" s="13">
        <v>45720</v>
      </c>
      <c r="C13" s="61" t="s">
        <v>1073</v>
      </c>
      <c r="E13" s="61"/>
      <c r="F13" s="61">
        <v>602000700</v>
      </c>
      <c r="G13" s="64">
        <v>350000</v>
      </c>
      <c r="H13" s="61">
        <v>1</v>
      </c>
      <c r="J13" s="64">
        <v>350000</v>
      </c>
      <c r="M13" s="61"/>
      <c r="N13" s="61"/>
      <c r="O13" s="61"/>
      <c r="P13" s="61"/>
    </row>
    <row r="14" spans="1:16">
      <c r="A14" s="61">
        <v>15</v>
      </c>
      <c r="B14" s="13">
        <v>45720</v>
      </c>
      <c r="C14" s="61" t="s">
        <v>1073</v>
      </c>
      <c r="D14" s="61" t="s">
        <v>1380</v>
      </c>
      <c r="E14" s="61" t="s">
        <v>1415</v>
      </c>
      <c r="F14" s="61"/>
      <c r="H14" s="61">
        <v>1</v>
      </c>
      <c r="I14" s="155">
        <v>-300000</v>
      </c>
      <c r="J14" s="64">
        <v>0</v>
      </c>
      <c r="M14" s="61"/>
      <c r="N14" s="61"/>
      <c r="O14" s="61"/>
      <c r="P14" s="61"/>
    </row>
    <row r="15" spans="1:16">
      <c r="A15" s="61">
        <v>16</v>
      </c>
      <c r="B15" s="13">
        <v>45720</v>
      </c>
      <c r="C15" s="61" t="s">
        <v>1409</v>
      </c>
      <c r="E15" s="61" t="s">
        <v>1417</v>
      </c>
      <c r="F15" s="61"/>
      <c r="G15" s="64">
        <v>610000</v>
      </c>
      <c r="H15" s="61">
        <v>1</v>
      </c>
      <c r="J15" s="64">
        <v>610000</v>
      </c>
      <c r="M15" s="61"/>
      <c r="N15" s="61"/>
      <c r="O15" s="61"/>
      <c r="P15" s="61"/>
    </row>
    <row r="16" spans="1:16">
      <c r="A16" s="61">
        <v>17</v>
      </c>
      <c r="B16" s="13">
        <v>45720</v>
      </c>
      <c r="C16" s="61" t="s">
        <v>1409</v>
      </c>
      <c r="E16" s="61" t="s">
        <v>1401</v>
      </c>
      <c r="F16" s="61"/>
      <c r="G16" s="64">
        <v>55000</v>
      </c>
      <c r="H16" s="61">
        <v>1</v>
      </c>
      <c r="J16" s="64">
        <v>55000</v>
      </c>
      <c r="M16" s="61"/>
      <c r="N16" s="61"/>
      <c r="O16" s="61"/>
      <c r="P16" s="61"/>
    </row>
    <row r="17" spans="1:16">
      <c r="A17" s="61">
        <v>18</v>
      </c>
      <c r="B17" s="13">
        <v>45720</v>
      </c>
      <c r="C17" s="61" t="s">
        <v>1409</v>
      </c>
      <c r="E17" s="61" t="s">
        <v>1402</v>
      </c>
      <c r="F17" s="61"/>
      <c r="G17" s="64">
        <v>600000</v>
      </c>
      <c r="H17" s="61">
        <v>1</v>
      </c>
      <c r="J17" s="64">
        <v>600000</v>
      </c>
      <c r="M17" s="61"/>
      <c r="N17" s="61"/>
      <c r="O17" s="61"/>
      <c r="P17" s="61"/>
    </row>
    <row r="18" spans="1:16">
      <c r="A18" s="61">
        <v>19</v>
      </c>
      <c r="B18" s="13">
        <v>45720</v>
      </c>
      <c r="C18" s="61" t="s">
        <v>1094</v>
      </c>
      <c r="E18" s="61" t="s">
        <v>1419</v>
      </c>
      <c r="F18" s="61"/>
      <c r="G18" s="64">
        <v>1100000</v>
      </c>
      <c r="H18" s="61">
        <v>1</v>
      </c>
      <c r="J18" s="64">
        <v>1100000</v>
      </c>
      <c r="M18" s="61"/>
      <c r="N18" s="61"/>
      <c r="O18" s="61"/>
      <c r="P18" s="61"/>
    </row>
    <row r="19" spans="1:16">
      <c r="A19" s="61">
        <v>20</v>
      </c>
      <c r="B19" s="13">
        <v>45717</v>
      </c>
      <c r="C19" s="61" t="s">
        <v>1405</v>
      </c>
      <c r="E19" s="61" t="s">
        <v>1397</v>
      </c>
      <c r="F19" s="61"/>
      <c r="G19" s="64">
        <v>650000</v>
      </c>
      <c r="H19" s="61">
        <v>1</v>
      </c>
      <c r="J19" s="64">
        <v>650000</v>
      </c>
      <c r="M19" s="61"/>
      <c r="N19" s="61"/>
    </row>
    <row r="20" spans="1:16">
      <c r="A20" s="61">
        <v>21</v>
      </c>
      <c r="B20" s="13">
        <v>45717</v>
      </c>
      <c r="C20" s="61" t="s">
        <v>1405</v>
      </c>
      <c r="E20" s="61" t="s">
        <v>1420</v>
      </c>
      <c r="F20" s="61"/>
      <c r="G20" s="64">
        <v>1650000</v>
      </c>
      <c r="H20" s="61">
        <v>1</v>
      </c>
      <c r="J20" s="64">
        <v>1650000</v>
      </c>
      <c r="M20" s="61"/>
      <c r="N20" s="61"/>
      <c r="O20" s="61"/>
    </row>
    <row r="21" spans="1:16">
      <c r="A21" s="64">
        <v>22</v>
      </c>
      <c r="B21" s="64">
        <v>45723</v>
      </c>
      <c r="C21" s="64" t="s">
        <v>1197</v>
      </c>
      <c r="D21" s="64"/>
      <c r="E21" s="64" t="s">
        <v>1425</v>
      </c>
      <c r="F21" s="64"/>
      <c r="G21" s="64">
        <v>700000</v>
      </c>
      <c r="H21" s="64">
        <v>1</v>
      </c>
      <c r="I21" s="64"/>
      <c r="J21" s="64">
        <v>700000</v>
      </c>
      <c r="M21" s="61"/>
      <c r="N21" s="61"/>
      <c r="O21" s="61"/>
      <c r="P21">
        <v>1</v>
      </c>
    </row>
    <row r="22" spans="1:16">
      <c r="A22" s="61">
        <v>23</v>
      </c>
      <c r="B22" s="13">
        <v>45723</v>
      </c>
      <c r="C22" s="61" t="s">
        <v>1076</v>
      </c>
      <c r="E22" s="61" t="s">
        <v>1388</v>
      </c>
      <c r="F22" s="61"/>
      <c r="G22" s="64">
        <v>1500000</v>
      </c>
      <c r="H22" s="61">
        <v>1</v>
      </c>
      <c r="J22" s="64">
        <v>1500000</v>
      </c>
      <c r="M22" s="61"/>
      <c r="N22" s="61"/>
      <c r="O22" s="61"/>
    </row>
    <row r="23" spans="1:16">
      <c r="A23" s="61">
        <v>24</v>
      </c>
      <c r="B23" s="13">
        <v>45724</v>
      </c>
      <c r="C23" s="61" t="s">
        <v>1405</v>
      </c>
      <c r="E23" s="61" t="s">
        <v>1387</v>
      </c>
      <c r="F23" s="61"/>
      <c r="G23" s="64">
        <v>1200000</v>
      </c>
      <c r="H23" s="61">
        <v>1</v>
      </c>
      <c r="J23" s="64">
        <v>1200000</v>
      </c>
      <c r="M23" s="61"/>
      <c r="N23" s="61"/>
      <c r="O23" s="61"/>
    </row>
    <row r="24" spans="1:16">
      <c r="A24" s="61">
        <v>25</v>
      </c>
      <c r="B24" s="13">
        <v>45724</v>
      </c>
      <c r="C24" s="61" t="s">
        <v>1405</v>
      </c>
      <c r="E24" s="61" t="s">
        <v>1329</v>
      </c>
      <c r="F24" s="61"/>
      <c r="G24" s="64">
        <v>198000</v>
      </c>
      <c r="H24" s="61">
        <v>1</v>
      </c>
      <c r="J24" s="64">
        <v>198000</v>
      </c>
      <c r="M24" s="61"/>
      <c r="N24" s="61"/>
      <c r="O24" s="61"/>
    </row>
    <row r="25" spans="1:16">
      <c r="A25" s="61">
        <v>26</v>
      </c>
      <c r="B25" s="13">
        <v>45726</v>
      </c>
      <c r="C25" s="61" t="s">
        <v>1206</v>
      </c>
      <c r="E25" s="61" t="s">
        <v>1389</v>
      </c>
      <c r="F25" s="61"/>
      <c r="G25" s="64">
        <v>1000000</v>
      </c>
      <c r="H25" s="61">
        <v>1</v>
      </c>
      <c r="J25" s="64">
        <v>1000000</v>
      </c>
      <c r="M25" s="61"/>
      <c r="N25" s="61"/>
      <c r="O25" s="61"/>
    </row>
    <row r="26" spans="1:16">
      <c r="A26" s="61">
        <v>27</v>
      </c>
      <c r="B26" s="13">
        <v>45727</v>
      </c>
      <c r="C26" s="61" t="s">
        <v>1272</v>
      </c>
      <c r="E26" s="61" t="s">
        <v>1388</v>
      </c>
      <c r="F26" s="61"/>
      <c r="G26" s="64">
        <v>1500000</v>
      </c>
      <c r="H26" s="61">
        <v>1</v>
      </c>
      <c r="J26" s="64">
        <v>1500000</v>
      </c>
      <c r="M26" s="61"/>
      <c r="N26" s="61"/>
      <c r="O26" s="61"/>
    </row>
    <row r="27" spans="1:16">
      <c r="A27" s="61">
        <v>28</v>
      </c>
      <c r="B27" s="13">
        <v>45727</v>
      </c>
      <c r="C27" s="61" t="s">
        <v>1272</v>
      </c>
      <c r="E27" s="61" t="s">
        <v>1387</v>
      </c>
      <c r="F27" s="61"/>
      <c r="G27" s="64">
        <v>1200000</v>
      </c>
      <c r="H27" s="61">
        <v>1</v>
      </c>
      <c r="J27" s="64">
        <v>1200000</v>
      </c>
      <c r="M27" s="61"/>
      <c r="N27" s="61"/>
      <c r="O27" s="61"/>
    </row>
    <row r="28" spans="1:16">
      <c r="A28" s="61">
        <v>29</v>
      </c>
      <c r="B28" s="13">
        <v>45727</v>
      </c>
      <c r="C28" s="61" t="s">
        <v>1405</v>
      </c>
      <c r="E28" s="61" t="s">
        <v>1397</v>
      </c>
      <c r="F28" s="61"/>
      <c r="G28" s="64">
        <v>650000</v>
      </c>
      <c r="H28" s="61">
        <v>1</v>
      </c>
      <c r="J28" s="64">
        <v>650000</v>
      </c>
      <c r="M28" s="61"/>
      <c r="N28" s="61"/>
      <c r="O28" s="61"/>
    </row>
    <row r="29" spans="1:16">
      <c r="A29" s="61">
        <v>30</v>
      </c>
      <c r="B29" s="13">
        <v>45727</v>
      </c>
      <c r="C29" s="61" t="s">
        <v>1405</v>
      </c>
      <c r="E29" s="61" t="s">
        <v>1386</v>
      </c>
      <c r="F29" s="61"/>
      <c r="G29" s="64">
        <v>1500000</v>
      </c>
      <c r="H29" s="61">
        <v>1</v>
      </c>
      <c r="J29" s="64">
        <v>1500000</v>
      </c>
      <c r="M29" s="61"/>
      <c r="N29" s="61"/>
      <c r="O29" s="61"/>
    </row>
    <row r="30" spans="1:16">
      <c r="A30">
        <v>31</v>
      </c>
      <c r="B30" s="13">
        <v>45727</v>
      </c>
      <c r="C30" t="s">
        <v>1430</v>
      </c>
      <c r="E30" t="s">
        <v>1387</v>
      </c>
      <c r="G30" s="64">
        <v>1200000</v>
      </c>
      <c r="H30">
        <v>1</v>
      </c>
      <c r="J30" s="64">
        <v>1200000</v>
      </c>
    </row>
    <row r="31" spans="1:16">
      <c r="A31">
        <v>32</v>
      </c>
      <c r="B31" s="13">
        <v>45727</v>
      </c>
      <c r="C31" t="s">
        <v>991</v>
      </c>
      <c r="E31" t="s">
        <v>1437</v>
      </c>
      <c r="G31" s="64">
        <v>150000</v>
      </c>
      <c r="H31">
        <v>1</v>
      </c>
      <c r="J31" s="64">
        <v>150000</v>
      </c>
    </row>
    <row r="32" spans="1:16">
      <c r="A32">
        <v>33</v>
      </c>
      <c r="B32" s="13">
        <v>45727</v>
      </c>
      <c r="C32" t="s">
        <v>991</v>
      </c>
      <c r="E32" t="s">
        <v>1437</v>
      </c>
      <c r="G32" s="64">
        <v>150000</v>
      </c>
      <c r="H32">
        <v>2</v>
      </c>
      <c r="J32" s="64">
        <v>300000</v>
      </c>
    </row>
    <row r="33" spans="1:10">
      <c r="A33">
        <v>34</v>
      </c>
      <c r="B33" s="13">
        <v>45727</v>
      </c>
      <c r="C33" t="s">
        <v>991</v>
      </c>
      <c r="E33" t="s">
        <v>1438</v>
      </c>
      <c r="G33" s="64">
        <v>100000</v>
      </c>
      <c r="H33">
        <v>1</v>
      </c>
      <c r="J33" s="64">
        <v>100000</v>
      </c>
    </row>
    <row r="34" spans="1:10">
      <c r="A34">
        <v>35</v>
      </c>
      <c r="B34" s="13">
        <v>45727</v>
      </c>
      <c r="C34" t="s">
        <v>991</v>
      </c>
      <c r="E34" t="s">
        <v>1439</v>
      </c>
      <c r="G34" s="64">
        <v>230000</v>
      </c>
      <c r="H34">
        <v>1</v>
      </c>
      <c r="J34" s="64">
        <v>230000</v>
      </c>
    </row>
    <row r="35" spans="1:10">
      <c r="A35">
        <v>36</v>
      </c>
      <c r="B35" s="13">
        <v>45726</v>
      </c>
      <c r="C35" t="s">
        <v>1440</v>
      </c>
      <c r="E35" t="s">
        <v>1441</v>
      </c>
      <c r="G35" s="64">
        <v>600000</v>
      </c>
      <c r="H35">
        <v>1</v>
      </c>
      <c r="J35" s="64">
        <v>600000</v>
      </c>
    </row>
    <row r="36" spans="1:10">
      <c r="A36">
        <v>37</v>
      </c>
      <c r="B36" s="13">
        <v>45726</v>
      </c>
      <c r="C36" t="s">
        <v>1440</v>
      </c>
      <c r="E36" t="s">
        <v>1390</v>
      </c>
      <c r="G36" s="64">
        <v>300000</v>
      </c>
      <c r="H36">
        <v>1</v>
      </c>
      <c r="J36" s="64">
        <v>300000</v>
      </c>
    </row>
    <row r="37" spans="1:10">
      <c r="A37">
        <v>38</v>
      </c>
      <c r="B37" s="13">
        <v>45726</v>
      </c>
      <c r="C37" t="s">
        <v>1440</v>
      </c>
      <c r="E37" t="s">
        <v>1441</v>
      </c>
      <c r="G37" s="64">
        <v>600000</v>
      </c>
      <c r="H37">
        <v>1</v>
      </c>
      <c r="J37" s="64">
        <v>600000</v>
      </c>
    </row>
    <row r="38" spans="1:10">
      <c r="A38">
        <v>39</v>
      </c>
      <c r="B38" s="13">
        <v>45726</v>
      </c>
      <c r="C38" t="s">
        <v>1440</v>
      </c>
      <c r="E38" t="s">
        <v>1390</v>
      </c>
      <c r="G38" s="64">
        <v>300000</v>
      </c>
      <c r="H38">
        <v>1</v>
      </c>
      <c r="J38" s="64">
        <v>300000</v>
      </c>
    </row>
  </sheetData>
  <autoFilter ref="A1:J7" xr:uid="{5A822D6F-A9DB-437B-9087-9A5E8AF0CADA}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2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7" sqref="F27"/>
    </sheetView>
  </sheetViews>
  <sheetFormatPr defaultColWidth="9" defaultRowHeight="16.5"/>
  <cols>
    <col min="1" max="1" width="4.5" bestFit="1" customWidth="1"/>
    <col min="2" max="2" width="15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64" customWidth="1"/>
  </cols>
  <sheetData>
    <row r="1" spans="1:10" ht="17.25" thickBot="1">
      <c r="A1" s="97" t="s">
        <v>2</v>
      </c>
      <c r="B1" s="97" t="s">
        <v>8</v>
      </c>
      <c r="C1" s="97" t="s">
        <v>9</v>
      </c>
      <c r="D1" s="97" t="s">
        <v>45</v>
      </c>
      <c r="E1" s="97" t="s">
        <v>38</v>
      </c>
      <c r="F1" s="97" t="s">
        <v>10</v>
      </c>
      <c r="G1" s="97" t="s">
        <v>39</v>
      </c>
      <c r="H1" s="97" t="s">
        <v>40</v>
      </c>
      <c r="I1" s="98" t="s">
        <v>100</v>
      </c>
      <c r="J1" s="8">
        <v>116</v>
      </c>
    </row>
    <row r="2" spans="1:10">
      <c r="A2">
        <v>1</v>
      </c>
      <c r="B2" t="s">
        <v>1333</v>
      </c>
      <c r="C2" t="s">
        <v>1334</v>
      </c>
      <c r="E2" s="165"/>
      <c r="F2" t="s">
        <v>1335</v>
      </c>
      <c r="G2" t="s">
        <v>1336</v>
      </c>
      <c r="I2" s="64">
        <f>SUMIF(주문_리스트!C:C,거래처!B2,주문_리스트!J:J)+SUMIF(주문_리스트!C:C,거래처!B2,주문_리스트!I:I)</f>
        <v>2100000</v>
      </c>
    </row>
    <row r="3" spans="1:10">
      <c r="A3">
        <v>2</v>
      </c>
      <c r="B3" t="s">
        <v>1001</v>
      </c>
      <c r="C3" t="s">
        <v>1002</v>
      </c>
      <c r="D3" t="s">
        <v>75</v>
      </c>
      <c r="F3" t="s">
        <v>1003</v>
      </c>
      <c r="G3" t="s">
        <v>988</v>
      </c>
      <c r="I3" s="64">
        <f>SUMIF(주문_리스트!C:C,거래처!B3,주문_리스트!J:J)+SUMIF(주문_리스트!C:C,거래처!B3,주문_리스트!I:I)</f>
        <v>0</v>
      </c>
    </row>
    <row r="4" spans="1:10">
      <c r="A4">
        <v>3</v>
      </c>
      <c r="B4" t="s">
        <v>1088</v>
      </c>
      <c r="C4" t="s">
        <v>1089</v>
      </c>
      <c r="F4" t="s">
        <v>1090</v>
      </c>
      <c r="I4" s="64">
        <f>SUMIF(주문_리스트!C:C,거래처!B4,주문_리스트!J:J)+SUMIF(주문_리스트!C:C,거래처!B4,주문_리스트!I:I)</f>
        <v>0</v>
      </c>
    </row>
    <row r="5" spans="1:10">
      <c r="A5">
        <v>4</v>
      </c>
      <c r="B5" t="s">
        <v>1263</v>
      </c>
      <c r="C5" t="s">
        <v>1264</v>
      </c>
      <c r="F5" t="s">
        <v>1265</v>
      </c>
      <c r="I5" s="64">
        <f>SUMIF(주문_리스트!C:C,거래처!B5,주문_리스트!J:J)+SUMIF(주문_리스트!C:C,거래처!B5,주문_리스트!I:I)</f>
        <v>1200000</v>
      </c>
    </row>
    <row r="6" spans="1:10">
      <c r="A6">
        <v>5</v>
      </c>
      <c r="B6" t="s">
        <v>1433</v>
      </c>
      <c r="C6" t="s">
        <v>1434</v>
      </c>
      <c r="F6" t="s">
        <v>1435</v>
      </c>
      <c r="G6" t="s">
        <v>1436</v>
      </c>
      <c r="I6" s="64">
        <f>SUMIF(주문_리스트!C:C,거래처!B6,주문_리스트!J:J)+SUMIF(주문_리스트!C:C,거래처!B6,주문_리스트!I:I)</f>
        <v>0</v>
      </c>
    </row>
    <row r="7" spans="1:10">
      <c r="A7">
        <v>6</v>
      </c>
      <c r="B7" t="s">
        <v>1058</v>
      </c>
      <c r="C7" t="s">
        <v>1059</v>
      </c>
      <c r="F7" t="s">
        <v>1060</v>
      </c>
      <c r="I7" s="64">
        <f>SUMIF(주문_리스트!C:C,거래처!B7,주문_리스트!J:J)+SUMIF(주문_리스트!C:C,거래처!B7,주문_리스트!I:I)</f>
        <v>0</v>
      </c>
    </row>
    <row r="8" spans="1:10">
      <c r="A8">
        <v>7</v>
      </c>
      <c r="B8" t="s">
        <v>1230</v>
      </c>
      <c r="C8" t="s">
        <v>1231</v>
      </c>
      <c r="F8" t="s">
        <v>1232</v>
      </c>
      <c r="G8" t="s">
        <v>1014</v>
      </c>
      <c r="I8" s="64">
        <f>SUMIF(주문_리스트!C:C,거래처!B8,주문_리스트!J:J)+SUMIF(주문_리스트!C:C,거래처!B8,주문_리스트!I:I)</f>
        <v>0</v>
      </c>
    </row>
    <row r="9" spans="1:10">
      <c r="A9">
        <v>8</v>
      </c>
      <c r="B9" t="s">
        <v>1287</v>
      </c>
      <c r="C9" t="s">
        <v>1288</v>
      </c>
      <c r="F9" t="s">
        <v>1289</v>
      </c>
      <c r="I9" s="64">
        <f>SUMIF(주문_리스트!C:C,거래처!B9,주문_리스트!J:J)+SUMIF(주문_리스트!C:C,거래처!B9,주문_리스트!I:I)</f>
        <v>0</v>
      </c>
    </row>
    <row r="10" spans="1:10">
      <c r="A10">
        <v>9</v>
      </c>
      <c r="B10" t="s">
        <v>1320</v>
      </c>
      <c r="C10" t="s">
        <v>1321</v>
      </c>
      <c r="F10" t="s">
        <v>1322</v>
      </c>
      <c r="I10" s="64">
        <f>SUMIF(주문_리스트!C:C,거래처!B10,주문_리스트!J:J)+SUMIF(주문_리스트!C:C,거래처!B10,주문_리스트!I:I)</f>
        <v>0</v>
      </c>
    </row>
    <row r="11" spans="1:10">
      <c r="A11">
        <v>10</v>
      </c>
      <c r="B11" t="s">
        <v>1113</v>
      </c>
      <c r="C11" t="s">
        <v>1114</v>
      </c>
      <c r="F11" t="s">
        <v>1115</v>
      </c>
      <c r="G11" t="s">
        <v>1018</v>
      </c>
      <c r="I11" s="64">
        <f>SUMIF(주문_리스트!C:C,거래처!B11,주문_리스트!J:J)+SUMIF(주문_리스트!C:C,거래처!B11,주문_리스트!I:I)</f>
        <v>0</v>
      </c>
    </row>
    <row r="12" spans="1:10">
      <c r="A12">
        <v>11</v>
      </c>
      <c r="B12" t="s">
        <v>1119</v>
      </c>
      <c r="C12" t="s">
        <v>1120</v>
      </c>
      <c r="F12" t="s">
        <v>1121</v>
      </c>
      <c r="I12" s="64">
        <f>SUMIF(주문_리스트!C:C,거래처!B12,주문_리스트!J:J)+SUMIF(주문_리스트!C:C,거래처!B12,주문_리스트!I:I)</f>
        <v>0</v>
      </c>
    </row>
    <row r="13" spans="1:10">
      <c r="A13">
        <v>12</v>
      </c>
      <c r="B13" t="s">
        <v>1182</v>
      </c>
      <c r="C13" t="s">
        <v>1183</v>
      </c>
      <c r="F13" t="s">
        <v>1184</v>
      </c>
      <c r="I13" s="64">
        <f>SUMIF(주문_리스트!C:C,거래처!B13,주문_리스트!J:J)+SUMIF(주문_리스트!C:C,거래처!B13,주문_리스트!I:I)</f>
        <v>0</v>
      </c>
    </row>
    <row r="14" spans="1:10">
      <c r="A14">
        <v>13</v>
      </c>
      <c r="B14" t="s">
        <v>1284</v>
      </c>
      <c r="C14" t="s">
        <v>1285</v>
      </c>
      <c r="F14" t="s">
        <v>1286</v>
      </c>
      <c r="I14" s="64">
        <f>SUMIF(주문_리스트!C:C,거래처!B14,주문_리스트!J:J)+SUMIF(주문_리스트!C:C,거래처!B14,주문_리스트!I:I)</f>
        <v>0</v>
      </c>
    </row>
    <row r="15" spans="1:10">
      <c r="A15">
        <v>14</v>
      </c>
      <c r="B15" t="s">
        <v>1185</v>
      </c>
      <c r="C15" t="s">
        <v>1186</v>
      </c>
      <c r="F15" t="s">
        <v>1187</v>
      </c>
      <c r="I15" s="64">
        <f>SUMIF(주문_리스트!C:C,거래처!B15,주문_리스트!J:J)+SUMIF(주문_리스트!C:C,거래처!B15,주문_리스트!I:I)</f>
        <v>0</v>
      </c>
    </row>
    <row r="16" spans="1:10">
      <c r="A16">
        <v>15</v>
      </c>
      <c r="B16" t="s">
        <v>1278</v>
      </c>
      <c r="C16" t="s">
        <v>1279</v>
      </c>
      <c r="F16" t="s">
        <v>1280</v>
      </c>
      <c r="G16" t="s">
        <v>1014</v>
      </c>
      <c r="I16" s="64">
        <f>SUMIF(주문_리스트!C:C,거래처!B16,주문_리스트!J:J)+SUMIF(주문_리스트!C:C,거래처!B16,주문_리스트!I:I)</f>
        <v>0</v>
      </c>
    </row>
    <row r="17" spans="1:9">
      <c r="A17">
        <v>16</v>
      </c>
      <c r="B17" t="s">
        <v>1257</v>
      </c>
      <c r="C17" t="s">
        <v>1258</v>
      </c>
      <c r="F17" t="s">
        <v>1259</v>
      </c>
      <c r="G17" t="s">
        <v>1014</v>
      </c>
      <c r="I17" s="64">
        <f>SUMIF(주문_리스트!C:C,거래처!B17,주문_리스트!J:J)+SUMIF(주문_리스트!C:C,거래처!B17,주문_리스트!I:I)</f>
        <v>0</v>
      </c>
    </row>
    <row r="18" spans="1:9">
      <c r="A18">
        <v>17</v>
      </c>
      <c r="B18" t="s">
        <v>1125</v>
      </c>
      <c r="C18" t="s">
        <v>1126</v>
      </c>
      <c r="F18" t="s">
        <v>1127</v>
      </c>
      <c r="G18" t="s">
        <v>1014</v>
      </c>
      <c r="I18" s="64">
        <f>SUMIF(주문_리스트!C:C,거래처!B18,주문_리스트!J:J)+SUMIF(주문_리스트!C:C,거래처!B18,주문_리스트!I:I)</f>
        <v>0</v>
      </c>
    </row>
    <row r="19" spans="1:9">
      <c r="A19">
        <v>18</v>
      </c>
      <c r="B19" t="s">
        <v>1106</v>
      </c>
      <c r="C19" t="s">
        <v>1107</v>
      </c>
      <c r="F19" t="s">
        <v>1108</v>
      </c>
      <c r="G19" t="s">
        <v>1109</v>
      </c>
      <c r="I19" s="64">
        <f>SUMIF(주문_리스트!C:C,거래처!B19,주문_리스트!J:J)+SUMIF(주문_리스트!C:C,거래처!B19,주문_리스트!I:I)</f>
        <v>0</v>
      </c>
    </row>
    <row r="20" spans="1:9">
      <c r="A20">
        <v>19</v>
      </c>
      <c r="B20" t="s">
        <v>1073</v>
      </c>
      <c r="C20" t="s">
        <v>1074</v>
      </c>
      <c r="F20" t="s">
        <v>1075</v>
      </c>
      <c r="G20" t="s">
        <v>1014</v>
      </c>
      <c r="I20" s="64">
        <f>SUMIF(주문_리스트!C:C,거래처!B20,주문_리스트!J:J)+SUMIF(주문_리스트!C:C,거래처!B20,주문_리스트!I:I)</f>
        <v>380000</v>
      </c>
    </row>
    <row r="21" spans="1:9">
      <c r="A21">
        <v>20</v>
      </c>
      <c r="B21" t="s">
        <v>991</v>
      </c>
      <c r="C21" t="s">
        <v>992</v>
      </c>
      <c r="D21" t="s">
        <v>75</v>
      </c>
      <c r="F21" t="s">
        <v>993</v>
      </c>
      <c r="G21" t="s">
        <v>988</v>
      </c>
      <c r="H21" t="s">
        <v>1361</v>
      </c>
      <c r="I21" s="64">
        <f>SUMIF(주문_리스트!C:C,거래처!B21,주문_리스트!J:J)+SUMIF(주문_리스트!C:C,거래처!B21,주문_리스트!I:I)</f>
        <v>780000</v>
      </c>
    </row>
    <row r="22" spans="1:9">
      <c r="A22">
        <v>21</v>
      </c>
      <c r="B22" t="s">
        <v>1079</v>
      </c>
      <c r="C22" t="s">
        <v>1080</v>
      </c>
      <c r="F22" t="s">
        <v>1081</v>
      </c>
      <c r="G22" t="s">
        <v>1014</v>
      </c>
      <c r="I22" s="64">
        <f>SUMIF(주문_리스트!C:C,거래처!B22,주문_리스트!J:J)+SUMIF(주문_리스트!C:C,거래처!B22,주문_리스트!I:I)</f>
        <v>0</v>
      </c>
    </row>
    <row r="23" spans="1:9">
      <c r="A23">
        <v>22</v>
      </c>
      <c r="B23" t="s">
        <v>1224</v>
      </c>
      <c r="C23" t="s">
        <v>1225</v>
      </c>
      <c r="F23" t="s">
        <v>1226</v>
      </c>
      <c r="G23" t="s">
        <v>1014</v>
      </c>
      <c r="I23" s="64">
        <f>SUMIF(주문_리스트!C:C,거래처!B23,주문_리스트!J:J)+SUMIF(주문_리스트!C:C,거래처!B23,주문_리스트!I:I)</f>
        <v>0</v>
      </c>
    </row>
    <row r="24" spans="1:9">
      <c r="A24">
        <v>23</v>
      </c>
      <c r="B24" t="s">
        <v>1046</v>
      </c>
      <c r="C24" t="s">
        <v>1047</v>
      </c>
      <c r="F24" t="s">
        <v>1048</v>
      </c>
      <c r="I24" s="64">
        <f>SUMIF(주문_리스트!C:C,거래처!B24,주문_리스트!J:J)+SUMIF(주문_리스트!C:C,거래처!B24,주문_리스트!I:I)</f>
        <v>0</v>
      </c>
    </row>
    <row r="25" spans="1:9">
      <c r="A25">
        <v>24</v>
      </c>
      <c r="B25" t="s">
        <v>1251</v>
      </c>
      <c r="C25" t="s">
        <v>1252</v>
      </c>
      <c r="F25" t="s">
        <v>1253</v>
      </c>
      <c r="I25" s="64">
        <f>SUMIF(주문_리스트!C:C,거래처!B25,주문_리스트!J:J)+SUMIF(주문_리스트!C:C,거래처!B25,주문_리스트!I:I)</f>
        <v>0</v>
      </c>
    </row>
    <row r="26" spans="1:9">
      <c r="A26">
        <v>25</v>
      </c>
      <c r="B26" t="s">
        <v>1116</v>
      </c>
      <c r="C26" t="s">
        <v>1117</v>
      </c>
      <c r="F26" t="s">
        <v>1118</v>
      </c>
      <c r="G26" t="s">
        <v>1014</v>
      </c>
      <c r="I26" s="64">
        <f>SUMIF(주문_리스트!C:C,거래처!B26,주문_리스트!J:J)+SUMIF(주문_리스트!C:C,거래처!B26,주문_리스트!I:I)</f>
        <v>0</v>
      </c>
    </row>
    <row r="27" spans="1:9">
      <c r="A27">
        <v>26</v>
      </c>
      <c r="B27" t="s">
        <v>1176</v>
      </c>
      <c r="C27" t="s">
        <v>1177</v>
      </c>
      <c r="F27" t="s">
        <v>1178</v>
      </c>
      <c r="I27" s="64">
        <f>SUMIF(주문_리스트!C:C,거래처!B27,주문_리스트!J:J)+SUMIF(주문_리스트!C:C,거래처!B27,주문_리스트!I:I)</f>
        <v>0</v>
      </c>
    </row>
    <row r="28" spans="1:9">
      <c r="A28">
        <v>27</v>
      </c>
      <c r="B28" t="s">
        <v>1040</v>
      </c>
      <c r="C28" t="s">
        <v>1041</v>
      </c>
      <c r="F28" t="s">
        <v>1042</v>
      </c>
      <c r="G28" t="s">
        <v>988</v>
      </c>
      <c r="I28" s="64">
        <f>SUMIF(주문_리스트!C:C,거래처!B28,주문_리스트!J:J)+SUMIF(주문_리스트!C:C,거래처!B28,주문_리스트!I:I)</f>
        <v>0</v>
      </c>
    </row>
    <row r="29" spans="1:9">
      <c r="A29">
        <v>28</v>
      </c>
      <c r="B29" t="s">
        <v>1025</v>
      </c>
      <c r="C29" t="s">
        <v>1026</v>
      </c>
      <c r="F29" t="s">
        <v>1027</v>
      </c>
      <c r="G29" t="s">
        <v>988</v>
      </c>
      <c r="I29" s="64">
        <f>SUMIF(주문_리스트!C:C,거래처!B29,주문_리스트!J:J)+SUMIF(주문_리스트!C:C,거래처!B29,주문_리스트!I:I)</f>
        <v>0</v>
      </c>
    </row>
    <row r="30" spans="1:9">
      <c r="A30">
        <v>29</v>
      </c>
      <c r="B30" t="s">
        <v>1022</v>
      </c>
      <c r="C30" t="s">
        <v>1023</v>
      </c>
      <c r="F30" t="s">
        <v>1024</v>
      </c>
      <c r="G30" t="s">
        <v>1018</v>
      </c>
      <c r="I30" s="64">
        <f>SUMIF(주문_리스트!C:C,거래처!B30,주문_리스트!J:J)+SUMIF(주문_리스트!C:C,거래처!B30,주문_리스트!I:I)</f>
        <v>0</v>
      </c>
    </row>
    <row r="31" spans="1:9">
      <c r="A31">
        <v>30</v>
      </c>
      <c r="B31" t="s">
        <v>1266</v>
      </c>
      <c r="C31" t="s">
        <v>1267</v>
      </c>
      <c r="F31" t="s">
        <v>1268</v>
      </c>
      <c r="G31" t="s">
        <v>988</v>
      </c>
      <c r="I31" s="64">
        <f>SUMIF(주문_리스트!C:C,거래처!B31,주문_리스트!J:J)+SUMIF(주문_리스트!C:C,거래처!B31,주문_리스트!I:I)</f>
        <v>0</v>
      </c>
    </row>
    <row r="32" spans="1:9">
      <c r="A32">
        <v>31</v>
      </c>
      <c r="B32" t="s">
        <v>1164</v>
      </c>
      <c r="C32" t="s">
        <v>1165</v>
      </c>
      <c r="F32" t="s">
        <v>1166</v>
      </c>
      <c r="I32" s="64">
        <f>SUMIF(주문_리스트!C:C,거래처!B32,주문_리스트!J:J)+SUMIF(주문_리스트!C:C,거래처!B32,주문_리스트!I:I)</f>
        <v>0</v>
      </c>
    </row>
    <row r="33" spans="1:9">
      <c r="A33">
        <v>32</v>
      </c>
      <c r="B33" t="s">
        <v>1032</v>
      </c>
      <c r="C33" t="s">
        <v>1033</v>
      </c>
      <c r="D33" t="s">
        <v>1034</v>
      </c>
      <c r="F33" t="s">
        <v>1035</v>
      </c>
      <c r="G33" t="s">
        <v>1009</v>
      </c>
      <c r="H33" t="s">
        <v>1036</v>
      </c>
      <c r="I33" s="64">
        <f>SUMIF(주문_리스트!C:C,거래처!B33,주문_리스트!J:J)+SUMIF(주문_리스트!C:C,거래처!B33,주문_리스트!I:I)</f>
        <v>1800000</v>
      </c>
    </row>
    <row r="34" spans="1:9">
      <c r="A34">
        <v>33</v>
      </c>
      <c r="B34" t="s">
        <v>1215</v>
      </c>
      <c r="C34" t="s">
        <v>1216</v>
      </c>
      <c r="F34" t="s">
        <v>1217</v>
      </c>
      <c r="I34" s="64">
        <f>SUMIF(주문_리스트!C:C,거래처!B34,주문_리스트!J:J)+SUMIF(주문_리스트!C:C,거래처!B34,주문_리스트!I:I)</f>
        <v>0</v>
      </c>
    </row>
    <row r="35" spans="1:9">
      <c r="A35">
        <v>34</v>
      </c>
      <c r="B35" t="s">
        <v>1317</v>
      </c>
      <c r="C35" t="s">
        <v>1318</v>
      </c>
      <c r="F35" t="s">
        <v>1319</v>
      </c>
      <c r="G35" t="s">
        <v>1014</v>
      </c>
      <c r="I35" s="64">
        <f>SUMIF(주문_리스트!C:C,거래처!B35,주문_리스트!J:J)+SUMIF(주문_리스트!C:C,거래처!B35,주문_리스트!I:I)</f>
        <v>0</v>
      </c>
    </row>
    <row r="36" spans="1:9">
      <c r="A36">
        <v>35</v>
      </c>
      <c r="B36" t="s">
        <v>1011</v>
      </c>
      <c r="C36" t="s">
        <v>1012</v>
      </c>
      <c r="F36" t="s">
        <v>1013</v>
      </c>
      <c r="G36" t="s">
        <v>1014</v>
      </c>
      <c r="I36" s="64">
        <f>SUMIF(주문_리스트!C:C,거래처!B36,주문_리스트!J:J)+SUMIF(주문_리스트!C:C,거래처!B36,주문_리스트!I:I)</f>
        <v>0</v>
      </c>
    </row>
    <row r="37" spans="1:9">
      <c r="A37">
        <v>36</v>
      </c>
      <c r="B37" t="s">
        <v>1134</v>
      </c>
      <c r="C37" t="s">
        <v>1135</v>
      </c>
      <c r="F37" t="s">
        <v>1136</v>
      </c>
      <c r="I37" s="64">
        <f>SUMIF(주문_리스트!C:C,거래처!B37,주문_리스트!J:J)+SUMIF(주문_리스트!C:C,거래처!B37,주문_리스트!I:I)</f>
        <v>0</v>
      </c>
    </row>
    <row r="38" spans="1:9">
      <c r="A38">
        <v>37</v>
      </c>
      <c r="B38" t="s">
        <v>26</v>
      </c>
      <c r="C38" t="s">
        <v>27</v>
      </c>
      <c r="D38" t="s">
        <v>46</v>
      </c>
      <c r="E38" t="s">
        <v>983</v>
      </c>
      <c r="F38" t="s">
        <v>28</v>
      </c>
      <c r="G38" t="s">
        <v>33</v>
      </c>
      <c r="H38" t="s">
        <v>28</v>
      </c>
      <c r="I38" s="64">
        <f>SUMIF(주문_리스트!C:C,거래처!B38,주문_리스트!J:J)+SUMIF(주문_리스트!C:C,거래처!B38,주문_리스트!I:I)</f>
        <v>7222000</v>
      </c>
    </row>
    <row r="39" spans="1:9">
      <c r="A39">
        <v>38</v>
      </c>
      <c r="B39" t="s">
        <v>1151</v>
      </c>
      <c r="C39" t="s">
        <v>1004</v>
      </c>
      <c r="D39" t="s">
        <v>46</v>
      </c>
      <c r="F39" t="s">
        <v>1005</v>
      </c>
      <c r="G39" t="s">
        <v>41</v>
      </c>
      <c r="H39" t="s">
        <v>52</v>
      </c>
      <c r="I39" s="64">
        <f>SUMIF(주문_리스트!C:C,거래처!B39,주문_리스트!J:J)+SUMIF(주문_리스트!C:C,거래처!B39,주문_리스트!I:I)</f>
        <v>0</v>
      </c>
    </row>
    <row r="40" spans="1:9">
      <c r="A40">
        <v>39</v>
      </c>
      <c r="B40" t="s">
        <v>1179</v>
      </c>
      <c r="C40" t="s">
        <v>1180</v>
      </c>
      <c r="F40" t="s">
        <v>1181</v>
      </c>
      <c r="I40" s="64">
        <f>SUMIF(주문_리스트!C:C,거래처!B40,주문_리스트!J:J)+SUMIF(주문_리스트!C:C,거래처!B40,주문_리스트!I:I)</f>
        <v>1000000</v>
      </c>
    </row>
    <row r="41" spans="1:9">
      <c r="A41">
        <v>40</v>
      </c>
      <c r="B41" t="s">
        <v>1067</v>
      </c>
      <c r="C41" t="s">
        <v>1068</v>
      </c>
      <c r="F41" t="s">
        <v>1069</v>
      </c>
      <c r="I41" s="64">
        <f>SUMIF(주문_리스트!C:C,거래처!B41,주문_리스트!J:J)+SUMIF(주문_리스트!C:C,거래처!B41,주문_리스트!I:I)</f>
        <v>0</v>
      </c>
    </row>
    <row r="42" spans="1:9">
      <c r="A42">
        <v>41</v>
      </c>
      <c r="B42" t="s">
        <v>1191</v>
      </c>
      <c r="C42" t="s">
        <v>1192</v>
      </c>
      <c r="F42" t="s">
        <v>1193</v>
      </c>
      <c r="G42" t="s">
        <v>1014</v>
      </c>
      <c r="I42" s="64">
        <f>SUMIF(주문_리스트!C:C,거래처!B42,주문_리스트!J:J)+SUMIF(주문_리스트!C:C,거래처!B42,주문_리스트!I:I)</f>
        <v>0</v>
      </c>
    </row>
    <row r="43" spans="1:9">
      <c r="A43">
        <v>42</v>
      </c>
      <c r="B43" t="s">
        <v>1097</v>
      </c>
      <c r="C43" t="s">
        <v>1098</v>
      </c>
      <c r="F43" t="s">
        <v>1099</v>
      </c>
      <c r="G43" t="s">
        <v>1018</v>
      </c>
      <c r="I43" s="64">
        <f>SUMIF(주문_리스트!C:C,거래처!B43,주문_리스트!J:J)+SUMIF(주문_리스트!C:C,거래처!B43,주문_리스트!I:I)</f>
        <v>0</v>
      </c>
    </row>
    <row r="44" spans="1:9">
      <c r="A44">
        <v>43</v>
      </c>
      <c r="B44" t="s">
        <v>1091</v>
      </c>
      <c r="C44" t="s">
        <v>1092</v>
      </c>
      <c r="F44" t="s">
        <v>1093</v>
      </c>
      <c r="I44" s="64">
        <f>SUMIF(주문_리스트!C:C,거래처!B44,주문_리스트!J:J)+SUMIF(주문_리스트!C:C,거래처!B44,주문_리스트!I:I)</f>
        <v>0</v>
      </c>
    </row>
    <row r="45" spans="1:9">
      <c r="A45">
        <v>44</v>
      </c>
      <c r="B45" t="s">
        <v>1290</v>
      </c>
      <c r="C45" t="s">
        <v>1291</v>
      </c>
      <c r="F45" t="s">
        <v>1292</v>
      </c>
      <c r="I45" s="64">
        <f>SUMIF(주문_리스트!C:C,거래처!B45,주문_리스트!J:J)+SUMIF(주문_리스트!C:C,거래처!B45,주문_리스트!I:I)</f>
        <v>0</v>
      </c>
    </row>
    <row r="46" spans="1:9">
      <c r="A46">
        <v>45</v>
      </c>
      <c r="B46" t="s">
        <v>1269</v>
      </c>
      <c r="C46" t="s">
        <v>1270</v>
      </c>
      <c r="F46" t="s">
        <v>1271</v>
      </c>
      <c r="G46" t="s">
        <v>1014</v>
      </c>
      <c r="I46" s="64">
        <f>SUMIF(주문_리스트!C:C,거래처!B46,주문_리스트!J:J)+SUMIF(주문_리스트!C:C,거래처!B46,주문_리스트!I:I)</f>
        <v>0</v>
      </c>
    </row>
    <row r="47" spans="1:9">
      <c r="A47">
        <v>46</v>
      </c>
      <c r="B47" t="s">
        <v>1173</v>
      </c>
      <c r="C47" t="s">
        <v>1174</v>
      </c>
      <c r="F47" t="s">
        <v>1175</v>
      </c>
      <c r="I47" s="64">
        <f>SUMIF(주문_리스트!C:C,거래처!B47,주문_리스트!J:J)+SUMIF(주문_리스트!C:C,거래처!B47,주문_리스트!I:I)</f>
        <v>0</v>
      </c>
    </row>
    <row r="48" spans="1:9">
      <c r="A48">
        <v>47</v>
      </c>
      <c r="B48" t="s">
        <v>1245</v>
      </c>
      <c r="C48" t="s">
        <v>1246</v>
      </c>
      <c r="F48" t="s">
        <v>1247</v>
      </c>
      <c r="G48" t="s">
        <v>1014</v>
      </c>
      <c r="I48" s="64">
        <f>SUMIF(주문_리스트!C:C,거래처!B48,주문_리스트!J:J)+SUMIF(주문_리스트!C:C,거래처!B48,주문_리스트!I:I)</f>
        <v>0</v>
      </c>
    </row>
    <row r="49" spans="1:9">
      <c r="A49">
        <v>48</v>
      </c>
      <c r="B49" t="s">
        <v>1006</v>
      </c>
      <c r="C49" t="s">
        <v>1007</v>
      </c>
      <c r="F49" t="s">
        <v>1008</v>
      </c>
      <c r="G49" t="s">
        <v>1009</v>
      </c>
      <c r="H49" t="s">
        <v>1010</v>
      </c>
      <c r="I49" s="64">
        <f>SUMIF(주문_리스트!C:C,거래처!B49,주문_리스트!J:J)+SUMIF(주문_리스트!C:C,거래처!B49,주문_리스트!I:I)</f>
        <v>0</v>
      </c>
    </row>
    <row r="50" spans="1:9">
      <c r="A50">
        <v>49</v>
      </c>
      <c r="B50" t="s">
        <v>1019</v>
      </c>
      <c r="C50" t="s">
        <v>1020</v>
      </c>
      <c r="F50" t="s">
        <v>1021</v>
      </c>
      <c r="G50" t="s">
        <v>988</v>
      </c>
      <c r="I50" s="64">
        <f>SUMIF(주문_리스트!C:C,거래처!B50,주문_리스트!J:J)+SUMIF(주문_리스트!C:C,거래처!B50,주문_리스트!I:I)</f>
        <v>0</v>
      </c>
    </row>
    <row r="51" spans="1:9">
      <c r="A51">
        <v>50</v>
      </c>
      <c r="B51" t="s">
        <v>1052</v>
      </c>
      <c r="C51" t="s">
        <v>1053</v>
      </c>
      <c r="F51" t="s">
        <v>1054</v>
      </c>
      <c r="I51" s="64">
        <f>SUMIF(주문_리스트!C:C,거래처!B51,주문_리스트!J:J)+SUMIF(주문_리스트!C:C,거래처!B51,주문_리스트!I:I)</f>
        <v>0</v>
      </c>
    </row>
    <row r="52" spans="1:9">
      <c r="A52">
        <v>51</v>
      </c>
      <c r="B52" t="s">
        <v>1064</v>
      </c>
      <c r="C52" t="s">
        <v>1065</v>
      </c>
      <c r="F52" t="s">
        <v>1066</v>
      </c>
      <c r="I52" s="64">
        <f>SUMIF(주문_리스트!C:C,거래처!B52,주문_리스트!J:J)+SUMIF(주문_리스트!C:C,거래처!B52,주문_리스트!I:I)</f>
        <v>0</v>
      </c>
    </row>
    <row r="53" spans="1:9">
      <c r="A53">
        <v>52</v>
      </c>
      <c r="B53" t="s">
        <v>1248</v>
      </c>
      <c r="C53" t="s">
        <v>1249</v>
      </c>
      <c r="F53" t="s">
        <v>1250</v>
      </c>
      <c r="I53" s="64">
        <f>SUMIF(주문_리스트!C:C,거래처!B53,주문_리스트!J:J)+SUMIF(주문_리스트!C:C,거래처!B53,주문_리스트!I:I)</f>
        <v>0</v>
      </c>
    </row>
    <row r="54" spans="1:9">
      <c r="A54">
        <v>53</v>
      </c>
      <c r="B54" t="s">
        <v>1152</v>
      </c>
      <c r="C54" t="s">
        <v>1153</v>
      </c>
      <c r="F54" t="s">
        <v>1154</v>
      </c>
      <c r="G54" t="s">
        <v>1014</v>
      </c>
      <c r="I54" s="64">
        <f>SUMIF(주문_리스트!C:C,거래처!B54,주문_리스트!J:J)+SUMIF(주문_리스트!C:C,거래처!B54,주문_리스트!I:I)</f>
        <v>0</v>
      </c>
    </row>
    <row r="55" spans="1:9">
      <c r="A55">
        <v>54</v>
      </c>
      <c r="B55" t="s">
        <v>1410</v>
      </c>
      <c r="C55" t="s">
        <v>1149</v>
      </c>
      <c r="F55" t="s">
        <v>1150</v>
      </c>
      <c r="G55" t="s">
        <v>988</v>
      </c>
      <c r="I55" s="64">
        <f>SUMIF(주문_리스트!C:C,거래처!B55,주문_리스트!J:J)+SUMIF(주문_리스트!C:C,거래처!B55,주문_리스트!I:I)</f>
        <v>2365000</v>
      </c>
    </row>
    <row r="56" spans="1:9">
      <c r="A56">
        <v>55</v>
      </c>
      <c r="B56" t="s">
        <v>1296</v>
      </c>
      <c r="C56" t="s">
        <v>1297</v>
      </c>
      <c r="F56" t="s">
        <v>1298</v>
      </c>
      <c r="G56" t="s">
        <v>1009</v>
      </c>
      <c r="I56" s="64">
        <f>SUMIF(주문_리스트!C:C,거래처!B56,주문_리스트!J:J)+SUMIF(주문_리스트!C:C,거래처!B56,주문_리스트!I:I)</f>
        <v>0</v>
      </c>
    </row>
    <row r="57" spans="1:9">
      <c r="A57">
        <v>56</v>
      </c>
      <c r="B57" t="s">
        <v>1146</v>
      </c>
      <c r="C57" t="s">
        <v>1147</v>
      </c>
      <c r="F57" t="s">
        <v>1148</v>
      </c>
      <c r="G57" t="s">
        <v>1014</v>
      </c>
      <c r="I57" s="64">
        <f>SUMIF(주문_리스트!C:C,거래처!B57,주문_리스트!J:J)+SUMIF(주문_리스트!C:C,거래처!B57,주문_리스트!I:I)</f>
        <v>0</v>
      </c>
    </row>
    <row r="58" spans="1:9">
      <c r="A58">
        <v>57</v>
      </c>
      <c r="B58" t="s">
        <v>34</v>
      </c>
      <c r="C58" t="s">
        <v>35</v>
      </c>
      <c r="F58" t="s">
        <v>36</v>
      </c>
      <c r="I58" s="64">
        <f>SUMIF(주문_리스트!C:C,거래처!B58,주문_리스트!J:J)+SUMIF(주문_리스트!C:C,거래처!B58,주문_리스트!I:I)</f>
        <v>0</v>
      </c>
    </row>
    <row r="59" spans="1:9">
      <c r="A59">
        <v>58</v>
      </c>
      <c r="B59" t="s">
        <v>1260</v>
      </c>
      <c r="C59" t="s">
        <v>1261</v>
      </c>
      <c r="F59" t="s">
        <v>1262</v>
      </c>
      <c r="I59" s="64">
        <f>SUMIF(주문_리스트!C:C,거래처!B59,주문_리스트!J:J)+SUMIF(주문_리스트!C:C,거래처!B59,주문_리스트!I:I)</f>
        <v>0</v>
      </c>
    </row>
    <row r="60" spans="1:9">
      <c r="A60">
        <v>59</v>
      </c>
      <c r="B60" t="s">
        <v>1082</v>
      </c>
      <c r="C60" t="s">
        <v>1083</v>
      </c>
      <c r="F60" t="s">
        <v>1084</v>
      </c>
      <c r="G60" t="s">
        <v>1014</v>
      </c>
      <c r="I60" s="64">
        <f>SUMIF(주문_리스트!C:C,거래처!B60,주문_리스트!J:J)+SUMIF(주문_리스트!C:C,거래처!B60,주문_리스트!I:I)</f>
        <v>0</v>
      </c>
    </row>
    <row r="61" spans="1:9">
      <c r="A61">
        <v>60</v>
      </c>
      <c r="B61" t="s">
        <v>1070</v>
      </c>
      <c r="C61" t="s">
        <v>1071</v>
      </c>
      <c r="F61" t="s">
        <v>1072</v>
      </c>
      <c r="G61" t="s">
        <v>1018</v>
      </c>
      <c r="I61" s="64">
        <f>SUMIF(주문_리스트!C:C,거래처!B61,주문_리스트!J:J)+SUMIF(주문_리스트!C:C,거래처!B61,주문_리스트!I:I)</f>
        <v>0</v>
      </c>
    </row>
    <row r="62" spans="1:9">
      <c r="A62">
        <v>61</v>
      </c>
      <c r="B62" t="s">
        <v>1170</v>
      </c>
      <c r="C62" t="s">
        <v>1171</v>
      </c>
      <c r="F62" t="s">
        <v>1172</v>
      </c>
      <c r="G62" t="s">
        <v>1014</v>
      </c>
      <c r="I62" s="64">
        <f>SUMIF(주문_리스트!C:C,거래처!B62,주문_리스트!J:J)+SUMIF(주문_리스트!C:C,거래처!B62,주문_리스트!I:I)</f>
        <v>0</v>
      </c>
    </row>
    <row r="63" spans="1:9">
      <c r="A63">
        <v>62</v>
      </c>
      <c r="B63" t="s">
        <v>1110</v>
      </c>
      <c r="C63" t="s">
        <v>1111</v>
      </c>
      <c r="D63" t="s">
        <v>75</v>
      </c>
      <c r="F63" t="s">
        <v>1112</v>
      </c>
      <c r="G63" t="s">
        <v>988</v>
      </c>
      <c r="I63" s="64">
        <f>SUMIF(주문_리스트!C:C,거래처!B63,주문_리스트!J:J)+SUMIF(주문_리스트!C:C,거래처!B63,주문_리스트!I:I)</f>
        <v>0</v>
      </c>
    </row>
    <row r="64" spans="1:9">
      <c r="A64">
        <v>63</v>
      </c>
      <c r="B64" t="s">
        <v>1167</v>
      </c>
      <c r="C64" t="s">
        <v>1168</v>
      </c>
      <c r="F64" t="s">
        <v>1169</v>
      </c>
      <c r="G64" t="s">
        <v>1014</v>
      </c>
      <c r="I64" s="64">
        <f>SUMIF(주문_리스트!C:C,거래처!B64,주문_리스트!J:J)+SUMIF(주문_리스트!C:C,거래처!B64,주문_리스트!I:I)</f>
        <v>0</v>
      </c>
    </row>
    <row r="65" spans="1:9">
      <c r="A65">
        <v>64</v>
      </c>
      <c r="B65" t="s">
        <v>1221</v>
      </c>
      <c r="C65" t="s">
        <v>1222</v>
      </c>
      <c r="F65" t="s">
        <v>1223</v>
      </c>
      <c r="G65" t="s">
        <v>1014</v>
      </c>
      <c r="I65" s="64">
        <f>SUMIF(주문_리스트!C:C,거래처!B65,주문_리스트!J:J)+SUMIF(주문_리스트!C:C,거래처!B65,주문_리스트!I:I)</f>
        <v>0</v>
      </c>
    </row>
    <row r="66" spans="1:9">
      <c r="A66">
        <v>65</v>
      </c>
      <c r="B66" t="s">
        <v>1158</v>
      </c>
      <c r="C66" t="s">
        <v>1159</v>
      </c>
      <c r="F66" t="s">
        <v>1160</v>
      </c>
      <c r="G66" t="s">
        <v>1018</v>
      </c>
      <c r="I66" s="64">
        <f>SUMIF(주문_리스트!C:C,거래처!B66,주문_리스트!J:J)+SUMIF(주문_리스트!C:C,거래처!B66,주문_리스트!I:I)</f>
        <v>0</v>
      </c>
    </row>
    <row r="67" spans="1:9">
      <c r="A67">
        <v>66</v>
      </c>
      <c r="B67" t="s">
        <v>1311</v>
      </c>
      <c r="C67" t="s">
        <v>1312</v>
      </c>
      <c r="F67" t="s">
        <v>1313</v>
      </c>
      <c r="I67" s="64">
        <f>SUMIF(주문_리스트!C:C,거래처!B67,주문_리스트!J:J)+SUMIF(주문_리스트!C:C,거래처!B67,주문_리스트!I:I)</f>
        <v>0</v>
      </c>
    </row>
    <row r="68" spans="1:9">
      <c r="A68">
        <v>67</v>
      </c>
      <c r="B68" t="s">
        <v>1233</v>
      </c>
      <c r="C68" t="s">
        <v>1234</v>
      </c>
      <c r="F68" t="s">
        <v>1235</v>
      </c>
      <c r="G68" t="s">
        <v>1014</v>
      </c>
      <c r="I68" s="64">
        <f>SUMIF(주문_리스트!C:C,거래처!B68,주문_리스트!J:J)+SUMIF(주문_리스트!C:C,거래처!B68,주문_리스트!I:I)</f>
        <v>0</v>
      </c>
    </row>
    <row r="69" spans="1:9">
      <c r="A69">
        <v>68</v>
      </c>
      <c r="B69" t="s">
        <v>1137</v>
      </c>
      <c r="C69" t="s">
        <v>1138</v>
      </c>
      <c r="F69" t="s">
        <v>1139</v>
      </c>
      <c r="G69" t="s">
        <v>1014</v>
      </c>
      <c r="I69" s="64">
        <f>SUMIF(주문_리스트!C:C,거래처!B69,주문_리스트!J:J)+SUMIF(주문_리스트!C:C,거래처!B69,주문_리스트!I:I)</f>
        <v>0</v>
      </c>
    </row>
    <row r="70" spans="1:9">
      <c r="A70">
        <v>69</v>
      </c>
      <c r="B70" t="s">
        <v>1242</v>
      </c>
      <c r="C70" t="s">
        <v>1243</v>
      </c>
      <c r="F70" t="s">
        <v>1244</v>
      </c>
      <c r="I70" s="64">
        <f>SUMIF(주문_리스트!C:C,거래처!B70,주문_리스트!J:J)+SUMIF(주문_리스트!C:C,거래처!B70,주문_리스트!I:I)</f>
        <v>0</v>
      </c>
    </row>
    <row r="71" spans="1:9">
      <c r="A71">
        <v>70</v>
      </c>
      <c r="B71" t="s">
        <v>1254</v>
      </c>
      <c r="C71" t="s">
        <v>1255</v>
      </c>
      <c r="F71" t="s">
        <v>1256</v>
      </c>
      <c r="I71" s="64">
        <f>SUMIF(주문_리스트!C:C,거래처!B71,주문_리스트!J:J)+SUMIF(주문_리스트!C:C,거래처!B71,주문_리스트!I:I)</f>
        <v>0</v>
      </c>
    </row>
    <row r="72" spans="1:9">
      <c r="A72">
        <v>71</v>
      </c>
      <c r="B72" t="s">
        <v>1293</v>
      </c>
      <c r="C72" t="s">
        <v>1294</v>
      </c>
      <c r="F72" t="s">
        <v>1295</v>
      </c>
      <c r="I72" s="64">
        <f>SUMIF(주문_리스트!C:C,거래처!B72,주문_리스트!J:J)+SUMIF(주문_리스트!C:C,거래처!B72,주문_리스트!I:I)</f>
        <v>0</v>
      </c>
    </row>
    <row r="73" spans="1:9">
      <c r="A73">
        <v>72</v>
      </c>
      <c r="B73" t="s">
        <v>1155</v>
      </c>
      <c r="C73" t="s">
        <v>1156</v>
      </c>
      <c r="F73" t="s">
        <v>1157</v>
      </c>
      <c r="G73" t="s">
        <v>1014</v>
      </c>
      <c r="I73" s="64">
        <f>SUMIF(주문_리스트!C:C,거래처!B73,주문_리스트!J:J)+SUMIF(주문_리스트!C:C,거래처!B73,주문_리스트!I:I)</f>
        <v>0</v>
      </c>
    </row>
    <row r="74" spans="1:9">
      <c r="A74">
        <v>73</v>
      </c>
      <c r="B74" t="s">
        <v>1188</v>
      </c>
      <c r="C74" t="s">
        <v>1189</v>
      </c>
      <c r="F74" t="s">
        <v>1190</v>
      </c>
      <c r="I74" s="64">
        <f>SUMIF(주문_리스트!C:C,거래처!B74,주문_리스트!J:J)+SUMIF(주문_리스트!C:C,거래처!B74,주문_리스트!I:I)</f>
        <v>0</v>
      </c>
    </row>
    <row r="75" spans="1:9">
      <c r="A75">
        <v>74</v>
      </c>
      <c r="B75" t="s">
        <v>1161</v>
      </c>
      <c r="C75" t="s">
        <v>1162</v>
      </c>
      <c r="F75" t="s">
        <v>1163</v>
      </c>
      <c r="G75" t="s">
        <v>988</v>
      </c>
      <c r="I75" s="64">
        <f>SUMIF(주문_리스트!C:C,거래처!B75,주문_리스트!J:J)+SUMIF(주문_리스트!C:C,거래처!B75,주문_리스트!I:I)</f>
        <v>0</v>
      </c>
    </row>
    <row r="76" spans="1:9">
      <c r="A76">
        <v>75</v>
      </c>
      <c r="B76" t="s">
        <v>1055</v>
      </c>
      <c r="C76" t="s">
        <v>1056</v>
      </c>
      <c r="F76" t="s">
        <v>1057</v>
      </c>
      <c r="I76" s="64">
        <f>SUMIF(주문_리스트!C:C,거래처!B76,주문_리스트!J:J)+SUMIF(주문_리스트!C:C,거래처!B76,주문_리스트!I:I)</f>
        <v>0</v>
      </c>
    </row>
    <row r="77" spans="1:9">
      <c r="A77">
        <v>76</v>
      </c>
      <c r="B77" t="s">
        <v>1299</v>
      </c>
      <c r="C77" t="s">
        <v>1300</v>
      </c>
      <c r="F77" t="s">
        <v>1301</v>
      </c>
      <c r="G77" t="s">
        <v>1014</v>
      </c>
      <c r="I77" s="64">
        <f>SUMIF(주문_리스트!C:C,거래처!B77,주문_리스트!J:J)+SUMIF(주문_리스트!C:C,거래처!B77,주문_리스트!I:I)</f>
        <v>0</v>
      </c>
    </row>
    <row r="78" spans="1:9">
      <c r="A78">
        <v>77</v>
      </c>
      <c r="B78" t="s">
        <v>1314</v>
      </c>
      <c r="C78" t="s">
        <v>1315</v>
      </c>
      <c r="F78" t="s">
        <v>1316</v>
      </c>
      <c r="I78" s="64">
        <f>SUMIF(주문_리스트!C:C,거래처!B78,주문_리스트!J:J)+SUMIF(주문_리스트!C:C,거래처!B78,주문_리스트!I:I)</f>
        <v>0</v>
      </c>
    </row>
    <row r="79" spans="1:9">
      <c r="A79">
        <v>78</v>
      </c>
      <c r="B79" t="s">
        <v>1094</v>
      </c>
      <c r="C79" t="s">
        <v>1095</v>
      </c>
      <c r="F79" t="s">
        <v>1096</v>
      </c>
      <c r="G79" t="s">
        <v>1014</v>
      </c>
      <c r="I79" s="64">
        <f>SUMIF(주문_리스트!C:C,거래처!B79,주문_리스트!J:J)+SUMIF(주문_리스트!C:C,거래처!B79,주문_리스트!I:I)</f>
        <v>1100000</v>
      </c>
    </row>
    <row r="80" spans="1:9">
      <c r="A80">
        <v>79</v>
      </c>
      <c r="B80" t="s">
        <v>1203</v>
      </c>
      <c r="C80" t="s">
        <v>1204</v>
      </c>
      <c r="F80" t="s">
        <v>1205</v>
      </c>
      <c r="I80" s="64">
        <f>SUMIF(주문_리스트!C:C,거래처!B80,주문_리스트!J:J)+SUMIF(주문_리스트!C:C,거래처!B80,주문_리스트!I:I)</f>
        <v>0</v>
      </c>
    </row>
    <row r="81" spans="1:9">
      <c r="A81">
        <v>80</v>
      </c>
      <c r="B81" t="s">
        <v>73</v>
      </c>
      <c r="C81" t="s">
        <v>74</v>
      </c>
      <c r="D81" t="s">
        <v>1034</v>
      </c>
      <c r="F81" t="s">
        <v>76</v>
      </c>
      <c r="G81" t="s">
        <v>1014</v>
      </c>
      <c r="I81" s="64">
        <f>SUMIF(주문_리스트!C:C,거래처!B81,주문_리스트!J:J)+SUMIF(주문_리스트!C:C,거래처!B81,주문_리스트!I:I)</f>
        <v>0</v>
      </c>
    </row>
    <row r="82" spans="1:9">
      <c r="A82">
        <v>81</v>
      </c>
      <c r="B82" t="s">
        <v>1305</v>
      </c>
      <c r="C82" t="s">
        <v>1306</v>
      </c>
      <c r="F82" t="s">
        <v>1307</v>
      </c>
      <c r="I82" s="64">
        <f>SUMIF(주문_리스트!C:C,거래처!B82,주문_리스트!J:J)+SUMIF(주문_리스트!C:C,거래처!B82,주문_리스트!I:I)</f>
        <v>0</v>
      </c>
    </row>
    <row r="83" spans="1:9">
      <c r="A83">
        <v>82</v>
      </c>
      <c r="B83" t="s">
        <v>1236</v>
      </c>
      <c r="C83" t="s">
        <v>1237</v>
      </c>
      <c r="F83" t="s">
        <v>1238</v>
      </c>
      <c r="I83" s="64">
        <f>SUMIF(주문_리스트!C:C,거래처!B83,주문_리스트!J:J)+SUMIF(주문_리스트!C:C,거래처!B83,주문_리스트!I:I)</f>
        <v>0</v>
      </c>
    </row>
    <row r="84" spans="1:9">
      <c r="A84">
        <v>83</v>
      </c>
      <c r="B84" t="s">
        <v>1061</v>
      </c>
      <c r="C84" t="s">
        <v>1062</v>
      </c>
      <c r="F84" t="s">
        <v>1063</v>
      </c>
      <c r="I84" s="64">
        <f>SUMIF(주문_리스트!C:C,거래처!B84,주문_리스트!J:J)+SUMIF(주문_리스트!C:C,거래처!B84,주문_리스트!I:I)</f>
        <v>0</v>
      </c>
    </row>
    <row r="85" spans="1:9">
      <c r="A85">
        <v>84</v>
      </c>
      <c r="B85" t="s">
        <v>1143</v>
      </c>
      <c r="C85" t="s">
        <v>1144</v>
      </c>
      <c r="F85" t="s">
        <v>1145</v>
      </c>
      <c r="G85" t="s">
        <v>988</v>
      </c>
      <c r="I85" s="64">
        <f>SUMIF(주문_리스트!C:C,거래처!B85,주문_리스트!J:J)+SUMIF(주문_리스트!C:C,거래처!B85,주문_리스트!I:I)</f>
        <v>0</v>
      </c>
    </row>
    <row r="86" spans="1:9">
      <c r="A86">
        <v>85</v>
      </c>
      <c r="B86" t="s">
        <v>1209</v>
      </c>
      <c r="C86" t="s">
        <v>1210</v>
      </c>
      <c r="F86" t="s">
        <v>1211</v>
      </c>
      <c r="I86" s="64">
        <f>SUMIF(주문_리스트!C:C,거래처!B86,주문_리스트!J:J)+SUMIF(주문_리스트!C:C,거래처!B86,주문_리스트!I:I)</f>
        <v>0</v>
      </c>
    </row>
    <row r="87" spans="1:9">
      <c r="A87">
        <v>86</v>
      </c>
      <c r="B87" t="s">
        <v>1140</v>
      </c>
      <c r="C87" t="s">
        <v>1141</v>
      </c>
      <c r="F87" t="s">
        <v>1142</v>
      </c>
      <c r="G87" t="s">
        <v>1014</v>
      </c>
      <c r="I87" s="64">
        <f>SUMIF(주문_리스트!C:C,거래처!B87,주문_리스트!J:J)+SUMIF(주문_리스트!C:C,거래처!B87,주문_리스트!I:I)</f>
        <v>0</v>
      </c>
    </row>
    <row r="88" spans="1:9">
      <c r="A88">
        <v>87</v>
      </c>
      <c r="B88" t="s">
        <v>1043</v>
      </c>
      <c r="C88" t="s">
        <v>1044</v>
      </c>
      <c r="F88" t="s">
        <v>1045</v>
      </c>
      <c r="I88" s="64">
        <f>SUMIF(주문_리스트!C:C,거래처!B88,주문_리스트!J:J)+SUMIF(주문_리스트!C:C,거래처!B88,주문_리스트!I:I)</f>
        <v>0</v>
      </c>
    </row>
    <row r="89" spans="1:9">
      <c r="A89">
        <v>88</v>
      </c>
      <c r="B89" t="s">
        <v>1194</v>
      </c>
      <c r="C89" t="s">
        <v>1195</v>
      </c>
      <c r="F89" t="s">
        <v>1196</v>
      </c>
      <c r="G89" t="s">
        <v>1018</v>
      </c>
      <c r="I89" s="64">
        <f>SUMIF(주문_리스트!C:C,거래처!B89,주문_리스트!J:J)+SUMIF(주문_리스트!C:C,거래처!B89,주문_리스트!I:I)</f>
        <v>0</v>
      </c>
    </row>
    <row r="90" spans="1:9">
      <c r="A90">
        <v>89</v>
      </c>
      <c r="B90" t="s">
        <v>1239</v>
      </c>
      <c r="C90" t="s">
        <v>1240</v>
      </c>
      <c r="F90" t="s">
        <v>1241</v>
      </c>
      <c r="I90" s="64">
        <f>SUMIF(주문_리스트!C:C,거래처!B90,주문_리스트!J:J)+SUMIF(주문_리스트!C:C,거래처!B90,주문_리스트!I:I)</f>
        <v>0</v>
      </c>
    </row>
    <row r="91" spans="1:9">
      <c r="A91">
        <v>90</v>
      </c>
      <c r="B91" t="s">
        <v>1275</v>
      </c>
      <c r="C91" t="s">
        <v>1276</v>
      </c>
      <c r="F91" t="s">
        <v>1277</v>
      </c>
      <c r="I91" s="64">
        <f>SUMIF(주문_리스트!C:C,거래처!B91,주문_리스트!J:J)+SUMIF(주문_리스트!C:C,거래처!B91,주문_리스트!I:I)</f>
        <v>0</v>
      </c>
    </row>
    <row r="92" spans="1:9">
      <c r="A92">
        <v>91</v>
      </c>
      <c r="B92" t="s">
        <v>1308</v>
      </c>
      <c r="C92" t="s">
        <v>1309</v>
      </c>
      <c r="F92" t="s">
        <v>1310</v>
      </c>
      <c r="I92" s="64">
        <f>SUMIF(주문_리스트!C:C,거래처!B92,주문_리스트!J:J)+SUMIF(주문_리스트!C:C,거래처!B92,주문_리스트!I:I)</f>
        <v>0</v>
      </c>
    </row>
    <row r="93" spans="1:9">
      <c r="A93">
        <v>92</v>
      </c>
      <c r="B93" t="s">
        <v>1197</v>
      </c>
      <c r="C93" t="s">
        <v>1198</v>
      </c>
      <c r="F93" t="s">
        <v>1199</v>
      </c>
      <c r="G93" t="s">
        <v>1014</v>
      </c>
      <c r="I93" s="64">
        <f>SUMIF(주문_리스트!C:C,거래처!B93,주문_리스트!J:J)+SUMIF(주문_리스트!C:C,거래처!B93,주문_리스트!I:I)</f>
        <v>700000</v>
      </c>
    </row>
    <row r="94" spans="1:9">
      <c r="A94">
        <v>93</v>
      </c>
      <c r="B94" t="s">
        <v>997</v>
      </c>
      <c r="C94" t="s">
        <v>998</v>
      </c>
      <c r="D94" t="s">
        <v>999</v>
      </c>
      <c r="F94" t="s">
        <v>1000</v>
      </c>
      <c r="G94" t="s">
        <v>988</v>
      </c>
      <c r="I94" s="64">
        <f>SUMIF(주문_리스트!C:C,거래처!B94,주문_리스트!J:J)+SUMIF(주문_리스트!C:C,거래처!B94,주문_리스트!I:I)</f>
        <v>0</v>
      </c>
    </row>
    <row r="95" spans="1:9">
      <c r="A95">
        <v>94</v>
      </c>
      <c r="B95" t="s">
        <v>1200</v>
      </c>
      <c r="C95" t="s">
        <v>1201</v>
      </c>
      <c r="F95" t="s">
        <v>1202</v>
      </c>
      <c r="I95" s="64">
        <f>SUMIF(주문_리스트!C:C,거래처!B95,주문_리스트!J:J)+SUMIF(주문_리스트!C:C,거래처!B95,주문_리스트!I:I)</f>
        <v>0</v>
      </c>
    </row>
    <row r="96" spans="1:9">
      <c r="A96">
        <v>95</v>
      </c>
      <c r="B96" t="s">
        <v>1100</v>
      </c>
      <c r="C96" t="s">
        <v>1101</v>
      </c>
      <c r="F96" t="s">
        <v>1102</v>
      </c>
      <c r="G96" t="s">
        <v>988</v>
      </c>
      <c r="I96" s="64">
        <f>SUMIF(주문_리스트!C:C,거래처!B96,주문_리스트!J:J)+SUMIF(주문_리스트!C:C,거래처!B96,주문_리스트!I:I)</f>
        <v>0</v>
      </c>
    </row>
    <row r="97" spans="1:9">
      <c r="A97">
        <v>96</v>
      </c>
      <c r="B97" t="s">
        <v>1049</v>
      </c>
      <c r="C97" t="s">
        <v>1050</v>
      </c>
      <c r="F97" t="s">
        <v>1051</v>
      </c>
      <c r="I97" s="64">
        <f>SUMIF(주문_리스트!C:C,거래처!B97,주문_리스트!J:J)+SUMIF(주문_리스트!C:C,거래처!B97,주문_리스트!I:I)</f>
        <v>0</v>
      </c>
    </row>
    <row r="98" spans="1:9">
      <c r="A98">
        <v>97</v>
      </c>
      <c r="B98" t="s">
        <v>1227</v>
      </c>
      <c r="C98" t="s">
        <v>1228</v>
      </c>
      <c r="F98" t="s">
        <v>1229</v>
      </c>
      <c r="I98" s="64">
        <f>SUMIF(주문_리스트!C:C,거래처!B98,주문_리스트!J:J)+SUMIF(주문_리스트!C:C,거래처!B98,주문_리스트!I:I)</f>
        <v>0</v>
      </c>
    </row>
    <row r="99" spans="1:9">
      <c r="A99">
        <v>98</v>
      </c>
      <c r="B99" t="s">
        <v>30</v>
      </c>
      <c r="C99" t="s">
        <v>31</v>
      </c>
      <c r="D99" t="s">
        <v>46</v>
      </c>
      <c r="E99" t="s">
        <v>92</v>
      </c>
      <c r="F99" t="s">
        <v>32</v>
      </c>
      <c r="G99" t="s">
        <v>47</v>
      </c>
      <c r="H99" t="s">
        <v>32</v>
      </c>
      <c r="I99" s="64">
        <f>SUMIF(주문_리스트!C:C,거래처!B99,주문_리스트!J:J)+SUMIF(주문_리스트!C:C,거래처!B99,주문_리스트!I:I)</f>
        <v>0</v>
      </c>
    </row>
    <row r="100" spans="1:9">
      <c r="A100">
        <v>99</v>
      </c>
      <c r="B100" t="s">
        <v>1103</v>
      </c>
      <c r="C100" t="s">
        <v>1104</v>
      </c>
      <c r="F100" t="s">
        <v>1105</v>
      </c>
      <c r="I100" s="64">
        <f>SUMIF(주문_리스트!C:C,거래처!B100,주문_리스트!J:J)+SUMIF(주문_리스트!C:C,거래처!B100,주문_리스트!I:I)</f>
        <v>0</v>
      </c>
    </row>
    <row r="101" spans="1:9">
      <c r="A101">
        <v>100</v>
      </c>
      <c r="B101" t="s">
        <v>1218</v>
      </c>
      <c r="C101" t="s">
        <v>1219</v>
      </c>
      <c r="D101" t="s">
        <v>1034</v>
      </c>
      <c r="F101" t="s">
        <v>1220</v>
      </c>
      <c r="G101" t="s">
        <v>1009</v>
      </c>
      <c r="I101" s="64">
        <f>SUMIF(주문_리스트!C:C,거래처!B101,주문_리스트!J:J)+SUMIF(주문_리스트!C:C,거래처!B101,주문_리스트!I:I)</f>
        <v>0</v>
      </c>
    </row>
    <row r="102" spans="1:9">
      <c r="A102">
        <v>101</v>
      </c>
      <c r="B102" t="s">
        <v>1037</v>
      </c>
      <c r="C102" t="s">
        <v>1038</v>
      </c>
      <c r="F102" t="s">
        <v>1039</v>
      </c>
      <c r="G102" t="s">
        <v>988</v>
      </c>
      <c r="I102" s="64">
        <f>SUMIF(주문_리스트!C:C,거래처!B102,주문_리스트!J:J)+SUMIF(주문_리스트!C:C,거래처!B102,주문_리스트!I:I)</f>
        <v>0</v>
      </c>
    </row>
    <row r="103" spans="1:9">
      <c r="A103">
        <v>102</v>
      </c>
      <c r="B103" t="s">
        <v>1028</v>
      </c>
      <c r="C103" t="s">
        <v>1029</v>
      </c>
      <c r="D103" t="s">
        <v>1030</v>
      </c>
      <c r="F103" t="s">
        <v>1031</v>
      </c>
      <c r="G103" t="s">
        <v>1009</v>
      </c>
      <c r="H103" t="s">
        <v>158</v>
      </c>
      <c r="I103" s="64">
        <f>SUMIF(주문_리스트!C:C,거래처!B103,주문_리스트!J:J)+SUMIF(주문_리스트!C:C,거래처!B103,주문_리스트!I:I)</f>
        <v>0</v>
      </c>
    </row>
    <row r="104" spans="1:9">
      <c r="A104">
        <v>103</v>
      </c>
      <c r="B104" t="s">
        <v>1015</v>
      </c>
      <c r="C104" t="s">
        <v>1016</v>
      </c>
      <c r="F104" t="s">
        <v>1017</v>
      </c>
      <c r="G104" t="s">
        <v>988</v>
      </c>
      <c r="I104" s="64">
        <f>SUMIF(주문_리스트!C:C,거래처!B104,주문_리스트!J:J)+SUMIF(주문_리스트!C:C,거래처!B104,주문_리스트!I:I)</f>
        <v>0</v>
      </c>
    </row>
    <row r="105" spans="1:9">
      <c r="A105">
        <v>104</v>
      </c>
      <c r="B105" t="s">
        <v>1212</v>
      </c>
      <c r="C105" t="s">
        <v>1213</v>
      </c>
      <c r="F105" t="s">
        <v>1214</v>
      </c>
      <c r="G105" t="s">
        <v>1014</v>
      </c>
      <c r="I105" s="64">
        <f>SUMIF(주문_리스트!C:C,거래처!B105,주문_리스트!J:J)+SUMIF(주문_리스트!C:C,거래처!B105,주문_리스트!I:I)</f>
        <v>0</v>
      </c>
    </row>
    <row r="106" spans="1:9">
      <c r="A106">
        <v>105</v>
      </c>
      <c r="B106" t="s">
        <v>1076</v>
      </c>
      <c r="C106" t="s">
        <v>1077</v>
      </c>
      <c r="F106" t="s">
        <v>1078</v>
      </c>
      <c r="G106" t="s">
        <v>1014</v>
      </c>
      <c r="I106" s="64">
        <f>SUMIF(주문_리스트!C:C,거래처!B106,주문_리스트!J:J)+SUMIF(주문_리스트!C:C,거래처!B106,주문_리스트!I:I)</f>
        <v>1500000</v>
      </c>
    </row>
    <row r="107" spans="1:9">
      <c r="A107">
        <v>106</v>
      </c>
      <c r="B107" t="s">
        <v>994</v>
      </c>
      <c r="C107" t="s">
        <v>995</v>
      </c>
      <c r="D107" t="s">
        <v>75</v>
      </c>
      <c r="F107" t="s">
        <v>996</v>
      </c>
      <c r="G107" t="s">
        <v>988</v>
      </c>
      <c r="I107" s="64">
        <f>SUMIF(주문_리스트!C:C,거래처!B107,주문_리스트!J:J)+SUMIF(주문_리스트!C:C,거래처!B107,주문_리스트!I:I)</f>
        <v>0</v>
      </c>
    </row>
    <row r="108" spans="1:9">
      <c r="A108">
        <v>107</v>
      </c>
      <c r="B108" t="s">
        <v>1302</v>
      </c>
      <c r="C108" t="s">
        <v>1303</v>
      </c>
      <c r="F108" t="s">
        <v>1304</v>
      </c>
      <c r="I108" s="64">
        <f>SUMIF(주문_리스트!C:C,거래처!B108,주문_리스트!J:J)+SUMIF(주문_리스트!C:C,거래처!B108,주문_리스트!I:I)</f>
        <v>0</v>
      </c>
    </row>
    <row r="109" spans="1:9">
      <c r="A109">
        <v>108</v>
      </c>
      <c r="B109" t="s">
        <v>1131</v>
      </c>
      <c r="C109" t="s">
        <v>1132</v>
      </c>
      <c r="F109" t="s">
        <v>1133</v>
      </c>
      <c r="I109" s="64">
        <f>SUMIF(주문_리스트!C:C,거래처!B109,주문_리스트!J:J)+SUMIF(주문_리스트!C:C,거래처!B109,주문_리스트!I:I)</f>
        <v>0</v>
      </c>
    </row>
    <row r="110" spans="1:9">
      <c r="A110">
        <v>109</v>
      </c>
      <c r="B110" t="s">
        <v>1128</v>
      </c>
      <c r="C110" t="s">
        <v>1129</v>
      </c>
      <c r="F110" t="s">
        <v>1130</v>
      </c>
      <c r="I110" s="64">
        <f>SUMIF(주문_리스트!C:C,거래처!B110,주문_리스트!J:J)+SUMIF(주문_리스트!C:C,거래처!B110,주문_리스트!I:I)</f>
        <v>0</v>
      </c>
    </row>
    <row r="111" spans="1:9">
      <c r="A111">
        <v>110</v>
      </c>
      <c r="B111" t="s">
        <v>1122</v>
      </c>
      <c r="C111" t="s">
        <v>1123</v>
      </c>
      <c r="F111" t="s">
        <v>1124</v>
      </c>
      <c r="G111" t="s">
        <v>1014</v>
      </c>
      <c r="I111" s="64">
        <f>SUMIF(주문_리스트!C:C,거래처!B111,주문_리스트!J:J)+SUMIF(주문_리스트!C:C,거래처!B111,주문_리스트!I:I)</f>
        <v>0</v>
      </c>
    </row>
    <row r="112" spans="1:9">
      <c r="A112">
        <v>111</v>
      </c>
      <c r="B112" t="s">
        <v>1085</v>
      </c>
      <c r="C112" t="s">
        <v>1086</v>
      </c>
      <c r="F112" t="s">
        <v>1087</v>
      </c>
      <c r="G112" t="s">
        <v>1014</v>
      </c>
      <c r="I112" s="64">
        <f>SUMIF(주문_리스트!C:C,거래처!B112,주문_리스트!J:J)+SUMIF(주문_리스트!C:C,거래처!B112,주문_리스트!I:I)</f>
        <v>0</v>
      </c>
    </row>
    <row r="113" spans="1:9">
      <c r="A113">
        <v>112</v>
      </c>
      <c r="B113" t="s">
        <v>1281</v>
      </c>
      <c r="C113" t="s">
        <v>1282</v>
      </c>
      <c r="F113" t="s">
        <v>1283</v>
      </c>
      <c r="G113" t="s">
        <v>1014</v>
      </c>
      <c r="I113" s="64">
        <f>SUMIF(주문_리스트!C:C,거래처!B113,주문_리스트!J:J)+SUMIF(주문_리스트!C:C,거래처!B113,주문_리스트!I:I)</f>
        <v>0</v>
      </c>
    </row>
    <row r="114" spans="1:9">
      <c r="A114">
        <v>113</v>
      </c>
      <c r="B114" t="s">
        <v>1272</v>
      </c>
      <c r="C114" t="s">
        <v>1273</v>
      </c>
      <c r="F114" t="s">
        <v>1274</v>
      </c>
      <c r="G114" t="s">
        <v>988</v>
      </c>
      <c r="I114" s="64">
        <f>SUMIF(주문_리스트!C:C,거래처!B114,주문_리스트!J:J)+SUMIF(주문_리스트!C:C,거래처!B114,주문_리스트!I:I)</f>
        <v>2700000</v>
      </c>
    </row>
    <row r="115" spans="1:9">
      <c r="A115">
        <v>114</v>
      </c>
      <c r="B115" t="s">
        <v>1206</v>
      </c>
      <c r="C115" t="s">
        <v>1207</v>
      </c>
      <c r="F115" t="s">
        <v>1208</v>
      </c>
      <c r="G115" t="s">
        <v>988</v>
      </c>
      <c r="H115" t="s">
        <v>1362</v>
      </c>
      <c r="I115" s="64">
        <f>SUMIF(주문_리스트!C:C,거래처!B115,주문_리스트!J:J)+SUMIF(주문_리스트!C:C,거래처!B115,주문_리스트!I:I)</f>
        <v>1000000</v>
      </c>
    </row>
    <row r="116" spans="1:9">
      <c r="A116">
        <v>114</v>
      </c>
      <c r="B116" t="s">
        <v>1421</v>
      </c>
      <c r="C116" t="s">
        <v>1422</v>
      </c>
      <c r="F116" t="s">
        <v>1423</v>
      </c>
      <c r="I116" s="64">
        <f>SUMIF(주문_리스트!C:C,거래처!B116,주문_리스트!J:J)+SUMIF(주문_리스트!C:C,거래처!B116,주문_리스트!I:I)</f>
        <v>0</v>
      </c>
    </row>
    <row r="117" spans="1:9">
      <c r="A117">
        <v>115</v>
      </c>
      <c r="B117" t="s">
        <v>1430</v>
      </c>
      <c r="C117" t="s">
        <v>1431</v>
      </c>
      <c r="F117" t="s">
        <v>1432</v>
      </c>
      <c r="G117" t="s">
        <v>988</v>
      </c>
      <c r="I117" s="64">
        <f>SUMIF(주문_리스트!C:C,거래처!B117,주문_리스트!J:J)+SUMIF(주문_리스트!C:C,거래처!B117,주문_리스트!I:I)</f>
        <v>1200000</v>
      </c>
    </row>
    <row r="118" spans="1:9">
      <c r="I118" s="64">
        <f>SUMIF(주문_리스트!C:C,거래처!B118,주문_리스트!J:J)+SUMIF(주문_리스트!C:C,거래처!B118,주문_리스트!I:I)</f>
        <v>0</v>
      </c>
    </row>
    <row r="119" spans="1:9">
      <c r="I119" s="64">
        <f>SUMIF(주문_리스트!C:C,거래처!B119,주문_리스트!J:J)+SUMIF(주문_리스트!C:C,거래처!B119,주문_리스트!I:I)</f>
        <v>0</v>
      </c>
    </row>
    <row r="120" spans="1:9">
      <c r="I120" s="64">
        <f>SUMIF(주문_리스트!C:C,거래처!B120,주문_리스트!J:J)+SUMIF(주문_리스트!C:C,거래처!B120,주문_리스트!I:I)</f>
        <v>0</v>
      </c>
    </row>
    <row r="121" spans="1:9">
      <c r="I121" s="64">
        <f>SUMIF(주문_리스트!C:C,거래처!B121,주문_리스트!J:J)+SUMIF(주문_리스트!C:C,거래처!B121,주문_리스트!I:I)</f>
        <v>0</v>
      </c>
    </row>
    <row r="122" spans="1:9">
      <c r="I122" s="64">
        <f>SUMIF(주문_리스트!C:C,거래처!B122,주문_리스트!J:J)+SUMIF(주문_리스트!C:C,거래처!B122,주문_리스트!I:I)</f>
        <v>0</v>
      </c>
    </row>
    <row r="123" spans="1:9">
      <c r="I123" s="64">
        <f>SUMIF(주문_리스트!C:C,거래처!B123,주문_리스트!J:J)+SUMIF(주문_리스트!C:C,거래처!B123,주문_리스트!I:I)</f>
        <v>0</v>
      </c>
    </row>
    <row r="124" spans="1:9">
      <c r="I124" s="64">
        <f>SUMIF(주문_리스트!C:C,거래처!B124,주문_리스트!J:J)+SUMIF(주문_리스트!C:C,거래처!B124,주문_리스트!I:I)</f>
        <v>0</v>
      </c>
    </row>
    <row r="125" spans="1:9">
      <c r="I125" s="64">
        <f>SUMIF(주문_리스트!C:C,거래처!B125,주문_리스트!J:J)+SUMIF(주문_리스트!C:C,거래처!B125,주문_리스트!I:I)</f>
        <v>0</v>
      </c>
    </row>
    <row r="126" spans="1:9">
      <c r="I126" s="64">
        <f>SUMIF(주문_리스트!C:C,거래처!B126,주문_리스트!J:J)+SUMIF(주문_리스트!C:C,거래처!B126,주문_리스트!I:I)</f>
        <v>0</v>
      </c>
    </row>
    <row r="127" spans="1:9">
      <c r="I127" s="64">
        <f>SUMIF(주문_리스트!C:C,거래처!B127,주문_리스트!J:J)+SUMIF(주문_리스트!C:C,거래처!B127,주문_리스트!I:I)</f>
        <v>0</v>
      </c>
    </row>
    <row r="128" spans="1:9">
      <c r="I128" s="64">
        <f>SUMIF(주문_리스트!C:C,거래처!B128,주문_리스트!J:J)+SUMIF(주문_리스트!C:C,거래처!B128,주문_리스트!I:I)</f>
        <v>0</v>
      </c>
    </row>
    <row r="129" spans="9:9">
      <c r="I129" s="64">
        <f>SUMIF(주문_리스트!C:C,거래처!B129,주문_리스트!J:J)+SUMIF(주문_리스트!C:C,거래처!B129,주문_리스트!I:I)</f>
        <v>0</v>
      </c>
    </row>
    <row r="130" spans="9:9">
      <c r="I130" s="64">
        <f>SUMIF(주문_리스트!C:C,거래처!B130,주문_리스트!J:J)+SUMIF(주문_리스트!C:C,거래처!B130,주문_리스트!I:I)</f>
        <v>0</v>
      </c>
    </row>
    <row r="131" spans="9:9">
      <c r="I131" s="64">
        <f>SUMIF(주문_리스트!C:C,거래처!B131,주문_리스트!J:J)+SUMIF(주문_리스트!C:C,거래처!B131,주문_리스트!I:I)</f>
        <v>0</v>
      </c>
    </row>
    <row r="132" spans="9:9">
      <c r="I132" s="64">
        <f>SUMIF(주문_리스트!C:C,거래처!B132,주문_리스트!J:J)+SUMIF(주문_리스트!C:C,거래처!B132,주문_리스트!I:I)</f>
        <v>0</v>
      </c>
    </row>
    <row r="133" spans="9:9">
      <c r="I133" s="64">
        <f>SUMIF(주문_리스트!C:C,거래처!B133,주문_리스트!J:J)+SUMIF(주문_리스트!C:C,거래처!B133,주문_리스트!I:I)</f>
        <v>0</v>
      </c>
    </row>
    <row r="134" spans="9:9">
      <c r="I134" s="64">
        <f>SUMIF(주문_리스트!C:C,거래처!B134,주문_리스트!J:J)+SUMIF(주문_리스트!C:C,거래처!B134,주문_리스트!I:I)</f>
        <v>0</v>
      </c>
    </row>
    <row r="135" spans="9:9">
      <c r="I135" s="64">
        <f>SUMIF(주문_리스트!C:C,거래처!B135,주문_리스트!J:J)+SUMIF(주문_리스트!C:C,거래처!B135,주문_리스트!I:I)</f>
        <v>0</v>
      </c>
    </row>
    <row r="136" spans="9:9">
      <c r="I136" s="64">
        <f>SUMIF(주문_리스트!C:C,거래처!B136,주문_리스트!J:J)+SUMIF(주문_리스트!C:C,거래처!B136,주문_리스트!I:I)</f>
        <v>0</v>
      </c>
    </row>
    <row r="137" spans="9:9">
      <c r="I137" s="64">
        <f>SUMIF(주문_리스트!C:C,거래처!B137,주문_리스트!J:J)+SUMIF(주문_리스트!C:C,거래처!B137,주문_리스트!I:I)</f>
        <v>0</v>
      </c>
    </row>
    <row r="138" spans="9:9">
      <c r="I138" s="64">
        <f>SUMIF(주문_리스트!C:C,거래처!B138,주문_리스트!J:J)+SUMIF(주문_리스트!C:C,거래처!B138,주문_리스트!I:I)</f>
        <v>0</v>
      </c>
    </row>
    <row r="139" spans="9:9">
      <c r="I139" s="64">
        <f>SUMIF(주문_리스트!C:C,거래처!B139,주문_리스트!J:J)+SUMIF(주문_리스트!C:C,거래처!B139,주문_리스트!I:I)</f>
        <v>0</v>
      </c>
    </row>
    <row r="140" spans="9:9">
      <c r="I140" s="64">
        <f>SUMIF(주문_리스트!C:C,거래처!B140,주문_리스트!J:J)+SUMIF(주문_리스트!C:C,거래처!B140,주문_리스트!I:I)</f>
        <v>0</v>
      </c>
    </row>
    <row r="141" spans="9:9">
      <c r="I141" s="64">
        <f>SUMIF(주문_리스트!C:C,거래처!B141,주문_리스트!J:J)+SUMIF(주문_리스트!C:C,거래처!B141,주문_리스트!I:I)</f>
        <v>0</v>
      </c>
    </row>
    <row r="142" spans="9:9">
      <c r="I142" s="64">
        <f>SUMIF(주문_리스트!C:C,거래처!B142,주문_리스트!J:J)+SUMIF(주문_리스트!C:C,거래처!B142,주문_리스트!I:I)</f>
        <v>0</v>
      </c>
    </row>
    <row r="143" spans="9:9">
      <c r="I143" s="64">
        <f>SUMIF(주문_리스트!C:C,거래처!B143,주문_리스트!J:J)+SUMIF(주문_리스트!C:C,거래처!B143,주문_리스트!I:I)</f>
        <v>0</v>
      </c>
    </row>
    <row r="144" spans="9:9">
      <c r="I144" s="64">
        <f>SUMIF(주문_리스트!C:C,거래처!B144,주문_리스트!J:J)+SUMIF(주문_리스트!C:C,거래처!B144,주문_리스트!I:I)</f>
        <v>0</v>
      </c>
    </row>
    <row r="145" spans="9:9">
      <c r="I145" s="64">
        <f>SUMIF(주문_리스트!C:C,거래처!B145,주문_리스트!J:J)+SUMIF(주문_리스트!C:C,거래처!B145,주문_리스트!I:I)</f>
        <v>0</v>
      </c>
    </row>
    <row r="146" spans="9:9">
      <c r="I146" s="64">
        <f>SUMIF(주문_리스트!C:C,거래처!B146,주문_리스트!J:J)+SUMIF(주문_리스트!C:C,거래처!B146,주문_리스트!I:I)</f>
        <v>0</v>
      </c>
    </row>
    <row r="147" spans="9:9">
      <c r="I147" s="64">
        <f>SUMIF(주문_리스트!C:C,거래처!B147,주문_리스트!J:J)+SUMIF(주문_리스트!C:C,거래처!B147,주문_리스트!I:I)</f>
        <v>0</v>
      </c>
    </row>
    <row r="148" spans="9:9">
      <c r="I148" s="64">
        <f>SUMIF(주문_리스트!C:C,거래처!B148,주문_리스트!J:J)+SUMIF(주문_리스트!C:C,거래처!B148,주문_리스트!I:I)</f>
        <v>0</v>
      </c>
    </row>
    <row r="149" spans="9:9">
      <c r="I149" s="64">
        <f>SUMIF(주문_리스트!C:C,거래처!B149,주문_리스트!J:J)+SUMIF(주문_리스트!C:C,거래처!B149,주문_리스트!I:I)</f>
        <v>0</v>
      </c>
    </row>
    <row r="150" spans="9:9">
      <c r="I150" s="64">
        <f>SUMIF(주문_리스트!C:C,거래처!B150,주문_리스트!J:J)+SUMIF(주문_리스트!C:C,거래처!B150,주문_리스트!I:I)</f>
        <v>0</v>
      </c>
    </row>
    <row r="151" spans="9:9">
      <c r="I151" s="64">
        <f>SUMIF(주문_리스트!C:C,거래처!B151,주문_리스트!J:J)+SUMIF(주문_리스트!C:C,거래처!B151,주문_리스트!I:I)</f>
        <v>0</v>
      </c>
    </row>
    <row r="152" spans="9:9">
      <c r="I152" s="64">
        <f>SUMIF(주문_리스트!C:C,거래처!B152,주문_리스트!J:J)+SUMIF(주문_리스트!C:C,거래처!B152,주문_리스트!I:I)</f>
        <v>0</v>
      </c>
    </row>
    <row r="153" spans="9:9">
      <c r="I153" s="64">
        <f>SUMIF(주문_리스트!C:C,거래처!B153,주문_리스트!J:J)+SUMIF(주문_리스트!C:C,거래처!B153,주문_리스트!I:I)</f>
        <v>0</v>
      </c>
    </row>
    <row r="154" spans="9:9">
      <c r="I154" s="64">
        <f>SUMIF(주문_리스트!C:C,거래처!B154,주문_리스트!J:J)+SUMIF(주문_리스트!C:C,거래처!B154,주문_리스트!I:I)</f>
        <v>0</v>
      </c>
    </row>
    <row r="155" spans="9:9">
      <c r="I155" s="64">
        <f>SUMIF(주문_리스트!C:C,거래처!B155,주문_리스트!J:J)+SUMIF(주문_리스트!C:C,거래처!B155,주문_리스트!I:I)</f>
        <v>0</v>
      </c>
    </row>
    <row r="156" spans="9:9">
      <c r="I156" s="64">
        <f>SUMIF(주문_리스트!C:C,거래처!B156,주문_리스트!J:J)+SUMIF(주문_리스트!C:C,거래처!B156,주문_리스트!I:I)</f>
        <v>0</v>
      </c>
    </row>
    <row r="157" spans="9:9">
      <c r="I157" s="64">
        <f>SUMIF(주문_리스트!C:C,거래처!B157,주문_리스트!J:J)+SUMIF(주문_리스트!C:C,거래처!B157,주문_리스트!I:I)</f>
        <v>0</v>
      </c>
    </row>
    <row r="158" spans="9:9">
      <c r="I158" s="64">
        <f>SUMIF(주문_리스트!C:C,거래처!B158,주문_리스트!J:J)+SUMIF(주문_리스트!C:C,거래처!B158,주문_리스트!I:I)</f>
        <v>0</v>
      </c>
    </row>
    <row r="159" spans="9:9">
      <c r="I159" s="64">
        <f>SUMIF(주문_리스트!C:C,거래처!B159,주문_리스트!J:J)+SUMIF(주문_리스트!C:C,거래처!B159,주문_리스트!I:I)</f>
        <v>0</v>
      </c>
    </row>
    <row r="160" spans="9:9">
      <c r="I160" s="64">
        <f>SUMIF(주문_리스트!C:C,거래처!B160,주문_리스트!J:J)+SUMIF(주문_리스트!C:C,거래처!B160,주문_리스트!I:I)</f>
        <v>0</v>
      </c>
    </row>
    <row r="161" spans="9:9">
      <c r="I161" s="64">
        <f>SUMIF(주문_리스트!C:C,거래처!B161,주문_리스트!J:J)+SUMIF(주문_리스트!C:C,거래처!B161,주문_리스트!I:I)</f>
        <v>0</v>
      </c>
    </row>
    <row r="162" spans="9:9">
      <c r="I162" s="64">
        <f>SUMIF(주문_리스트!C:C,거래처!B162,주문_리스트!J:J)+SUMIF(주문_리스트!C:C,거래처!B162,주문_리스트!I:I)</f>
        <v>0</v>
      </c>
    </row>
    <row r="163" spans="9:9">
      <c r="I163" s="64">
        <f>SUMIF(주문_리스트!C:C,거래처!B163,주문_리스트!J:J)+SUMIF(주문_리스트!C:C,거래처!B163,주문_리스트!I:I)</f>
        <v>0</v>
      </c>
    </row>
    <row r="164" spans="9:9">
      <c r="I164" s="64">
        <f>SUMIF(주문_리스트!C:C,거래처!B164,주문_리스트!J:J)+SUMIF(주문_리스트!C:C,거래처!B164,주문_리스트!I:I)</f>
        <v>0</v>
      </c>
    </row>
    <row r="165" spans="9:9">
      <c r="I165" s="64">
        <f>SUMIF(주문_리스트!C:C,거래처!B165,주문_리스트!J:J)+SUMIF(주문_리스트!C:C,거래처!B165,주문_리스트!I:I)</f>
        <v>0</v>
      </c>
    </row>
    <row r="166" spans="9:9">
      <c r="I166" s="64">
        <f>SUMIF(주문_리스트!C:C,거래처!B166,주문_리스트!J:J)+SUMIF(주문_리스트!C:C,거래처!B166,주문_리스트!I:I)</f>
        <v>0</v>
      </c>
    </row>
    <row r="167" spans="9:9">
      <c r="I167" s="64">
        <f>SUMIF(주문_리스트!C:C,거래처!B167,주문_리스트!J:J)+SUMIF(주문_리스트!C:C,거래처!B167,주문_리스트!I:I)</f>
        <v>0</v>
      </c>
    </row>
    <row r="168" spans="9:9">
      <c r="I168" s="64">
        <f>SUMIF(주문_리스트!C:C,거래처!B168,주문_리스트!J:J)+SUMIF(주문_리스트!C:C,거래처!B168,주문_리스트!I:I)</f>
        <v>0</v>
      </c>
    </row>
    <row r="169" spans="9:9">
      <c r="I169" s="64">
        <f>SUMIF(주문_리스트!C:C,거래처!B169,주문_리스트!J:J)+SUMIF(주문_리스트!C:C,거래처!B169,주문_리스트!I:I)</f>
        <v>0</v>
      </c>
    </row>
    <row r="170" spans="9:9">
      <c r="I170" s="64">
        <f>SUMIF(주문_리스트!C:C,거래처!B170,주문_리스트!J:J)+SUMIF(주문_리스트!C:C,거래처!B170,주문_리스트!I:I)</f>
        <v>0</v>
      </c>
    </row>
    <row r="171" spans="9:9">
      <c r="I171" s="64">
        <f>SUMIF(주문_리스트!C:C,거래처!B171,주문_리스트!J:J)+SUMIF(주문_리스트!C:C,거래처!B171,주문_리스트!I:I)</f>
        <v>0</v>
      </c>
    </row>
    <row r="172" spans="9:9">
      <c r="I172" s="64">
        <f>SUMIF(주문_리스트!C:C,거래처!B172,주문_리스트!J:J)+SUMIF(주문_리스트!C:C,거래처!B172,주문_리스트!I:I)</f>
        <v>0</v>
      </c>
    </row>
    <row r="173" spans="9:9">
      <c r="I173" s="64">
        <f>SUMIF(주문_리스트!C:C,거래처!B173,주문_리스트!J:J)+SUMIF(주문_리스트!C:C,거래처!B173,주문_리스트!I:I)</f>
        <v>0</v>
      </c>
    </row>
    <row r="174" spans="9:9">
      <c r="I174" s="64">
        <f>SUMIF(주문_리스트!C:C,거래처!B174,주문_리스트!J:J)+SUMIF(주문_리스트!C:C,거래처!B174,주문_리스트!I:I)</f>
        <v>0</v>
      </c>
    </row>
    <row r="175" spans="9:9">
      <c r="I175" s="64">
        <f>SUMIF(주문_리스트!C:C,거래처!B175,주문_리스트!J:J)+SUMIF(주문_리스트!C:C,거래처!B175,주문_리스트!I:I)</f>
        <v>0</v>
      </c>
    </row>
    <row r="176" spans="9:9">
      <c r="I176" s="64">
        <f>SUMIF(주문_리스트!C:C,거래처!B176,주문_리스트!J:J)+SUMIF(주문_리스트!C:C,거래처!B176,주문_리스트!I:I)</f>
        <v>0</v>
      </c>
    </row>
    <row r="177" spans="9:9">
      <c r="I177" s="64">
        <f>SUMIF(주문_리스트!C:C,거래처!B177,주문_리스트!J:J)+SUMIF(주문_리스트!C:C,거래처!B177,주문_리스트!I:I)</f>
        <v>0</v>
      </c>
    </row>
    <row r="178" spans="9:9">
      <c r="I178" s="64">
        <f>SUMIF(주문_리스트!C:C,거래처!B178,주문_리스트!J:J)+SUMIF(주문_리스트!C:C,거래처!B178,주문_리스트!I:I)</f>
        <v>0</v>
      </c>
    </row>
    <row r="179" spans="9:9">
      <c r="I179" s="64">
        <f>SUMIF(주문_리스트!C:C,거래처!B179,주문_리스트!J:J)+SUMIF(주문_리스트!C:C,거래처!B179,주문_리스트!I:I)</f>
        <v>0</v>
      </c>
    </row>
    <row r="180" spans="9:9">
      <c r="I180" s="64">
        <f>SUMIF(주문_리스트!C:C,거래처!B180,주문_리스트!J:J)+SUMIF(주문_리스트!C:C,거래처!B180,주문_리스트!I:I)</f>
        <v>0</v>
      </c>
    </row>
    <row r="181" spans="9:9">
      <c r="I181" s="64">
        <f>SUMIF(주문_리스트!C:C,거래처!B181,주문_리스트!J:J)+SUMIF(주문_리스트!C:C,거래처!B181,주문_리스트!I:I)</f>
        <v>0</v>
      </c>
    </row>
    <row r="182" spans="9:9">
      <c r="I182" s="64">
        <f>SUMIF(주문_리스트!C:C,거래처!B182,주문_리스트!J:J)+SUMIF(주문_리스트!C:C,거래처!B182,주문_리스트!I:I)</f>
        <v>0</v>
      </c>
    </row>
    <row r="183" spans="9:9">
      <c r="I183" s="64">
        <f>SUMIF(주문_리스트!C:C,거래처!B183,주문_리스트!J:J)+SUMIF(주문_리스트!C:C,거래처!B183,주문_리스트!I:I)</f>
        <v>0</v>
      </c>
    </row>
    <row r="184" spans="9:9">
      <c r="I184" s="64">
        <f>SUMIF(주문_리스트!C:C,거래처!B184,주문_리스트!J:J)+SUMIF(주문_리스트!C:C,거래처!B184,주문_리스트!I:I)</f>
        <v>0</v>
      </c>
    </row>
    <row r="185" spans="9:9">
      <c r="I185" s="64">
        <f>SUMIF(주문_리스트!C:C,거래처!B185,주문_리스트!J:J)+SUMIF(주문_리스트!C:C,거래처!B185,주문_리스트!I:I)</f>
        <v>0</v>
      </c>
    </row>
    <row r="186" spans="9:9">
      <c r="I186" s="64">
        <f>SUMIF(주문_리스트!C:C,거래처!B186,주문_리스트!J:J)+SUMIF(주문_리스트!C:C,거래처!B186,주문_리스트!I:I)</f>
        <v>0</v>
      </c>
    </row>
    <row r="187" spans="9:9">
      <c r="I187" s="64">
        <f>SUMIF(주문_리스트!C:C,거래처!B187,주문_리스트!J:J)+SUMIF(주문_리스트!C:C,거래처!B187,주문_리스트!I:I)</f>
        <v>0</v>
      </c>
    </row>
    <row r="188" spans="9:9">
      <c r="I188" s="64">
        <f>SUMIF(주문_리스트!C:C,거래처!B188,주문_리스트!J:J)+SUMIF(주문_리스트!C:C,거래처!B188,주문_리스트!I:I)</f>
        <v>0</v>
      </c>
    </row>
    <row r="189" spans="9:9">
      <c r="I189" s="64">
        <f>SUMIF(주문_리스트!C:C,거래처!B189,주문_리스트!J:J)+SUMIF(주문_리스트!C:C,거래처!B189,주문_리스트!I:I)</f>
        <v>0</v>
      </c>
    </row>
    <row r="190" spans="9:9">
      <c r="I190" s="64">
        <f>SUMIF(주문_리스트!C:C,거래처!B190,주문_리스트!J:J)+SUMIF(주문_리스트!C:C,거래처!B190,주문_리스트!I:I)</f>
        <v>0</v>
      </c>
    </row>
    <row r="191" spans="9:9">
      <c r="I191" s="64">
        <f>SUMIF(주문_리스트!C:C,거래처!B191,주문_리스트!J:J)+SUMIF(주문_리스트!C:C,거래처!B191,주문_리스트!I:I)</f>
        <v>0</v>
      </c>
    </row>
    <row r="192" spans="9:9">
      <c r="I192" s="64">
        <f>SUMIF(주문_리스트!C:C,거래처!B192,주문_리스트!J:J)+SUMIF(주문_리스트!C:C,거래처!B192,주문_리스트!I:I)</f>
        <v>0</v>
      </c>
    </row>
    <row r="193" spans="9:9">
      <c r="I193" s="64">
        <f>SUMIF(주문_리스트!C:C,거래처!B193,주문_리스트!J:J)+SUMIF(주문_리스트!C:C,거래처!B193,주문_리스트!I:I)</f>
        <v>0</v>
      </c>
    </row>
    <row r="194" spans="9:9">
      <c r="I194" s="64">
        <f>SUMIF(주문_리스트!C:C,거래처!B194,주문_리스트!J:J)+SUMIF(주문_리스트!C:C,거래처!B194,주문_리스트!I:I)</f>
        <v>0</v>
      </c>
    </row>
    <row r="195" spans="9:9">
      <c r="I195" s="64">
        <f>SUMIF(주문_리스트!C:C,거래처!B195,주문_리스트!J:J)+SUMIF(주문_리스트!C:C,거래처!B195,주문_리스트!I:I)</f>
        <v>0</v>
      </c>
    </row>
    <row r="196" spans="9:9">
      <c r="I196" s="64">
        <f>SUMIF(주문_리스트!C:C,거래처!B196,주문_리스트!J:J)+SUMIF(주문_리스트!C:C,거래처!B196,주문_리스트!I:I)</f>
        <v>0</v>
      </c>
    </row>
    <row r="197" spans="9:9">
      <c r="I197" s="64">
        <f>SUMIF(주문_리스트!C:C,거래처!B197,주문_리스트!J:J)+SUMIF(주문_리스트!C:C,거래처!B197,주문_리스트!I:I)</f>
        <v>0</v>
      </c>
    </row>
    <row r="198" spans="9:9">
      <c r="I198" s="64">
        <f>SUMIF(주문_리스트!C:C,거래처!B198,주문_리스트!J:J)+SUMIF(주문_리스트!C:C,거래처!B198,주문_리스트!I:I)</f>
        <v>0</v>
      </c>
    </row>
    <row r="199" spans="9:9">
      <c r="I199" s="64">
        <f>SUMIF(주문_리스트!C:C,거래처!B199,주문_리스트!J:J)+SUMIF(주문_리스트!C:C,거래처!B199,주문_리스트!I:I)</f>
        <v>0</v>
      </c>
    </row>
    <row r="200" spans="9:9">
      <c r="I200" s="64">
        <f>SUMIF(주문_리스트!C:C,거래처!B200,주문_리스트!J:J)+SUMIF(주문_리스트!C:C,거래처!B200,주문_리스트!I:I)</f>
        <v>0</v>
      </c>
    </row>
    <row r="201" spans="9:9">
      <c r="I201" s="64">
        <f>SUMIF(주문_리스트!C:C,거래처!B201,주문_리스트!J:J)+SUMIF(주문_리스트!C:C,거래처!B201,주문_리스트!I:I)</f>
        <v>0</v>
      </c>
    </row>
    <row r="202" spans="9:9">
      <c r="I202" s="64">
        <f>SUMIF(주문_리스트!C:C,거래처!B202,주문_리스트!J:J)+SUMIF(주문_리스트!C:C,거래처!B202,주문_리스트!I:I)</f>
        <v>0</v>
      </c>
    </row>
    <row r="203" spans="9:9">
      <c r="I203" s="64">
        <f>SUMIF(주문_리스트!C:C,거래처!B203,주문_리스트!J:J)+SUMIF(주문_리스트!C:C,거래처!B203,주문_리스트!I:I)</f>
        <v>0</v>
      </c>
    </row>
    <row r="204" spans="9:9">
      <c r="I204" s="64">
        <f>SUMIF(주문_리스트!C:C,거래처!B204,주문_리스트!J:J)+SUMIF(주문_리스트!C:C,거래처!B204,주문_리스트!I:I)</f>
        <v>0</v>
      </c>
    </row>
    <row r="205" spans="9:9">
      <c r="I205" s="64">
        <f>SUMIF(주문_리스트!C:C,거래처!B205,주문_리스트!J:J)+SUMIF(주문_리스트!C:C,거래처!B205,주문_리스트!I:I)</f>
        <v>0</v>
      </c>
    </row>
    <row r="206" spans="9:9">
      <c r="I206" s="64">
        <f>SUMIF(주문_리스트!C:C,거래처!B206,주문_리스트!J:J)+SUMIF(주문_리스트!C:C,거래처!B206,주문_리스트!I:I)</f>
        <v>0</v>
      </c>
    </row>
    <row r="207" spans="9:9">
      <c r="I207" s="64">
        <f>SUMIF(주문_리스트!C:C,거래처!B207,주문_리스트!J:J)+SUMIF(주문_리스트!C:C,거래처!B207,주문_리스트!I:I)</f>
        <v>0</v>
      </c>
    </row>
    <row r="208" spans="9:9">
      <c r="I208" s="64">
        <f>SUMIF(주문_리스트!C:C,거래처!B208,주문_리스트!J:J)+SUMIF(주문_리스트!C:C,거래처!B208,주문_리스트!I:I)</f>
        <v>0</v>
      </c>
    </row>
    <row r="209" spans="9:9">
      <c r="I209" s="64">
        <f>SUMIF(주문_리스트!C:C,거래처!B209,주문_리스트!J:J)+SUMIF(주문_리스트!C:C,거래처!B209,주문_리스트!I:I)</f>
        <v>0</v>
      </c>
    </row>
    <row r="210" spans="9:9">
      <c r="I210" s="64">
        <f>SUMIF(주문_리스트!C:C,거래처!B210,주문_리스트!J:J)+SUMIF(주문_리스트!C:C,거래처!B210,주문_리스트!I:I)</f>
        <v>0</v>
      </c>
    </row>
    <row r="211" spans="9:9">
      <c r="I211" s="64">
        <f>SUMIF(주문_리스트!C:C,거래처!B211,주문_리스트!J:J)+SUMIF(주문_리스트!C:C,거래처!B211,주문_리스트!I:I)</f>
        <v>0</v>
      </c>
    </row>
    <row r="212" spans="9:9">
      <c r="I212" s="64">
        <f>SUMIF(주문_리스트!C:C,거래처!B212,주문_리스트!J:J)+SUMIF(주문_리스트!C:C,거래처!B212,주문_리스트!I:I)</f>
        <v>0</v>
      </c>
    </row>
    <row r="213" spans="9:9">
      <c r="I213" s="64">
        <f>SUMIF(주문_리스트!C:C,거래처!B213,주문_리스트!J:J)+SUMIF(주문_리스트!C:C,거래처!B213,주문_리스트!I:I)</f>
        <v>0</v>
      </c>
    </row>
    <row r="214" spans="9:9">
      <c r="I214" s="64">
        <f>SUMIF(주문_리스트!C:C,거래처!B214,주문_리스트!J:J)+SUMIF(주문_리스트!C:C,거래처!B214,주문_리스트!I:I)</f>
        <v>0</v>
      </c>
    </row>
    <row r="215" spans="9:9">
      <c r="I215" s="64">
        <f>SUMIF(주문_리스트!C:C,거래처!B215,주문_리스트!J:J)+SUMIF(주문_리스트!C:C,거래처!B215,주문_리스트!I:I)</f>
        <v>0</v>
      </c>
    </row>
    <row r="216" spans="9:9">
      <c r="I216" s="64">
        <f>SUMIF(주문_리스트!C:C,거래처!B216,주문_리스트!J:J)+SUMIF(주문_리스트!C:C,거래처!B216,주문_리스트!I:I)</f>
        <v>0</v>
      </c>
    </row>
    <row r="217" spans="9:9">
      <c r="I217" s="64">
        <f>SUMIF(주문_리스트!C:C,거래처!B217,주문_리스트!J:J)+SUMIF(주문_리스트!C:C,거래처!B217,주문_리스트!I:I)</f>
        <v>0</v>
      </c>
    </row>
    <row r="218" spans="9:9">
      <c r="I218" s="64">
        <f>SUMIF(주문_리스트!C:C,거래처!B218,주문_리스트!J:J)+SUMIF(주문_리스트!C:C,거래처!B218,주문_리스트!I:I)</f>
        <v>0</v>
      </c>
    </row>
    <row r="219" spans="9:9">
      <c r="I219" s="64">
        <f>SUMIF(주문_리스트!C:C,거래처!B219,주문_리스트!J:J)+SUMIF(주문_리스트!C:C,거래처!B219,주문_리스트!I:I)</f>
        <v>0</v>
      </c>
    </row>
    <row r="220" spans="9:9">
      <c r="I220" s="64">
        <f>SUMIF(주문_리스트!C:C,거래처!B220,주문_리스트!J:J)+SUMIF(주문_리스트!C:C,거래처!B220,주문_리스트!I:I)</f>
        <v>0</v>
      </c>
    </row>
    <row r="221" spans="9:9">
      <c r="I221" s="64">
        <f>SUMIF(주문_리스트!C:C,거래처!B221,주문_리스트!J:J)+SUMIF(주문_리스트!C:C,거래처!B221,주문_리스트!I:I)</f>
        <v>0</v>
      </c>
    </row>
    <row r="222" spans="9:9">
      <c r="I222" s="64">
        <f>SUMIF(주문_리스트!C:C,거래처!B222,주문_리스트!J:J)+SUMIF(주문_리스트!C:C,거래처!B222,주문_리스트!I:I)</f>
        <v>0</v>
      </c>
    </row>
    <row r="223" spans="9:9">
      <c r="I223" s="64">
        <f>SUMIF(주문_리스트!C:C,거래처!B223,주문_리스트!J:J)+SUMIF(주문_리스트!C:C,거래처!B223,주문_리스트!I:I)</f>
        <v>0</v>
      </c>
    </row>
    <row r="224" spans="9:9">
      <c r="I224" s="64">
        <f>SUMIF(주문_리스트!C:C,거래처!B224,주문_리스트!J:J)+SUMIF(주문_리스트!C:C,거래처!B224,주문_리스트!I:I)</f>
        <v>0</v>
      </c>
    </row>
    <row r="225" spans="9:9">
      <c r="I225" s="64">
        <f>SUMIF(주문_리스트!C:C,거래처!B225,주문_리스트!J:J)+SUMIF(주문_리스트!C:C,거래처!B225,주문_리스트!I:I)</f>
        <v>0</v>
      </c>
    </row>
    <row r="226" spans="9:9">
      <c r="I226" s="64">
        <f>SUMIF(주문_리스트!C:C,거래처!B226,주문_리스트!J:J)+SUMIF(주문_리스트!C:C,거래처!B226,주문_리스트!I:I)</f>
        <v>0</v>
      </c>
    </row>
    <row r="227" spans="9:9">
      <c r="I227" s="64">
        <f>SUMIF(주문_리스트!C:C,거래처!B227,주문_리스트!J:J)+SUMIF(주문_리스트!C:C,거래처!B227,주문_리스트!I:I)</f>
        <v>0</v>
      </c>
    </row>
    <row r="228" spans="9:9">
      <c r="I228" s="64">
        <f>SUMIF(주문_리스트!C:C,거래처!B228,주문_리스트!J:J)+SUMIF(주문_리스트!C:C,거래처!B228,주문_리스트!I:I)</f>
        <v>0</v>
      </c>
    </row>
  </sheetData>
  <autoFilter ref="A1:J228" xr:uid="{508475FB-B701-4E31-85ED-27AFC3218E22}">
    <sortState xmlns:xlrd2="http://schemas.microsoft.com/office/spreadsheetml/2017/richdata2" ref="A2:J228">
      <sortCondition ref="B1:B228"/>
    </sortState>
  </autoFilter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tabSelected="1" zoomScale="115" zoomScaleNormal="115" workbookViewId="0">
      <selection activeCell="L8" sqref="L8:P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57" t="s">
        <v>91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9"/>
    </row>
    <row r="2" spans="1:21">
      <c r="A2" s="263" t="s">
        <v>85</v>
      </c>
      <c r="B2" s="204"/>
      <c r="C2" s="260" t="s">
        <v>1406</v>
      </c>
      <c r="D2" s="261"/>
      <c r="E2" s="261"/>
      <c r="F2" s="261"/>
      <c r="G2" s="262"/>
      <c r="H2" s="260" t="s">
        <v>97</v>
      </c>
      <c r="I2" s="261"/>
      <c r="J2" s="261"/>
      <c r="K2" s="261"/>
      <c r="L2" s="261"/>
      <c r="M2" s="261"/>
      <c r="N2" s="261"/>
      <c r="O2" s="262"/>
      <c r="P2" s="202" t="s">
        <v>83</v>
      </c>
      <c r="Q2" s="203"/>
      <c r="R2" s="203"/>
      <c r="S2" s="204"/>
      <c r="T2" s="197">
        <f>주문!C5</f>
        <v>45726</v>
      </c>
      <c r="U2" s="198"/>
    </row>
    <row r="3" spans="1:21" ht="24" customHeight="1">
      <c r="A3" s="235" t="s">
        <v>1442</v>
      </c>
      <c r="B3" s="48" t="s">
        <v>79</v>
      </c>
      <c r="C3" s="238" t="str">
        <f>주문!C6</f>
        <v>미르오토</v>
      </c>
      <c r="D3" s="239"/>
      <c r="E3" s="239"/>
      <c r="F3" s="239"/>
      <c r="G3" s="239"/>
      <c r="H3" s="239"/>
      <c r="I3" s="239"/>
      <c r="J3" s="240"/>
      <c r="K3" s="229" t="s">
        <v>1443</v>
      </c>
      <c r="L3" s="48" t="s">
        <v>79</v>
      </c>
      <c r="M3" s="232" t="s">
        <v>989</v>
      </c>
      <c r="N3" s="233"/>
      <c r="O3" s="233"/>
      <c r="P3" s="233"/>
      <c r="Q3" s="233"/>
      <c r="R3" s="233"/>
      <c r="S3" s="233"/>
      <c r="T3" s="233"/>
      <c r="U3" s="234"/>
    </row>
    <row r="4" spans="1:21" ht="24.95" customHeight="1">
      <c r="A4" s="236"/>
      <c r="B4" s="48" t="s">
        <v>81</v>
      </c>
      <c r="C4" s="199" t="str">
        <f>주문!C7</f>
        <v>177-01-03420</v>
      </c>
      <c r="D4" s="200"/>
      <c r="E4" s="200"/>
      <c r="F4" s="200"/>
      <c r="G4" s="200"/>
      <c r="H4" s="200"/>
      <c r="I4" s="200"/>
      <c r="J4" s="201"/>
      <c r="K4" s="230"/>
      <c r="L4" s="48" t="s">
        <v>81</v>
      </c>
      <c r="M4" s="193" t="s">
        <v>987</v>
      </c>
      <c r="N4" s="194"/>
      <c r="O4" s="194"/>
      <c r="P4" s="194"/>
      <c r="Q4" s="194"/>
      <c r="R4" s="195"/>
      <c r="S4" s="49" t="s">
        <v>82</v>
      </c>
      <c r="T4" s="241" t="s">
        <v>94</v>
      </c>
      <c r="U4" s="242"/>
    </row>
    <row r="5" spans="1:21" ht="15.75" customHeight="1">
      <c r="A5" s="236"/>
      <c r="B5" s="49" t="s">
        <v>80</v>
      </c>
      <c r="C5" s="193" t="str">
        <f>주문!C8</f>
        <v>대구 서구 가르뱅이로10길 3-5</v>
      </c>
      <c r="D5" s="194"/>
      <c r="E5" s="194"/>
      <c r="F5" s="194"/>
      <c r="G5" s="194"/>
      <c r="H5" s="194"/>
      <c r="I5" s="194"/>
      <c r="J5" s="195"/>
      <c r="K5" s="230"/>
      <c r="L5" s="49" t="s">
        <v>80</v>
      </c>
      <c r="M5" s="193" t="s">
        <v>95</v>
      </c>
      <c r="N5" s="194"/>
      <c r="O5" s="194"/>
      <c r="P5" s="194"/>
      <c r="Q5" s="194"/>
      <c r="R5" s="194"/>
      <c r="S5" s="194"/>
      <c r="T5" s="194"/>
      <c r="U5" s="196"/>
    </row>
    <row r="6" spans="1:21" ht="15.75" customHeight="1">
      <c r="A6" s="237"/>
      <c r="B6" s="49" t="s">
        <v>96</v>
      </c>
      <c r="C6" s="193" t="str">
        <f>주문!C9</f>
        <v>010-6859-2065</v>
      </c>
      <c r="D6" s="194"/>
      <c r="E6" s="194"/>
      <c r="F6" s="194"/>
      <c r="G6" s="194"/>
      <c r="H6" s="194"/>
      <c r="I6" s="194"/>
      <c r="J6" s="195"/>
      <c r="K6" s="231"/>
      <c r="L6" s="49" t="s">
        <v>96</v>
      </c>
      <c r="M6" s="193" t="s">
        <v>86</v>
      </c>
      <c r="N6" s="194"/>
      <c r="O6" s="194"/>
      <c r="P6" s="194"/>
      <c r="Q6" s="194"/>
      <c r="R6" s="195"/>
      <c r="S6" s="49" t="s">
        <v>29</v>
      </c>
      <c r="T6" s="193" t="str">
        <f>주문!C10</f>
        <v>대구</v>
      </c>
      <c r="U6" s="196"/>
    </row>
    <row r="7" spans="1:21" ht="15.75" customHeight="1">
      <c r="A7" s="172" t="s">
        <v>90</v>
      </c>
      <c r="B7" s="173"/>
      <c r="C7" s="173"/>
      <c r="D7" s="173"/>
      <c r="E7" s="190"/>
      <c r="F7" s="189" t="s">
        <v>99</v>
      </c>
      <c r="G7" s="173"/>
      <c r="H7" s="173"/>
      <c r="I7" s="190"/>
      <c r="J7" s="189" t="s">
        <v>87</v>
      </c>
      <c r="K7" s="190"/>
      <c r="L7" s="189" t="s">
        <v>53</v>
      </c>
      <c r="M7" s="173"/>
      <c r="N7" s="173"/>
      <c r="O7" s="173"/>
      <c r="P7" s="190"/>
      <c r="Q7" s="189" t="s">
        <v>88</v>
      </c>
      <c r="R7" s="173"/>
      <c r="S7" s="190"/>
      <c r="T7" s="189" t="s">
        <v>89</v>
      </c>
      <c r="U7" s="213"/>
    </row>
    <row r="8" spans="1:21" ht="15" customHeight="1">
      <c r="A8" s="243">
        <f>주문!D16</f>
        <v>0</v>
      </c>
      <c r="B8" s="244"/>
      <c r="C8" s="244"/>
      <c r="D8" s="244"/>
      <c r="E8" s="245"/>
      <c r="F8" s="246">
        <f>주문!E16</f>
        <v>0</v>
      </c>
      <c r="G8" s="244"/>
      <c r="H8" s="244"/>
      <c r="I8" s="245"/>
      <c r="J8" s="246">
        <f>주문!G16</f>
        <v>0</v>
      </c>
      <c r="K8" s="245"/>
      <c r="L8" s="215">
        <f>주문!F16</f>
        <v>0</v>
      </c>
      <c r="M8" s="216"/>
      <c r="N8" s="216"/>
      <c r="O8" s="216"/>
      <c r="P8" s="217"/>
      <c r="Q8" s="215">
        <f>주문!J16</f>
        <v>0</v>
      </c>
      <c r="R8" s="216"/>
      <c r="S8" s="217"/>
      <c r="T8" s="218">
        <f>주문!I16</f>
        <v>0</v>
      </c>
      <c r="U8" s="219"/>
    </row>
    <row r="9" spans="1:21" ht="15" customHeight="1">
      <c r="A9" s="220">
        <f>주문!D17</f>
        <v>0</v>
      </c>
      <c r="B9" s="221"/>
      <c r="C9" s="221"/>
      <c r="D9" s="221"/>
      <c r="E9" s="222"/>
      <c r="F9" s="223">
        <f>주문!E17</f>
        <v>0</v>
      </c>
      <c r="G9" s="221"/>
      <c r="H9" s="221"/>
      <c r="I9" s="222"/>
      <c r="J9" s="223">
        <f>주문!G17</f>
        <v>0</v>
      </c>
      <c r="K9" s="222"/>
      <c r="L9" s="224">
        <f>주문!F17</f>
        <v>0</v>
      </c>
      <c r="M9" s="225"/>
      <c r="N9" s="225"/>
      <c r="O9" s="225"/>
      <c r="P9" s="226"/>
      <c r="Q9" s="224">
        <f>주문!J17</f>
        <v>0</v>
      </c>
      <c r="R9" s="225"/>
      <c r="S9" s="226"/>
      <c r="T9" s="227">
        <f>주문!I17</f>
        <v>0</v>
      </c>
      <c r="U9" s="228"/>
    </row>
    <row r="10" spans="1:21" ht="15" customHeight="1">
      <c r="A10" s="220">
        <f>주문!D18</f>
        <v>0</v>
      </c>
      <c r="B10" s="221"/>
      <c r="C10" s="221"/>
      <c r="D10" s="221"/>
      <c r="E10" s="222"/>
      <c r="F10" s="223">
        <f>주문!E18</f>
        <v>0</v>
      </c>
      <c r="G10" s="221"/>
      <c r="H10" s="221"/>
      <c r="I10" s="222"/>
      <c r="J10" s="223">
        <f>주문!G18</f>
        <v>0</v>
      </c>
      <c r="K10" s="222"/>
      <c r="L10" s="224">
        <f>주문!F18</f>
        <v>0</v>
      </c>
      <c r="M10" s="225"/>
      <c r="N10" s="225"/>
      <c r="O10" s="225"/>
      <c r="P10" s="226"/>
      <c r="Q10" s="224">
        <f>주문!J18</f>
        <v>0</v>
      </c>
      <c r="R10" s="225"/>
      <c r="S10" s="226"/>
      <c r="T10" s="227">
        <f>주문!I18</f>
        <v>0</v>
      </c>
      <c r="U10" s="228"/>
    </row>
    <row r="11" spans="1:21" ht="15" customHeight="1">
      <c r="A11" s="220">
        <f>주문!D19</f>
        <v>0</v>
      </c>
      <c r="B11" s="221"/>
      <c r="C11" s="221"/>
      <c r="D11" s="221"/>
      <c r="E11" s="222"/>
      <c r="F11" s="223">
        <f>주문!E19</f>
        <v>0</v>
      </c>
      <c r="G11" s="221"/>
      <c r="H11" s="221"/>
      <c r="I11" s="222"/>
      <c r="J11" s="223">
        <f>주문!G19</f>
        <v>0</v>
      </c>
      <c r="K11" s="222"/>
      <c r="L11" s="224">
        <f>주문!F19</f>
        <v>0</v>
      </c>
      <c r="M11" s="225"/>
      <c r="N11" s="225"/>
      <c r="O11" s="225"/>
      <c r="P11" s="226"/>
      <c r="Q11" s="224">
        <f>주문!J19</f>
        <v>0</v>
      </c>
      <c r="R11" s="225"/>
      <c r="S11" s="226"/>
      <c r="T11" s="227">
        <f>주문!I19</f>
        <v>0</v>
      </c>
      <c r="U11" s="228"/>
    </row>
    <row r="12" spans="1:21" ht="15" customHeight="1">
      <c r="A12" s="220">
        <f>주문!D20</f>
        <v>0</v>
      </c>
      <c r="B12" s="221"/>
      <c r="C12" s="221"/>
      <c r="D12" s="221"/>
      <c r="E12" s="222"/>
      <c r="F12" s="223">
        <f>주문!E20</f>
        <v>0</v>
      </c>
      <c r="G12" s="221"/>
      <c r="H12" s="221"/>
      <c r="I12" s="222"/>
      <c r="J12" s="223">
        <f>주문!G20</f>
        <v>0</v>
      </c>
      <c r="K12" s="222"/>
      <c r="L12" s="224">
        <f>주문!F20</f>
        <v>0</v>
      </c>
      <c r="M12" s="225"/>
      <c r="N12" s="225"/>
      <c r="O12" s="225"/>
      <c r="P12" s="226"/>
      <c r="Q12" s="224">
        <f>주문!J20</f>
        <v>0</v>
      </c>
      <c r="R12" s="225"/>
      <c r="S12" s="226"/>
      <c r="T12" s="227">
        <f>주문!I20</f>
        <v>0</v>
      </c>
      <c r="U12" s="228"/>
    </row>
    <row r="13" spans="1:21" ht="15" customHeight="1">
      <c r="A13" s="220">
        <f>주문!D21</f>
        <v>0</v>
      </c>
      <c r="B13" s="221"/>
      <c r="C13" s="221"/>
      <c r="D13" s="221"/>
      <c r="E13" s="222"/>
      <c r="F13" s="223">
        <f>주문!E21</f>
        <v>0</v>
      </c>
      <c r="G13" s="221"/>
      <c r="H13" s="221"/>
      <c r="I13" s="222"/>
      <c r="J13" s="223">
        <f>주문!G21</f>
        <v>0</v>
      </c>
      <c r="K13" s="222"/>
      <c r="L13" s="224">
        <f>주문!F21</f>
        <v>0</v>
      </c>
      <c r="M13" s="225"/>
      <c r="N13" s="225"/>
      <c r="O13" s="225"/>
      <c r="P13" s="226"/>
      <c r="Q13" s="224">
        <f>주문!J21</f>
        <v>0</v>
      </c>
      <c r="R13" s="225"/>
      <c r="S13" s="226"/>
      <c r="T13" s="227">
        <f>주문!I21</f>
        <v>0</v>
      </c>
      <c r="U13" s="228"/>
    </row>
    <row r="14" spans="1:21" ht="15" customHeight="1">
      <c r="A14" s="220">
        <f>주문!D22</f>
        <v>0</v>
      </c>
      <c r="B14" s="221"/>
      <c r="C14" s="221"/>
      <c r="D14" s="221"/>
      <c r="E14" s="222"/>
      <c r="F14" s="223">
        <f>주문!E22</f>
        <v>0</v>
      </c>
      <c r="G14" s="221"/>
      <c r="H14" s="221"/>
      <c r="I14" s="222"/>
      <c r="J14" s="223">
        <f>주문!G22</f>
        <v>0</v>
      </c>
      <c r="K14" s="222"/>
      <c r="L14" s="224">
        <f>주문!F22</f>
        <v>0</v>
      </c>
      <c r="M14" s="225"/>
      <c r="N14" s="225"/>
      <c r="O14" s="225"/>
      <c r="P14" s="226"/>
      <c r="Q14" s="224">
        <f>주문!J22</f>
        <v>0</v>
      </c>
      <c r="R14" s="225"/>
      <c r="S14" s="226"/>
      <c r="T14" s="227">
        <f>주문!I22</f>
        <v>0</v>
      </c>
      <c r="U14" s="228"/>
    </row>
    <row r="15" spans="1:21" ht="15" customHeight="1">
      <c r="A15" s="220">
        <f>주문!D23</f>
        <v>0</v>
      </c>
      <c r="B15" s="221"/>
      <c r="C15" s="221"/>
      <c r="D15" s="221"/>
      <c r="E15" s="222"/>
      <c r="F15" s="223">
        <f>주문!E23</f>
        <v>0</v>
      </c>
      <c r="G15" s="221"/>
      <c r="H15" s="221"/>
      <c r="I15" s="222"/>
      <c r="J15" s="223">
        <f>주문!G23</f>
        <v>0</v>
      </c>
      <c r="K15" s="222"/>
      <c r="L15" s="224">
        <f>주문!F23</f>
        <v>0</v>
      </c>
      <c r="M15" s="225"/>
      <c r="N15" s="225"/>
      <c r="O15" s="225"/>
      <c r="P15" s="226"/>
      <c r="Q15" s="224">
        <f>주문!J23</f>
        <v>0</v>
      </c>
      <c r="R15" s="225"/>
      <c r="S15" s="226"/>
      <c r="T15" s="227">
        <f>주문!I23</f>
        <v>0</v>
      </c>
      <c r="U15" s="228"/>
    </row>
    <row r="16" spans="1:21" ht="15" customHeight="1">
      <c r="A16" s="220">
        <f>주문!D24</f>
        <v>0</v>
      </c>
      <c r="B16" s="221"/>
      <c r="C16" s="221"/>
      <c r="D16" s="221"/>
      <c r="E16" s="222"/>
      <c r="F16" s="223">
        <f>주문!E24</f>
        <v>0</v>
      </c>
      <c r="G16" s="221"/>
      <c r="H16" s="221"/>
      <c r="I16" s="222"/>
      <c r="J16" s="223">
        <f>주문!G24</f>
        <v>0</v>
      </c>
      <c r="K16" s="222"/>
      <c r="L16" s="224">
        <f>주문!F24</f>
        <v>0</v>
      </c>
      <c r="M16" s="225"/>
      <c r="N16" s="225"/>
      <c r="O16" s="225"/>
      <c r="P16" s="226"/>
      <c r="Q16" s="224">
        <f>주문!J24</f>
        <v>0</v>
      </c>
      <c r="R16" s="225"/>
      <c r="S16" s="226"/>
      <c r="T16" s="227">
        <f>주문!I24</f>
        <v>0</v>
      </c>
      <c r="U16" s="228"/>
    </row>
    <row r="17" spans="1:21" ht="15" customHeight="1">
      <c r="A17" s="220">
        <f>주문!D25</f>
        <v>0</v>
      </c>
      <c r="B17" s="221"/>
      <c r="C17" s="221"/>
      <c r="D17" s="221"/>
      <c r="E17" s="222"/>
      <c r="F17" s="223">
        <f>주문!E25</f>
        <v>0</v>
      </c>
      <c r="G17" s="221"/>
      <c r="H17" s="221"/>
      <c r="I17" s="222"/>
      <c r="J17" s="223">
        <f>주문!G25</f>
        <v>0</v>
      </c>
      <c r="K17" s="222"/>
      <c r="L17" s="224">
        <f>주문!F25</f>
        <v>0</v>
      </c>
      <c r="M17" s="225"/>
      <c r="N17" s="225"/>
      <c r="O17" s="225"/>
      <c r="P17" s="226"/>
      <c r="Q17" s="224">
        <f>주문!J25</f>
        <v>0</v>
      </c>
      <c r="R17" s="225"/>
      <c r="S17" s="226"/>
      <c r="T17" s="227">
        <f>주문!I25</f>
        <v>0</v>
      </c>
      <c r="U17" s="228"/>
    </row>
    <row r="18" spans="1:21" ht="15" customHeight="1">
      <c r="A18" s="220">
        <f>주문!D26</f>
        <v>0</v>
      </c>
      <c r="B18" s="221"/>
      <c r="C18" s="221"/>
      <c r="D18" s="221"/>
      <c r="E18" s="222"/>
      <c r="F18" s="223">
        <f>주문!E26</f>
        <v>0</v>
      </c>
      <c r="G18" s="221"/>
      <c r="H18" s="221"/>
      <c r="I18" s="222"/>
      <c r="J18" s="223">
        <f>주문!G26</f>
        <v>0</v>
      </c>
      <c r="K18" s="222"/>
      <c r="L18" s="224">
        <f>주문!F26</f>
        <v>0</v>
      </c>
      <c r="M18" s="225"/>
      <c r="N18" s="225"/>
      <c r="O18" s="225"/>
      <c r="P18" s="226"/>
      <c r="Q18" s="224">
        <f>주문!J26</f>
        <v>0</v>
      </c>
      <c r="R18" s="225"/>
      <c r="S18" s="226"/>
      <c r="T18" s="227">
        <f>주문!I26</f>
        <v>0</v>
      </c>
      <c r="U18" s="228"/>
    </row>
    <row r="19" spans="1:21" ht="15" customHeight="1">
      <c r="A19" s="270">
        <f>주문!D27</f>
        <v>0</v>
      </c>
      <c r="B19" s="271"/>
      <c r="C19" s="271"/>
      <c r="D19" s="271"/>
      <c r="E19" s="267"/>
      <c r="F19" s="266">
        <f>주문!E27</f>
        <v>0</v>
      </c>
      <c r="G19" s="271"/>
      <c r="H19" s="271"/>
      <c r="I19" s="267"/>
      <c r="J19" s="266">
        <f>주문!G27</f>
        <v>0</v>
      </c>
      <c r="K19" s="267"/>
      <c r="L19" s="205">
        <f>주문!F27</f>
        <v>0</v>
      </c>
      <c r="M19" s="206"/>
      <c r="N19" s="206"/>
      <c r="O19" s="206"/>
      <c r="P19" s="207"/>
      <c r="Q19" s="205">
        <f>주문!J27</f>
        <v>0</v>
      </c>
      <c r="R19" s="206"/>
      <c r="S19" s="207"/>
      <c r="T19" s="268">
        <f>주문!I27</f>
        <v>0</v>
      </c>
      <c r="U19" s="269"/>
    </row>
    <row r="20" spans="1:21">
      <c r="A20" s="172" t="s">
        <v>102</v>
      </c>
      <c r="B20" s="173"/>
      <c r="C20" s="173"/>
      <c r="D20" s="173"/>
      <c r="E20" s="173"/>
      <c r="F20" s="174">
        <f>주문!K5</f>
        <v>7222000</v>
      </c>
      <c r="G20" s="174"/>
      <c r="H20" s="174"/>
      <c r="I20" s="175"/>
      <c r="J20" s="214">
        <f>SUM(J8:K19)</f>
        <v>0</v>
      </c>
      <c r="K20" s="214"/>
      <c r="L20" s="176" t="s">
        <v>984</v>
      </c>
      <c r="M20" s="177"/>
      <c r="N20" s="177"/>
      <c r="O20" s="177"/>
      <c r="P20" s="178"/>
      <c r="Q20" s="211">
        <f>주문!K4</f>
        <v>0</v>
      </c>
      <c r="R20" s="174"/>
      <c r="S20" s="174"/>
      <c r="T20" s="174"/>
      <c r="U20" s="212"/>
    </row>
    <row r="21" spans="1:21" ht="17.25" thickBot="1">
      <c r="A21" s="208" t="s">
        <v>115</v>
      </c>
      <c r="B21" s="183"/>
      <c r="C21" s="183"/>
      <c r="D21" s="183"/>
      <c r="E21" s="183"/>
      <c r="F21" s="209">
        <f>주문!K6</f>
        <v>7222000</v>
      </c>
      <c r="G21" s="209"/>
      <c r="H21" s="209"/>
      <c r="I21" s="210"/>
      <c r="J21" s="182" t="s">
        <v>990</v>
      </c>
      <c r="K21" s="183"/>
      <c r="L21" s="184" t="str">
        <f>T4</f>
        <v>장효주</v>
      </c>
      <c r="M21" s="184"/>
      <c r="N21" s="184"/>
      <c r="O21" s="182" t="s">
        <v>84</v>
      </c>
      <c r="P21" s="188"/>
      <c r="Q21" s="185" t="str">
        <f>C3</f>
        <v>미르오토</v>
      </c>
      <c r="R21" s="186"/>
      <c r="S21" s="186"/>
      <c r="T21" s="186"/>
      <c r="U21" s="187"/>
    </row>
    <row r="22" spans="1:21" ht="9" customHeight="1">
      <c r="A22" s="264"/>
      <c r="B22" s="264"/>
      <c r="C22" s="264"/>
      <c r="D22" s="264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264"/>
      <c r="Q22" s="264"/>
      <c r="R22" s="264"/>
      <c r="S22" s="264"/>
      <c r="T22" s="264"/>
      <c r="U22" s="264"/>
    </row>
    <row r="23" spans="1:21" ht="11.25" customHeight="1" thickBot="1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</row>
    <row r="24" spans="1:21" ht="24" customHeight="1" thickBot="1">
      <c r="A24" s="257" t="s">
        <v>91</v>
      </c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9"/>
    </row>
    <row r="25" spans="1:21">
      <c r="A25" s="263" t="s">
        <v>85</v>
      </c>
      <c r="B25" s="204"/>
      <c r="C25" s="260" t="str">
        <f>C2</f>
        <v>농협 3520106511413</v>
      </c>
      <c r="D25" s="261"/>
      <c r="E25" s="261"/>
      <c r="F25" s="261"/>
      <c r="G25" s="262"/>
      <c r="H25" s="260" t="s">
        <v>98</v>
      </c>
      <c r="I25" s="261"/>
      <c r="J25" s="261"/>
      <c r="K25" s="261"/>
      <c r="L25" s="261"/>
      <c r="M25" s="261"/>
      <c r="N25" s="261"/>
      <c r="O25" s="262"/>
      <c r="P25" s="202" t="s">
        <v>83</v>
      </c>
      <c r="Q25" s="203"/>
      <c r="R25" s="203"/>
      <c r="S25" s="204"/>
      <c r="T25" s="197">
        <f>T2</f>
        <v>45726</v>
      </c>
      <c r="U25" s="198"/>
    </row>
    <row r="26" spans="1:21" ht="27" customHeight="1">
      <c r="A26" s="235" t="s">
        <v>1442</v>
      </c>
      <c r="B26" s="48" t="s">
        <v>79</v>
      </c>
      <c r="C26" s="238" t="str">
        <f>C3</f>
        <v>미르오토</v>
      </c>
      <c r="D26" s="239"/>
      <c r="E26" s="239"/>
      <c r="F26" s="239"/>
      <c r="G26" s="239"/>
      <c r="H26" s="239"/>
      <c r="I26" s="239"/>
      <c r="J26" s="240"/>
      <c r="K26" s="229" t="s">
        <v>1443</v>
      </c>
      <c r="L26" s="48" t="s">
        <v>79</v>
      </c>
      <c r="M26" s="232" t="str">
        <f>M3</f>
        <v>BTS&amp;P</v>
      </c>
      <c r="N26" s="233"/>
      <c r="O26" s="233"/>
      <c r="P26" s="233"/>
      <c r="Q26" s="233"/>
      <c r="R26" s="233"/>
      <c r="S26" s="233"/>
      <c r="T26" s="233"/>
      <c r="U26" s="234"/>
    </row>
    <row r="27" spans="1:21" ht="24.95" customHeight="1">
      <c r="A27" s="236"/>
      <c r="B27" s="48" t="s">
        <v>81</v>
      </c>
      <c r="C27" s="199" t="str">
        <f>C4</f>
        <v>177-01-03420</v>
      </c>
      <c r="D27" s="200"/>
      <c r="E27" s="200"/>
      <c r="F27" s="200"/>
      <c r="G27" s="200"/>
      <c r="H27" s="200"/>
      <c r="I27" s="200"/>
      <c r="J27" s="201"/>
      <c r="K27" s="230"/>
      <c r="L27" s="48" t="s">
        <v>81</v>
      </c>
      <c r="M27" s="193" t="str">
        <f>M4</f>
        <v>259-12-01768</v>
      </c>
      <c r="N27" s="194"/>
      <c r="O27" s="194"/>
      <c r="P27" s="194"/>
      <c r="Q27" s="194"/>
      <c r="R27" s="195"/>
      <c r="S27" s="49" t="s">
        <v>82</v>
      </c>
      <c r="T27" s="241" t="str">
        <f>T4</f>
        <v>장효주</v>
      </c>
      <c r="U27" s="242"/>
    </row>
    <row r="28" spans="1:21" ht="15.75" customHeight="1">
      <c r="A28" s="236"/>
      <c r="B28" s="49" t="s">
        <v>10</v>
      </c>
      <c r="C28" s="193" t="str">
        <f>C5</f>
        <v>대구 서구 가르뱅이로10길 3-5</v>
      </c>
      <c r="D28" s="194"/>
      <c r="E28" s="194"/>
      <c r="F28" s="194"/>
      <c r="G28" s="194"/>
      <c r="H28" s="194"/>
      <c r="I28" s="194"/>
      <c r="J28" s="195"/>
      <c r="K28" s="230"/>
      <c r="L28" s="49" t="s">
        <v>10</v>
      </c>
      <c r="M28" s="193" t="str">
        <f>M5</f>
        <v>대구 달서구 용산로 28(본리동)</v>
      </c>
      <c r="N28" s="194"/>
      <c r="O28" s="194"/>
      <c r="P28" s="194"/>
      <c r="Q28" s="194"/>
      <c r="R28" s="194"/>
      <c r="S28" s="194"/>
      <c r="T28" s="194"/>
      <c r="U28" s="196"/>
    </row>
    <row r="29" spans="1:21" ht="15.75" customHeight="1">
      <c r="A29" s="237"/>
      <c r="B29" s="49" t="s">
        <v>96</v>
      </c>
      <c r="C29" s="193" t="str">
        <f>C6</f>
        <v>010-6859-2065</v>
      </c>
      <c r="D29" s="194"/>
      <c r="E29" s="194"/>
      <c r="F29" s="194"/>
      <c r="G29" s="194"/>
      <c r="H29" s="194"/>
      <c r="I29" s="194"/>
      <c r="J29" s="195"/>
      <c r="K29" s="231"/>
      <c r="L29" s="49" t="s">
        <v>96</v>
      </c>
      <c r="M29" s="193" t="str">
        <f>M6</f>
        <v>010-5168-3542</v>
      </c>
      <c r="N29" s="194"/>
      <c r="O29" s="194"/>
      <c r="P29" s="194"/>
      <c r="Q29" s="194"/>
      <c r="R29" s="195"/>
      <c r="S29" s="49" t="s">
        <v>29</v>
      </c>
      <c r="T29" s="193" t="str">
        <f>T6</f>
        <v>대구</v>
      </c>
      <c r="U29" s="196"/>
    </row>
    <row r="30" spans="1:21" ht="15.75" customHeight="1">
      <c r="A30" s="172" t="s">
        <v>90</v>
      </c>
      <c r="B30" s="173"/>
      <c r="C30" s="173"/>
      <c r="D30" s="173"/>
      <c r="E30" s="190"/>
      <c r="F30" s="189" t="s">
        <v>55</v>
      </c>
      <c r="G30" s="173"/>
      <c r="H30" s="173"/>
      <c r="I30" s="190"/>
      <c r="J30" s="189" t="s">
        <v>87</v>
      </c>
      <c r="K30" s="190"/>
      <c r="L30" s="189" t="s">
        <v>53</v>
      </c>
      <c r="M30" s="173"/>
      <c r="N30" s="173"/>
      <c r="O30" s="173"/>
      <c r="P30" s="190"/>
      <c r="Q30" s="189" t="s">
        <v>88</v>
      </c>
      <c r="R30" s="173"/>
      <c r="S30" s="190"/>
      <c r="T30" s="189" t="s">
        <v>89</v>
      </c>
      <c r="U30" s="213"/>
    </row>
    <row r="31" spans="1:21" ht="15" customHeight="1">
      <c r="A31" s="252">
        <f>A8</f>
        <v>0</v>
      </c>
      <c r="B31" s="250"/>
      <c r="C31" s="250"/>
      <c r="D31" s="250"/>
      <c r="E31" s="250"/>
      <c r="F31" s="250">
        <f>F8</f>
        <v>0</v>
      </c>
      <c r="G31" s="250"/>
      <c r="H31" s="250"/>
      <c r="I31" s="250"/>
      <c r="J31" s="250">
        <f>J8</f>
        <v>0</v>
      </c>
      <c r="K31" s="250"/>
      <c r="L31" s="191">
        <f>L8</f>
        <v>0</v>
      </c>
      <c r="M31" s="191"/>
      <c r="N31" s="191"/>
      <c r="O31" s="191"/>
      <c r="P31" s="191"/>
      <c r="Q31" s="191">
        <f>Q8</f>
        <v>0</v>
      </c>
      <c r="R31" s="191"/>
      <c r="S31" s="191"/>
      <c r="T31" s="250">
        <f>T8</f>
        <v>0</v>
      </c>
      <c r="U31" s="251"/>
    </row>
    <row r="32" spans="1:21" ht="15" customHeight="1">
      <c r="A32" s="249">
        <f t="shared" ref="A32:A42" si="0">A9</f>
        <v>0</v>
      </c>
      <c r="B32" s="247"/>
      <c r="C32" s="247"/>
      <c r="D32" s="247"/>
      <c r="E32" s="247"/>
      <c r="F32" s="247">
        <f t="shared" ref="F32:F42" si="1">F9</f>
        <v>0</v>
      </c>
      <c r="G32" s="247"/>
      <c r="H32" s="247"/>
      <c r="I32" s="247"/>
      <c r="J32" s="247">
        <f t="shared" ref="J32:J42" si="2">J9</f>
        <v>0</v>
      </c>
      <c r="K32" s="247"/>
      <c r="L32" s="192">
        <f t="shared" ref="L32:L42" si="3">L9</f>
        <v>0</v>
      </c>
      <c r="M32" s="192"/>
      <c r="N32" s="192"/>
      <c r="O32" s="192"/>
      <c r="P32" s="192"/>
      <c r="Q32" s="192">
        <f t="shared" ref="Q32:Q42" si="4">Q9</f>
        <v>0</v>
      </c>
      <c r="R32" s="192"/>
      <c r="S32" s="192"/>
      <c r="T32" s="247">
        <f t="shared" ref="T32:T42" si="5">T9</f>
        <v>0</v>
      </c>
      <c r="U32" s="248"/>
    </row>
    <row r="33" spans="1:21" ht="15" customHeight="1">
      <c r="A33" s="249">
        <f t="shared" si="0"/>
        <v>0</v>
      </c>
      <c r="B33" s="247"/>
      <c r="C33" s="247"/>
      <c r="D33" s="247"/>
      <c r="E33" s="247"/>
      <c r="F33" s="247">
        <f t="shared" si="1"/>
        <v>0</v>
      </c>
      <c r="G33" s="247"/>
      <c r="H33" s="247"/>
      <c r="I33" s="247"/>
      <c r="J33" s="247">
        <f t="shared" si="2"/>
        <v>0</v>
      </c>
      <c r="K33" s="247"/>
      <c r="L33" s="192">
        <f t="shared" si="3"/>
        <v>0</v>
      </c>
      <c r="M33" s="192"/>
      <c r="N33" s="192"/>
      <c r="O33" s="192"/>
      <c r="P33" s="192"/>
      <c r="Q33" s="192">
        <f t="shared" si="4"/>
        <v>0</v>
      </c>
      <c r="R33" s="192"/>
      <c r="S33" s="192"/>
      <c r="T33" s="247">
        <f t="shared" si="5"/>
        <v>0</v>
      </c>
      <c r="U33" s="248"/>
    </row>
    <row r="34" spans="1:21" ht="15" customHeight="1">
      <c r="A34" s="249">
        <f t="shared" si="0"/>
        <v>0</v>
      </c>
      <c r="B34" s="247"/>
      <c r="C34" s="247"/>
      <c r="D34" s="247"/>
      <c r="E34" s="247"/>
      <c r="F34" s="247">
        <f t="shared" si="1"/>
        <v>0</v>
      </c>
      <c r="G34" s="247"/>
      <c r="H34" s="247"/>
      <c r="I34" s="247"/>
      <c r="J34" s="247">
        <f t="shared" si="2"/>
        <v>0</v>
      </c>
      <c r="K34" s="247"/>
      <c r="L34" s="192">
        <f t="shared" si="3"/>
        <v>0</v>
      </c>
      <c r="M34" s="192"/>
      <c r="N34" s="192"/>
      <c r="O34" s="192"/>
      <c r="P34" s="192"/>
      <c r="Q34" s="192">
        <f t="shared" si="4"/>
        <v>0</v>
      </c>
      <c r="R34" s="192"/>
      <c r="S34" s="192"/>
      <c r="T34" s="247">
        <f t="shared" si="5"/>
        <v>0</v>
      </c>
      <c r="U34" s="248"/>
    </row>
    <row r="35" spans="1:21" ht="15" customHeight="1">
      <c r="A35" s="249">
        <f t="shared" si="0"/>
        <v>0</v>
      </c>
      <c r="B35" s="247"/>
      <c r="C35" s="247"/>
      <c r="D35" s="247"/>
      <c r="E35" s="247"/>
      <c r="F35" s="247">
        <f t="shared" si="1"/>
        <v>0</v>
      </c>
      <c r="G35" s="247"/>
      <c r="H35" s="247"/>
      <c r="I35" s="247"/>
      <c r="J35" s="247">
        <f t="shared" si="2"/>
        <v>0</v>
      </c>
      <c r="K35" s="247"/>
      <c r="L35" s="192">
        <f t="shared" si="3"/>
        <v>0</v>
      </c>
      <c r="M35" s="192"/>
      <c r="N35" s="192"/>
      <c r="O35" s="192"/>
      <c r="P35" s="192"/>
      <c r="Q35" s="192">
        <f t="shared" si="4"/>
        <v>0</v>
      </c>
      <c r="R35" s="192"/>
      <c r="S35" s="192"/>
      <c r="T35" s="247">
        <f t="shared" si="5"/>
        <v>0</v>
      </c>
      <c r="U35" s="248"/>
    </row>
    <row r="36" spans="1:21" ht="15" customHeight="1">
      <c r="A36" s="249">
        <f t="shared" si="0"/>
        <v>0</v>
      </c>
      <c r="B36" s="247"/>
      <c r="C36" s="247"/>
      <c r="D36" s="247"/>
      <c r="E36" s="247"/>
      <c r="F36" s="247">
        <f t="shared" si="1"/>
        <v>0</v>
      </c>
      <c r="G36" s="247"/>
      <c r="H36" s="247"/>
      <c r="I36" s="247"/>
      <c r="J36" s="247">
        <f t="shared" si="2"/>
        <v>0</v>
      </c>
      <c r="K36" s="247"/>
      <c r="L36" s="192">
        <f t="shared" si="3"/>
        <v>0</v>
      </c>
      <c r="M36" s="192"/>
      <c r="N36" s="192"/>
      <c r="O36" s="192"/>
      <c r="P36" s="192"/>
      <c r="Q36" s="192">
        <f t="shared" si="4"/>
        <v>0</v>
      </c>
      <c r="R36" s="192"/>
      <c r="S36" s="192"/>
      <c r="T36" s="247">
        <f t="shared" si="5"/>
        <v>0</v>
      </c>
      <c r="U36" s="248"/>
    </row>
    <row r="37" spans="1:21" ht="15" customHeight="1">
      <c r="A37" s="249">
        <f t="shared" si="0"/>
        <v>0</v>
      </c>
      <c r="B37" s="247"/>
      <c r="C37" s="247"/>
      <c r="D37" s="247"/>
      <c r="E37" s="247"/>
      <c r="F37" s="247">
        <f t="shared" si="1"/>
        <v>0</v>
      </c>
      <c r="G37" s="247"/>
      <c r="H37" s="247"/>
      <c r="I37" s="247"/>
      <c r="J37" s="247">
        <f t="shared" si="2"/>
        <v>0</v>
      </c>
      <c r="K37" s="247"/>
      <c r="L37" s="192">
        <f t="shared" si="3"/>
        <v>0</v>
      </c>
      <c r="M37" s="192"/>
      <c r="N37" s="192"/>
      <c r="O37" s="192"/>
      <c r="P37" s="192"/>
      <c r="Q37" s="192">
        <f t="shared" si="4"/>
        <v>0</v>
      </c>
      <c r="R37" s="192"/>
      <c r="S37" s="192"/>
      <c r="T37" s="247">
        <f t="shared" si="5"/>
        <v>0</v>
      </c>
      <c r="U37" s="248"/>
    </row>
    <row r="38" spans="1:21" ht="15" customHeight="1">
      <c r="A38" s="249">
        <f t="shared" si="0"/>
        <v>0</v>
      </c>
      <c r="B38" s="247"/>
      <c r="C38" s="247"/>
      <c r="D38" s="247"/>
      <c r="E38" s="247"/>
      <c r="F38" s="247">
        <f t="shared" si="1"/>
        <v>0</v>
      </c>
      <c r="G38" s="247"/>
      <c r="H38" s="247"/>
      <c r="I38" s="247"/>
      <c r="J38" s="247">
        <f t="shared" si="2"/>
        <v>0</v>
      </c>
      <c r="K38" s="247"/>
      <c r="L38" s="192">
        <f t="shared" si="3"/>
        <v>0</v>
      </c>
      <c r="M38" s="192"/>
      <c r="N38" s="192"/>
      <c r="O38" s="192"/>
      <c r="P38" s="192"/>
      <c r="Q38" s="192">
        <f t="shared" si="4"/>
        <v>0</v>
      </c>
      <c r="R38" s="192"/>
      <c r="S38" s="192"/>
      <c r="T38" s="247">
        <f t="shared" si="5"/>
        <v>0</v>
      </c>
      <c r="U38" s="248"/>
    </row>
    <row r="39" spans="1:21" ht="15" customHeight="1">
      <c r="A39" s="249">
        <f t="shared" si="0"/>
        <v>0</v>
      </c>
      <c r="B39" s="247"/>
      <c r="C39" s="247"/>
      <c r="D39" s="247"/>
      <c r="E39" s="247"/>
      <c r="F39" s="247">
        <f t="shared" si="1"/>
        <v>0</v>
      </c>
      <c r="G39" s="247"/>
      <c r="H39" s="247"/>
      <c r="I39" s="247"/>
      <c r="J39" s="247">
        <f t="shared" si="2"/>
        <v>0</v>
      </c>
      <c r="K39" s="247"/>
      <c r="L39" s="192">
        <f t="shared" si="3"/>
        <v>0</v>
      </c>
      <c r="M39" s="192"/>
      <c r="N39" s="192"/>
      <c r="O39" s="192"/>
      <c r="P39" s="192"/>
      <c r="Q39" s="192">
        <f t="shared" si="4"/>
        <v>0</v>
      </c>
      <c r="R39" s="192"/>
      <c r="S39" s="192"/>
      <c r="T39" s="247">
        <f t="shared" si="5"/>
        <v>0</v>
      </c>
      <c r="U39" s="248"/>
    </row>
    <row r="40" spans="1:21" ht="15" customHeight="1">
      <c r="A40" s="249">
        <f t="shared" si="0"/>
        <v>0</v>
      </c>
      <c r="B40" s="247"/>
      <c r="C40" s="247"/>
      <c r="D40" s="247"/>
      <c r="E40" s="247"/>
      <c r="F40" s="247">
        <f t="shared" si="1"/>
        <v>0</v>
      </c>
      <c r="G40" s="247"/>
      <c r="H40" s="247"/>
      <c r="I40" s="247"/>
      <c r="J40" s="247">
        <f t="shared" si="2"/>
        <v>0</v>
      </c>
      <c r="K40" s="247"/>
      <c r="L40" s="192">
        <f t="shared" si="3"/>
        <v>0</v>
      </c>
      <c r="M40" s="192"/>
      <c r="N40" s="192"/>
      <c r="O40" s="192"/>
      <c r="P40" s="192"/>
      <c r="Q40" s="192">
        <f t="shared" si="4"/>
        <v>0</v>
      </c>
      <c r="R40" s="192"/>
      <c r="S40" s="192"/>
      <c r="T40" s="247">
        <f t="shared" si="5"/>
        <v>0</v>
      </c>
      <c r="U40" s="248"/>
    </row>
    <row r="41" spans="1:21" ht="15" customHeight="1">
      <c r="A41" s="249">
        <f t="shared" si="0"/>
        <v>0</v>
      </c>
      <c r="B41" s="247"/>
      <c r="C41" s="247"/>
      <c r="D41" s="247"/>
      <c r="E41" s="247"/>
      <c r="F41" s="247">
        <f t="shared" si="1"/>
        <v>0</v>
      </c>
      <c r="G41" s="247"/>
      <c r="H41" s="247"/>
      <c r="I41" s="247"/>
      <c r="J41" s="247">
        <f t="shared" si="2"/>
        <v>0</v>
      </c>
      <c r="K41" s="247"/>
      <c r="L41" s="192">
        <f t="shared" si="3"/>
        <v>0</v>
      </c>
      <c r="M41" s="192"/>
      <c r="N41" s="192"/>
      <c r="O41" s="192"/>
      <c r="P41" s="192"/>
      <c r="Q41" s="192">
        <f t="shared" si="4"/>
        <v>0</v>
      </c>
      <c r="R41" s="192"/>
      <c r="S41" s="192"/>
      <c r="T41" s="247">
        <f t="shared" si="5"/>
        <v>0</v>
      </c>
      <c r="U41" s="248"/>
    </row>
    <row r="42" spans="1:21" ht="15" customHeight="1">
      <c r="A42" s="253">
        <f t="shared" si="0"/>
        <v>0</v>
      </c>
      <c r="B42" s="254"/>
      <c r="C42" s="254"/>
      <c r="D42" s="254"/>
      <c r="E42" s="254"/>
      <c r="F42" s="254">
        <f t="shared" si="1"/>
        <v>0</v>
      </c>
      <c r="G42" s="254"/>
      <c r="H42" s="254"/>
      <c r="I42" s="254"/>
      <c r="J42" s="254">
        <f t="shared" si="2"/>
        <v>0</v>
      </c>
      <c r="K42" s="254"/>
      <c r="L42" s="255">
        <f t="shared" si="3"/>
        <v>0</v>
      </c>
      <c r="M42" s="255"/>
      <c r="N42" s="255"/>
      <c r="O42" s="255"/>
      <c r="P42" s="255"/>
      <c r="Q42" s="255">
        <f t="shared" si="4"/>
        <v>0</v>
      </c>
      <c r="R42" s="255"/>
      <c r="S42" s="255"/>
      <c r="T42" s="254">
        <f t="shared" si="5"/>
        <v>0</v>
      </c>
      <c r="U42" s="256"/>
    </row>
    <row r="43" spans="1:21">
      <c r="A43" s="172" t="s">
        <v>102</v>
      </c>
      <c r="B43" s="173"/>
      <c r="C43" s="173"/>
      <c r="D43" s="173"/>
      <c r="E43" s="173"/>
      <c r="F43" s="174">
        <f>F20</f>
        <v>7222000</v>
      </c>
      <c r="G43" s="174"/>
      <c r="H43" s="174"/>
      <c r="I43" s="175"/>
      <c r="J43" s="214">
        <f>J20</f>
        <v>0</v>
      </c>
      <c r="K43" s="214"/>
      <c r="L43" s="176" t="s">
        <v>984</v>
      </c>
      <c r="M43" s="177"/>
      <c r="N43" s="177"/>
      <c r="O43" s="177"/>
      <c r="P43" s="178"/>
      <c r="Q43" s="179">
        <f>Q20</f>
        <v>0</v>
      </c>
      <c r="R43" s="180"/>
      <c r="S43" s="180"/>
      <c r="T43" s="180"/>
      <c r="U43" s="181"/>
    </row>
    <row r="44" spans="1:21" ht="17.25" thickBot="1">
      <c r="A44" s="208" t="s">
        <v>115</v>
      </c>
      <c r="B44" s="183"/>
      <c r="C44" s="183"/>
      <c r="D44" s="183"/>
      <c r="E44" s="183"/>
      <c r="F44" s="209">
        <f>F21</f>
        <v>7222000</v>
      </c>
      <c r="G44" s="209"/>
      <c r="H44" s="209"/>
      <c r="I44" s="210"/>
      <c r="J44" s="182" t="s">
        <v>990</v>
      </c>
      <c r="K44" s="183"/>
      <c r="L44" s="184" t="str">
        <f>L21</f>
        <v>장효주</v>
      </c>
      <c r="M44" s="184"/>
      <c r="N44" s="184"/>
      <c r="O44" s="182" t="s">
        <v>84</v>
      </c>
      <c r="P44" s="188"/>
      <c r="Q44" s="185" t="str">
        <f>Q21</f>
        <v>미르오토</v>
      </c>
      <c r="R44" s="186"/>
      <c r="S44" s="186"/>
      <c r="T44" s="186"/>
      <c r="U44" s="187"/>
    </row>
  </sheetData>
  <mergeCells count="216"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J43:K43"/>
    <mergeCell ref="A44:E44"/>
    <mergeCell ref="F44:I44"/>
    <mergeCell ref="J44:K44"/>
    <mergeCell ref="L44:N44"/>
    <mergeCell ref="O44:P44"/>
    <mergeCell ref="Q44:U44"/>
    <mergeCell ref="A1:U1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Q35:S35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</mergeCells>
  <phoneticPr fontId="1" type="noConversion"/>
  <pageMargins left="0.25" right="0.25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43"/>
  <sheetViews>
    <sheetView workbookViewId="0">
      <selection activeCell="B42" sqref="B42"/>
    </sheetView>
  </sheetViews>
  <sheetFormatPr defaultColWidth="8.75" defaultRowHeight="18" customHeight="1"/>
  <cols>
    <col min="1" max="1" width="6.875" style="124" customWidth="1"/>
    <col min="2" max="2" width="16.375" style="163" customWidth="1"/>
    <col min="3" max="3" width="14.25" style="125" bestFit="1" customWidth="1"/>
    <col min="4" max="4" width="23" style="125" bestFit="1" customWidth="1"/>
    <col min="5" max="6" width="9.75" style="126" customWidth="1"/>
    <col min="7" max="7" width="11.625" style="127" customWidth="1"/>
    <col min="8" max="8" width="11.75" style="127" customWidth="1"/>
    <col min="9" max="9" width="12.375" style="119" customWidth="1"/>
    <col min="10" max="10" width="13" style="119" customWidth="1"/>
    <col min="11" max="11" width="12.5" style="119" customWidth="1"/>
    <col min="12" max="12" width="13.375" style="119" customWidth="1"/>
    <col min="13" max="13" width="13.125" style="119" customWidth="1"/>
    <col min="14" max="14" width="17.25" style="119" customWidth="1"/>
    <col min="15" max="15" width="15.25" style="119" customWidth="1"/>
    <col min="16" max="16" width="16.625" style="123" customWidth="1"/>
    <col min="17" max="17" width="11.125" style="108" bestFit="1" customWidth="1"/>
    <col min="18" max="18" width="15.25" style="106" bestFit="1" customWidth="1"/>
    <col min="19" max="19" width="13.125" style="106" bestFit="1" customWidth="1"/>
    <col min="20" max="21" width="15.25" style="106" bestFit="1" customWidth="1"/>
    <col min="22" max="16384" width="8.75" style="106"/>
  </cols>
  <sheetData>
    <row r="1" spans="1:22" ht="18" customHeight="1">
      <c r="A1" s="102"/>
      <c r="B1" s="157"/>
      <c r="C1" s="103"/>
      <c r="D1" s="103"/>
      <c r="E1" s="104"/>
      <c r="F1" s="104"/>
      <c r="G1" s="105"/>
      <c r="H1" s="105"/>
      <c r="I1" s="105"/>
      <c r="J1" s="106"/>
      <c r="K1" s="106"/>
      <c r="L1" s="106"/>
      <c r="M1" s="106"/>
      <c r="N1" s="106"/>
      <c r="O1" s="106"/>
      <c r="P1" s="106"/>
      <c r="Q1" s="106"/>
    </row>
    <row r="2" spans="1:22" ht="25.5" customHeight="1">
      <c r="A2" s="109"/>
      <c r="B2" s="158"/>
      <c r="C2" s="110"/>
      <c r="D2" s="110"/>
      <c r="E2" s="111"/>
      <c r="F2" s="111"/>
      <c r="G2" s="112"/>
      <c r="H2" s="112"/>
      <c r="I2" s="112"/>
      <c r="J2" s="106"/>
      <c r="K2" s="106"/>
      <c r="L2" s="106"/>
      <c r="M2" s="106"/>
      <c r="N2" s="106"/>
      <c r="O2" s="106"/>
      <c r="P2" s="106"/>
      <c r="Q2" s="106"/>
    </row>
    <row r="3" spans="1:22" ht="15.95" customHeight="1">
      <c r="A3" s="145">
        <v>12</v>
      </c>
      <c r="B3" s="159" t="s">
        <v>1383</v>
      </c>
      <c r="C3" s="132">
        <f ca="1">SUMIF($B:$B,TODAY(),J:J)</f>
        <v>0</v>
      </c>
      <c r="D3" s="133" t="s">
        <v>1365</v>
      </c>
      <c r="E3" s="132">
        <f ca="1">SUMIF($B:$B,TODAY(),E:E)</f>
        <v>0</v>
      </c>
      <c r="F3" s="134" t="s">
        <v>1367</v>
      </c>
      <c r="G3" s="135"/>
      <c r="H3" s="142" t="s">
        <v>1368</v>
      </c>
      <c r="I3" s="143"/>
      <c r="J3" s="108"/>
      <c r="K3" s="106"/>
      <c r="L3" s="106"/>
      <c r="M3" s="106"/>
      <c r="N3" s="106"/>
      <c r="O3" s="106"/>
      <c r="P3" s="106"/>
      <c r="Q3" s="106"/>
    </row>
    <row r="4" spans="1:22" ht="15.95" customHeight="1">
      <c r="A4" s="146">
        <v>3</v>
      </c>
      <c r="B4" s="160" t="s">
        <v>1384</v>
      </c>
      <c r="C4" s="136">
        <f>SUMIFS($J:$J,$B:$B,"&gt;="&amp;DATE(A5,A4,1),$B:$B,"&lt;="&amp;EOMONTH(DATE(A5,A4,1),0))</f>
        <v>24147000</v>
      </c>
      <c r="E4" s="137"/>
      <c r="F4" s="137"/>
      <c r="I4" s="138"/>
      <c r="J4" s="108"/>
      <c r="K4" s="106"/>
      <c r="L4" s="106"/>
      <c r="M4" s="106"/>
      <c r="N4" s="106"/>
      <c r="O4" s="106"/>
      <c r="P4" s="106"/>
      <c r="Q4" s="106"/>
    </row>
    <row r="5" spans="1:22" ht="15.95" customHeight="1">
      <c r="A5" s="147">
        <v>2025</v>
      </c>
      <c r="B5" s="161" t="s">
        <v>1385</v>
      </c>
      <c r="C5" s="139">
        <f>SUMIFS($J:$J,$B:$B,"&gt;="&amp;DATE(A5,A4,1),$B:$B,"&lt;="&amp;EOMONTH(DATE(A5,A4,1),0))</f>
        <v>24147000</v>
      </c>
      <c r="D5" s="140"/>
      <c r="E5" s="140"/>
      <c r="F5" s="140"/>
      <c r="G5" s="140"/>
      <c r="H5" s="144"/>
      <c r="I5" s="141"/>
      <c r="J5" s="108"/>
      <c r="K5" s="106"/>
      <c r="L5" s="106"/>
      <c r="M5" s="106"/>
      <c r="N5" s="106"/>
      <c r="O5" s="106"/>
      <c r="P5" s="106"/>
      <c r="Q5" s="106"/>
    </row>
    <row r="6" spans="1:22" ht="15.95" customHeight="1">
      <c r="A6" s="128"/>
      <c r="B6" s="162"/>
      <c r="C6" s="129"/>
      <c r="D6" s="130"/>
      <c r="E6" s="130"/>
      <c r="F6" s="130"/>
      <c r="G6" s="130"/>
      <c r="H6" s="131"/>
      <c r="I6" s="131"/>
      <c r="J6" s="106"/>
      <c r="K6" s="106"/>
      <c r="L6" s="106"/>
      <c r="M6" s="106"/>
      <c r="N6" s="106"/>
      <c r="O6" s="106"/>
      <c r="P6" s="106"/>
      <c r="Q6" s="106"/>
    </row>
    <row r="7" spans="1:22" ht="15.95" customHeight="1">
      <c r="A7" s="109"/>
      <c r="B7" s="158"/>
      <c r="C7" s="110"/>
      <c r="D7" s="110"/>
      <c r="E7" s="111"/>
      <c r="F7" s="111"/>
      <c r="G7" s="112"/>
      <c r="H7" s="112"/>
      <c r="I7" s="112"/>
      <c r="J7" s="113"/>
      <c r="K7" s="113"/>
      <c r="L7" s="113"/>
      <c r="M7" s="113"/>
      <c r="N7" s="114"/>
      <c r="O7" s="114"/>
      <c r="P7" s="114"/>
      <c r="Q7" s="67"/>
      <c r="R7" s="67"/>
      <c r="S7" s="67"/>
      <c r="T7" s="67"/>
      <c r="U7" s="67"/>
      <c r="V7" s="67"/>
    </row>
    <row r="8" spans="1:22" ht="16.5">
      <c r="A8" s="115" t="s">
        <v>2</v>
      </c>
      <c r="B8" s="116" t="s">
        <v>14</v>
      </c>
      <c r="C8" s="116" t="s">
        <v>8</v>
      </c>
      <c r="D8" s="116" t="s">
        <v>0</v>
      </c>
      <c r="E8" s="117" t="s">
        <v>1364</v>
      </c>
      <c r="F8" s="117" t="s">
        <v>53</v>
      </c>
      <c r="G8" s="117" t="s">
        <v>67</v>
      </c>
      <c r="H8" s="117" t="s">
        <v>103</v>
      </c>
      <c r="I8" s="117" t="s">
        <v>77</v>
      </c>
      <c r="J8" s="117" t="s">
        <v>78</v>
      </c>
      <c r="K8" s="117" t="s">
        <v>1365</v>
      </c>
      <c r="L8" s="117" t="s">
        <v>1366</v>
      </c>
      <c r="M8" s="117" t="s">
        <v>1367</v>
      </c>
      <c r="N8" s="117" t="s">
        <v>1372</v>
      </c>
      <c r="O8" s="117" t="s">
        <v>1373</v>
      </c>
      <c r="P8" s="118" t="s">
        <v>1374</v>
      </c>
      <c r="S8" s="67"/>
      <c r="T8" s="67"/>
      <c r="U8" s="67"/>
      <c r="V8" s="67"/>
    </row>
    <row r="9" spans="1:22" ht="16.5">
      <c r="A9" s="156">
        <v>2</v>
      </c>
      <c r="B9" s="164">
        <v>45723</v>
      </c>
      <c r="C9" s="127" t="s">
        <v>1333</v>
      </c>
      <c r="D9" s="119" t="s">
        <v>1413</v>
      </c>
      <c r="E9" s="120"/>
      <c r="F9" s="120">
        <v>1300000</v>
      </c>
      <c r="G9" s="127">
        <v>1</v>
      </c>
      <c r="H9" s="120"/>
      <c r="I9" s="121">
        <v>1300000</v>
      </c>
      <c r="J9" s="121">
        <v>1300000</v>
      </c>
      <c r="K9" s="122">
        <f>E9*G9</f>
        <v>0</v>
      </c>
      <c r="L9" s="122">
        <f>J9</f>
        <v>1300000</v>
      </c>
      <c r="M9" s="122">
        <f>L9-K9</f>
        <v>1300000</v>
      </c>
      <c r="S9" s="67"/>
      <c r="T9" s="67"/>
      <c r="U9" s="67"/>
      <c r="V9" s="67"/>
    </row>
    <row r="10" spans="1:22" ht="16.5">
      <c r="A10" s="156">
        <v>3</v>
      </c>
      <c r="B10" s="164">
        <v>45723</v>
      </c>
      <c r="C10" s="127" t="s">
        <v>1333</v>
      </c>
      <c r="D10" s="119" t="s">
        <v>1445</v>
      </c>
      <c r="E10" s="120"/>
      <c r="F10" s="120">
        <v>800000</v>
      </c>
      <c r="G10" s="127">
        <v>1</v>
      </c>
      <c r="H10" s="120"/>
      <c r="I10" s="121">
        <v>800000</v>
      </c>
      <c r="J10" s="121">
        <v>800000</v>
      </c>
      <c r="K10" s="122">
        <f t="shared" ref="K10:K18" si="0">E10*G10</f>
        <v>0</v>
      </c>
      <c r="L10" s="122"/>
      <c r="M10" s="122"/>
      <c r="S10" s="67"/>
      <c r="T10" s="67"/>
      <c r="U10" s="67"/>
      <c r="V10" s="67"/>
    </row>
    <row r="11" spans="1:22" ht="16.5">
      <c r="A11" s="156">
        <v>9</v>
      </c>
      <c r="B11" s="164">
        <v>45722</v>
      </c>
      <c r="C11" s="127" t="s">
        <v>1412</v>
      </c>
      <c r="D11" s="119" t="s">
        <v>1413</v>
      </c>
      <c r="E11" s="120"/>
      <c r="F11" s="120">
        <v>1200000</v>
      </c>
      <c r="G11" s="127">
        <v>1</v>
      </c>
      <c r="H11" s="120"/>
      <c r="I11" s="121">
        <v>1200000</v>
      </c>
      <c r="J11" s="121">
        <v>1200000</v>
      </c>
      <c r="K11" s="122">
        <f t="shared" si="0"/>
        <v>0</v>
      </c>
      <c r="L11" s="122"/>
      <c r="M11" s="122"/>
      <c r="S11" s="67"/>
      <c r="T11" s="67"/>
      <c r="U11" s="67"/>
      <c r="V11" s="67"/>
    </row>
    <row r="12" spans="1:22" ht="16.5">
      <c r="A12" s="156">
        <v>29</v>
      </c>
      <c r="B12" s="164">
        <v>45727</v>
      </c>
      <c r="C12" s="127" t="s">
        <v>1444</v>
      </c>
      <c r="D12" s="119" t="s">
        <v>1413</v>
      </c>
      <c r="E12" s="120"/>
      <c r="F12" s="120">
        <v>1200000</v>
      </c>
      <c r="G12" s="127">
        <v>1</v>
      </c>
      <c r="H12" s="120"/>
      <c r="I12" s="121">
        <v>1200000</v>
      </c>
      <c r="J12" s="121">
        <v>1200000</v>
      </c>
      <c r="K12" s="122">
        <f t="shared" si="0"/>
        <v>0</v>
      </c>
      <c r="L12" s="122"/>
      <c r="M12" s="122"/>
      <c r="S12" s="67"/>
      <c r="T12" s="67"/>
      <c r="U12" s="67"/>
      <c r="V12" s="67"/>
    </row>
    <row r="13" spans="1:22" ht="16.5">
      <c r="A13" s="156">
        <v>10</v>
      </c>
      <c r="B13" s="164">
        <v>45722</v>
      </c>
      <c r="C13" s="127" t="s">
        <v>1414</v>
      </c>
      <c r="D13" s="119"/>
      <c r="E13" s="120"/>
      <c r="F13" s="120">
        <v>330000</v>
      </c>
      <c r="G13" s="127">
        <v>1</v>
      </c>
      <c r="H13" s="120"/>
      <c r="I13" s="121">
        <v>330000</v>
      </c>
      <c r="J13" s="121">
        <v>330000</v>
      </c>
      <c r="K13" s="122">
        <f t="shared" si="0"/>
        <v>0</v>
      </c>
      <c r="L13" s="122"/>
      <c r="M13" s="122"/>
      <c r="S13" s="67"/>
      <c r="T13" s="67"/>
      <c r="U13" s="67"/>
      <c r="V13" s="67"/>
    </row>
    <row r="14" spans="1:22" ht="16.5">
      <c r="A14" s="156">
        <v>12</v>
      </c>
      <c r="B14" s="164">
        <v>45720</v>
      </c>
      <c r="C14" s="127" t="s">
        <v>1414</v>
      </c>
      <c r="D14" s="119"/>
      <c r="E14" s="120"/>
      <c r="F14" s="120">
        <v>350000</v>
      </c>
      <c r="G14" s="127">
        <v>1</v>
      </c>
      <c r="H14" s="120"/>
      <c r="I14" s="121">
        <v>350000</v>
      </c>
      <c r="J14" s="121">
        <v>350000</v>
      </c>
      <c r="K14" s="122">
        <f t="shared" si="0"/>
        <v>0</v>
      </c>
      <c r="L14" s="122"/>
      <c r="M14" s="122"/>
      <c r="S14" s="67"/>
      <c r="T14" s="67"/>
      <c r="U14" s="67"/>
      <c r="V14" s="67"/>
    </row>
    <row r="15" spans="1:22" ht="16.5">
      <c r="A15" s="156">
        <v>13</v>
      </c>
      <c r="B15" s="164">
        <v>45720</v>
      </c>
      <c r="C15" s="127" t="s">
        <v>1414</v>
      </c>
      <c r="D15" s="119" t="s">
        <v>1416</v>
      </c>
      <c r="E15" s="120"/>
      <c r="F15" s="120"/>
      <c r="G15" s="127">
        <v>1</v>
      </c>
      <c r="H15" s="120"/>
      <c r="I15" s="121">
        <v>-300000</v>
      </c>
      <c r="J15" s="121">
        <v>-300000</v>
      </c>
      <c r="K15" s="122">
        <f t="shared" si="0"/>
        <v>0</v>
      </c>
      <c r="L15" s="122"/>
      <c r="M15" s="122"/>
      <c r="S15" s="67"/>
      <c r="T15" s="67"/>
      <c r="U15" s="67"/>
      <c r="V15" s="67"/>
    </row>
    <row r="16" spans="1:22" ht="16.5">
      <c r="A16" s="156">
        <v>33</v>
      </c>
      <c r="B16" s="164">
        <v>45727</v>
      </c>
      <c r="C16" s="127" t="s">
        <v>1379</v>
      </c>
      <c r="D16" s="119" t="s">
        <v>1446</v>
      </c>
      <c r="E16" s="120"/>
      <c r="F16" s="120">
        <v>230000</v>
      </c>
      <c r="G16" s="127">
        <v>1</v>
      </c>
      <c r="H16" s="120"/>
      <c r="I16" s="121">
        <v>230000</v>
      </c>
      <c r="J16" s="121">
        <v>230000</v>
      </c>
      <c r="K16" s="122">
        <f t="shared" si="0"/>
        <v>0</v>
      </c>
      <c r="L16" s="122"/>
      <c r="M16" s="122"/>
      <c r="S16" s="67"/>
      <c r="T16" s="67"/>
      <c r="U16" s="67"/>
      <c r="V16" s="67"/>
    </row>
    <row r="17" spans="1:22" ht="16.5">
      <c r="A17" s="156">
        <v>32</v>
      </c>
      <c r="B17" s="164">
        <v>45727</v>
      </c>
      <c r="C17" s="127" t="s">
        <v>1379</v>
      </c>
      <c r="D17" s="119" t="s">
        <v>1447</v>
      </c>
      <c r="E17" s="120"/>
      <c r="F17" s="120">
        <v>100000</v>
      </c>
      <c r="G17" s="127">
        <v>1</v>
      </c>
      <c r="H17" s="120"/>
      <c r="I17" s="121">
        <v>100000</v>
      </c>
      <c r="J17" s="121">
        <v>100000</v>
      </c>
      <c r="K17" s="122">
        <f t="shared" si="0"/>
        <v>0</v>
      </c>
      <c r="L17" s="122"/>
      <c r="M17" s="122"/>
      <c r="S17" s="67"/>
      <c r="T17" s="67"/>
      <c r="U17" s="67"/>
      <c r="V17" s="67"/>
    </row>
    <row r="18" spans="1:22" s="107" customFormat="1" ht="16.5">
      <c r="A18" s="156">
        <v>31</v>
      </c>
      <c r="B18" s="164">
        <v>45727</v>
      </c>
      <c r="C18" s="127" t="s">
        <v>1379</v>
      </c>
      <c r="D18" s="119" t="s">
        <v>1448</v>
      </c>
      <c r="E18" s="120"/>
      <c r="F18" s="120">
        <v>150000</v>
      </c>
      <c r="G18" s="127">
        <v>2</v>
      </c>
      <c r="H18" s="120"/>
      <c r="I18" s="121">
        <v>300000</v>
      </c>
      <c r="J18" s="121">
        <v>300000</v>
      </c>
      <c r="K18" s="122">
        <f t="shared" si="0"/>
        <v>0</v>
      </c>
      <c r="L18" s="122"/>
      <c r="M18" s="122"/>
      <c r="N18" s="119"/>
      <c r="O18" s="119"/>
      <c r="P18" s="123"/>
      <c r="Q18" s="108"/>
      <c r="R18" s="106"/>
      <c r="S18" s="67"/>
      <c r="T18" s="67"/>
      <c r="U18" s="67"/>
      <c r="V18" s="67"/>
    </row>
    <row r="19" spans="1:22" s="107" customFormat="1" ht="16.5">
      <c r="A19" s="156">
        <v>30</v>
      </c>
      <c r="B19" s="164">
        <v>45727</v>
      </c>
      <c r="C19" s="127" t="s">
        <v>1379</v>
      </c>
      <c r="D19" s="119" t="s">
        <v>1448</v>
      </c>
      <c r="E19" s="119"/>
      <c r="F19" s="119">
        <v>150000</v>
      </c>
      <c r="G19" s="127">
        <v>1</v>
      </c>
      <c r="H19" s="119"/>
      <c r="I19" s="121">
        <v>150000</v>
      </c>
      <c r="J19" s="121">
        <v>150000</v>
      </c>
      <c r="K19" s="119"/>
      <c r="L19" s="122"/>
      <c r="M19" s="122"/>
      <c r="N19" s="119"/>
      <c r="O19" s="119"/>
      <c r="P19" s="123"/>
      <c r="Q19" s="108"/>
      <c r="R19" s="106"/>
      <c r="S19" s="67"/>
      <c r="T19" s="67"/>
      <c r="U19" s="67"/>
      <c r="V19" s="67"/>
    </row>
    <row r="20" spans="1:22" s="107" customFormat="1" ht="16.5">
      <c r="A20" s="156">
        <v>35</v>
      </c>
      <c r="B20" s="164">
        <v>45726</v>
      </c>
      <c r="C20" s="127" t="s">
        <v>1032</v>
      </c>
      <c r="D20" s="119" t="s">
        <v>1449</v>
      </c>
      <c r="E20" s="119"/>
      <c r="F20" s="119">
        <v>300000</v>
      </c>
      <c r="G20" s="127">
        <v>1</v>
      </c>
      <c r="H20" s="119"/>
      <c r="I20" s="121">
        <v>300000</v>
      </c>
      <c r="J20" s="121">
        <v>300000</v>
      </c>
      <c r="K20" s="119"/>
      <c r="L20" s="122"/>
      <c r="M20" s="122"/>
      <c r="N20" s="119"/>
      <c r="O20" s="119"/>
      <c r="P20" s="123"/>
      <c r="Q20" s="108"/>
      <c r="R20" s="106"/>
      <c r="S20" s="67"/>
      <c r="T20" s="67"/>
      <c r="U20" s="67"/>
      <c r="V20" s="67"/>
    </row>
    <row r="21" spans="1:22" s="107" customFormat="1" ht="16.5">
      <c r="A21" s="156">
        <v>34</v>
      </c>
      <c r="B21" s="164">
        <v>45726</v>
      </c>
      <c r="C21" s="127" t="s">
        <v>1032</v>
      </c>
      <c r="D21" s="119" t="s">
        <v>1450</v>
      </c>
      <c r="E21" s="119"/>
      <c r="F21" s="119">
        <v>600000</v>
      </c>
      <c r="G21" s="127">
        <v>1</v>
      </c>
      <c r="H21" s="119"/>
      <c r="I21" s="121">
        <v>600000</v>
      </c>
      <c r="J21" s="121">
        <v>600000</v>
      </c>
      <c r="K21" s="119"/>
      <c r="L21" s="122"/>
      <c r="M21" s="122"/>
      <c r="N21" s="119"/>
      <c r="O21" s="119"/>
      <c r="P21" s="123"/>
      <c r="Q21" s="108"/>
      <c r="R21" s="106"/>
      <c r="S21" s="67"/>
      <c r="T21" s="67"/>
      <c r="U21" s="67"/>
    </row>
    <row r="22" spans="1:22" s="107" customFormat="1" ht="13.5">
      <c r="A22" s="156">
        <v>28</v>
      </c>
      <c r="B22" s="164">
        <v>45727</v>
      </c>
      <c r="C22" s="127" t="s">
        <v>26</v>
      </c>
      <c r="D22" s="119" t="s">
        <v>1451</v>
      </c>
      <c r="E22" s="119"/>
      <c r="F22" s="119">
        <v>1500000</v>
      </c>
      <c r="G22" s="127">
        <v>1</v>
      </c>
      <c r="H22" s="119"/>
      <c r="I22" s="119">
        <v>1500000</v>
      </c>
      <c r="J22" s="119">
        <v>1500000</v>
      </c>
      <c r="K22" s="119"/>
      <c r="L22" s="122"/>
      <c r="M22" s="122"/>
      <c r="N22" s="119"/>
      <c r="O22" s="119"/>
      <c r="P22" s="123"/>
      <c r="Q22" s="108"/>
      <c r="R22" s="106"/>
    </row>
    <row r="23" spans="1:22" s="107" customFormat="1" ht="13.5">
      <c r="A23" s="156">
        <v>27</v>
      </c>
      <c r="B23" s="164">
        <v>45727</v>
      </c>
      <c r="C23" s="127" t="s">
        <v>26</v>
      </c>
      <c r="D23" s="119" t="s">
        <v>1452</v>
      </c>
      <c r="E23" s="119"/>
      <c r="F23" s="119">
        <v>650000</v>
      </c>
      <c r="G23" s="127">
        <v>1</v>
      </c>
      <c r="H23" s="119"/>
      <c r="I23" s="119">
        <v>650000</v>
      </c>
      <c r="J23" s="119">
        <v>650000</v>
      </c>
      <c r="K23" s="119"/>
      <c r="L23" s="122"/>
      <c r="M23" s="122"/>
      <c r="N23" s="119"/>
      <c r="O23" s="119"/>
      <c r="P23" s="123"/>
      <c r="Q23" s="108"/>
      <c r="R23" s="106"/>
    </row>
    <row r="24" spans="1:22" s="107" customFormat="1" ht="13.5" hidden="1">
      <c r="A24" s="156">
        <v>23</v>
      </c>
      <c r="B24" s="164">
        <v>45724</v>
      </c>
      <c r="C24" s="127" t="s">
        <v>26</v>
      </c>
      <c r="D24" s="119" t="s">
        <v>1381</v>
      </c>
      <c r="E24" s="119"/>
      <c r="F24" s="119">
        <v>198000</v>
      </c>
      <c r="G24" s="127">
        <v>1</v>
      </c>
      <c r="H24" s="119"/>
      <c r="I24" s="119">
        <v>198000</v>
      </c>
      <c r="J24" s="119">
        <v>198000</v>
      </c>
      <c r="K24" s="119"/>
      <c r="L24" s="122"/>
      <c r="M24" s="122"/>
      <c r="N24" s="119"/>
      <c r="O24" s="119"/>
      <c r="P24" s="123"/>
      <c r="Q24" s="108"/>
      <c r="R24" s="106"/>
    </row>
    <row r="25" spans="1:22" ht="13.5" hidden="1">
      <c r="A25" s="156">
        <v>22</v>
      </c>
      <c r="B25" s="164">
        <v>45724</v>
      </c>
      <c r="C25" s="127" t="s">
        <v>26</v>
      </c>
      <c r="D25" s="119" t="s">
        <v>1413</v>
      </c>
      <c r="E25" s="119"/>
      <c r="F25" s="119">
        <v>1200000</v>
      </c>
      <c r="G25" s="127">
        <v>1</v>
      </c>
      <c r="H25" s="119"/>
      <c r="I25" s="119">
        <v>1200000</v>
      </c>
      <c r="J25" s="119">
        <v>1200000</v>
      </c>
      <c r="L25" s="122"/>
      <c r="M25" s="122"/>
    </row>
    <row r="26" spans="1:22" ht="18" hidden="1" customHeight="1">
      <c r="A26" s="156">
        <v>19</v>
      </c>
      <c r="B26" s="164">
        <v>45717</v>
      </c>
      <c r="C26" s="127" t="s">
        <v>26</v>
      </c>
      <c r="D26" s="119" t="s">
        <v>1453</v>
      </c>
      <c r="E26" s="119"/>
      <c r="F26" s="119">
        <v>1650000</v>
      </c>
      <c r="G26" s="127">
        <v>1</v>
      </c>
      <c r="H26" s="119"/>
      <c r="I26" s="119">
        <v>1650000</v>
      </c>
      <c r="J26" s="119">
        <v>1650000</v>
      </c>
      <c r="L26" s="122"/>
      <c r="M26" s="122"/>
    </row>
    <row r="27" spans="1:22" ht="18" hidden="1" customHeight="1">
      <c r="A27" s="156">
        <v>18</v>
      </c>
      <c r="B27" s="164">
        <v>45717</v>
      </c>
      <c r="C27" s="127" t="s">
        <v>26</v>
      </c>
      <c r="D27" s="119" t="s">
        <v>1452</v>
      </c>
      <c r="E27" s="119"/>
      <c r="F27" s="119">
        <v>650000</v>
      </c>
      <c r="G27" s="127">
        <v>1</v>
      </c>
      <c r="H27" s="119"/>
      <c r="I27" s="119">
        <v>650000</v>
      </c>
      <c r="J27" s="119">
        <v>650000</v>
      </c>
      <c r="L27" s="122"/>
      <c r="M27" s="122"/>
    </row>
    <row r="28" spans="1:22" ht="18" hidden="1" customHeight="1">
      <c r="A28" s="156">
        <v>11</v>
      </c>
      <c r="B28" s="164">
        <v>45722</v>
      </c>
      <c r="C28" s="127" t="s">
        <v>26</v>
      </c>
      <c r="D28" s="119" t="s">
        <v>1454</v>
      </c>
      <c r="E28" s="119"/>
      <c r="F28" s="119">
        <v>1000000</v>
      </c>
      <c r="G28" s="127">
        <v>1</v>
      </c>
      <c r="H28" s="119"/>
      <c r="I28" s="119">
        <v>1000000</v>
      </c>
      <c r="J28" s="119">
        <v>1000000</v>
      </c>
      <c r="L28" s="122"/>
      <c r="M28" s="122"/>
    </row>
    <row r="29" spans="1:22" ht="18" hidden="1" customHeight="1">
      <c r="A29" s="156">
        <v>7</v>
      </c>
      <c r="B29" s="164">
        <v>45722</v>
      </c>
      <c r="C29" s="127" t="s">
        <v>26</v>
      </c>
      <c r="D29" s="119" t="s">
        <v>1455</v>
      </c>
      <c r="E29" s="119"/>
      <c r="F29" s="119">
        <v>25000</v>
      </c>
      <c r="G29" s="127">
        <v>2</v>
      </c>
      <c r="H29" s="119"/>
      <c r="I29" s="119">
        <v>50000</v>
      </c>
      <c r="J29" s="119">
        <v>50000</v>
      </c>
      <c r="L29" s="122"/>
      <c r="M29" s="122"/>
    </row>
    <row r="30" spans="1:22" ht="18" hidden="1" customHeight="1">
      <c r="A30" s="156">
        <v>6</v>
      </c>
      <c r="B30" s="164">
        <v>45722</v>
      </c>
      <c r="C30" s="127" t="s">
        <v>26</v>
      </c>
      <c r="D30" s="119" t="s">
        <v>1456</v>
      </c>
      <c r="E30" s="119"/>
      <c r="F30" s="119">
        <v>12000</v>
      </c>
      <c r="G30" s="127">
        <v>3</v>
      </c>
      <c r="H30" s="119"/>
      <c r="I30" s="119">
        <v>36000</v>
      </c>
      <c r="J30" s="119">
        <v>36000</v>
      </c>
      <c r="L30" s="122"/>
      <c r="M30" s="122"/>
    </row>
    <row r="31" spans="1:22" ht="18" hidden="1" customHeight="1">
      <c r="A31" s="156">
        <v>5</v>
      </c>
      <c r="B31" s="164">
        <v>45722</v>
      </c>
      <c r="C31" s="127" t="s">
        <v>26</v>
      </c>
      <c r="D31" s="119" t="s">
        <v>1457</v>
      </c>
      <c r="E31" s="119"/>
      <c r="F31" s="119">
        <v>198000</v>
      </c>
      <c r="G31" s="127">
        <v>1</v>
      </c>
      <c r="H31" s="119"/>
      <c r="I31" s="119">
        <v>198000</v>
      </c>
      <c r="J31" s="119">
        <v>198000</v>
      </c>
      <c r="L31" s="122"/>
      <c r="M31" s="122"/>
    </row>
    <row r="32" spans="1:22" ht="18" hidden="1" customHeight="1">
      <c r="A32" s="156">
        <v>1</v>
      </c>
      <c r="B32" s="164">
        <v>45723</v>
      </c>
      <c r="C32" s="127" t="s">
        <v>26</v>
      </c>
      <c r="D32" s="119" t="s">
        <v>1458</v>
      </c>
      <c r="E32" s="119"/>
      <c r="F32" s="119">
        <v>30000</v>
      </c>
      <c r="G32" s="127">
        <v>3</v>
      </c>
      <c r="H32" s="119"/>
      <c r="I32" s="119">
        <v>90000</v>
      </c>
      <c r="J32" s="119">
        <v>90000</v>
      </c>
      <c r="L32" s="122"/>
      <c r="M32" s="122"/>
    </row>
    <row r="33" spans="1:13" ht="18" customHeight="1">
      <c r="A33" s="156">
        <v>4</v>
      </c>
      <c r="B33" s="164">
        <v>45723</v>
      </c>
      <c r="C33" s="127" t="s">
        <v>1407</v>
      </c>
      <c r="D33" s="119" t="s">
        <v>1459</v>
      </c>
      <c r="E33" s="119"/>
      <c r="F33" s="119">
        <v>1000000</v>
      </c>
      <c r="G33" s="127">
        <v>1</v>
      </c>
      <c r="H33" s="119"/>
      <c r="I33" s="119">
        <v>1000000</v>
      </c>
      <c r="J33" s="119">
        <v>1000000</v>
      </c>
      <c r="L33" s="122"/>
      <c r="M33" s="122"/>
    </row>
    <row r="34" spans="1:13" ht="18" customHeight="1">
      <c r="A34" s="156">
        <v>16</v>
      </c>
      <c r="B34" s="164">
        <v>45720</v>
      </c>
      <c r="C34" s="127" t="s">
        <v>1411</v>
      </c>
      <c r="D34" s="119" t="s">
        <v>1460</v>
      </c>
      <c r="E34" s="119"/>
      <c r="F34" s="119">
        <v>600000</v>
      </c>
      <c r="G34" s="127">
        <v>1</v>
      </c>
      <c r="H34" s="119"/>
      <c r="I34" s="119">
        <v>600000</v>
      </c>
      <c r="J34" s="119">
        <v>600000</v>
      </c>
      <c r="L34" s="122"/>
      <c r="M34" s="122"/>
    </row>
    <row r="35" spans="1:13" ht="18" customHeight="1">
      <c r="A35" s="124">
        <v>15</v>
      </c>
      <c r="B35" s="164">
        <v>45720</v>
      </c>
      <c r="C35" s="127" t="s">
        <v>1411</v>
      </c>
      <c r="D35" s="119" t="s">
        <v>1461</v>
      </c>
      <c r="E35" s="119"/>
      <c r="F35" s="119">
        <v>55000</v>
      </c>
      <c r="G35" s="127">
        <v>1</v>
      </c>
      <c r="H35" s="119"/>
      <c r="I35" s="119">
        <v>55000</v>
      </c>
      <c r="J35" s="119">
        <v>55000</v>
      </c>
      <c r="L35" s="122"/>
      <c r="M35" s="122"/>
    </row>
    <row r="36" spans="1:13" ht="18" customHeight="1">
      <c r="A36" s="124">
        <v>14</v>
      </c>
      <c r="B36" s="164">
        <v>45720</v>
      </c>
      <c r="C36" s="127" t="s">
        <v>1411</v>
      </c>
      <c r="D36" s="119" t="s">
        <v>1462</v>
      </c>
      <c r="E36" s="119"/>
      <c r="F36" s="119">
        <v>610000</v>
      </c>
      <c r="G36" s="127">
        <v>1</v>
      </c>
      <c r="H36" s="119"/>
      <c r="I36" s="119">
        <v>610000</v>
      </c>
      <c r="J36" s="119">
        <v>610000</v>
      </c>
      <c r="L36" s="122"/>
      <c r="M36" s="122"/>
    </row>
    <row r="37" spans="1:13" ht="18" customHeight="1">
      <c r="A37" s="124">
        <v>8</v>
      </c>
      <c r="B37" s="164">
        <v>45722</v>
      </c>
      <c r="C37" s="127" t="s">
        <v>1411</v>
      </c>
      <c r="D37" s="119" t="s">
        <v>1452</v>
      </c>
      <c r="E37" s="119"/>
      <c r="F37" s="119">
        <v>1100000</v>
      </c>
      <c r="G37" s="127">
        <v>1</v>
      </c>
      <c r="H37" s="119"/>
      <c r="I37" s="119">
        <v>1100000</v>
      </c>
      <c r="J37" s="119">
        <v>1100000</v>
      </c>
      <c r="L37" s="122"/>
      <c r="M37" s="122"/>
    </row>
    <row r="38" spans="1:13" ht="18" customHeight="1">
      <c r="A38" s="124">
        <v>17</v>
      </c>
      <c r="B38" s="163">
        <v>45720</v>
      </c>
      <c r="C38" s="125" t="s">
        <v>1418</v>
      </c>
      <c r="D38" s="125" t="s">
        <v>1463</v>
      </c>
      <c r="F38" s="126">
        <v>1100000</v>
      </c>
      <c r="G38" s="127">
        <v>1</v>
      </c>
      <c r="I38" s="119">
        <v>1100000</v>
      </c>
      <c r="J38" s="119">
        <v>1100000</v>
      </c>
      <c r="L38" s="122"/>
      <c r="M38" s="122"/>
    </row>
    <row r="39" spans="1:13" ht="18" customHeight="1">
      <c r="A39" s="124">
        <v>20</v>
      </c>
      <c r="B39" s="163">
        <v>45723</v>
      </c>
      <c r="C39" s="125" t="s">
        <v>1424</v>
      </c>
      <c r="D39" s="125" t="s">
        <v>1399</v>
      </c>
      <c r="F39" s="126">
        <v>700000</v>
      </c>
      <c r="G39" s="127">
        <v>1</v>
      </c>
      <c r="I39" s="119">
        <v>700000</v>
      </c>
      <c r="J39" s="119">
        <v>700000</v>
      </c>
      <c r="L39" s="122"/>
      <c r="M39" s="122"/>
    </row>
    <row r="40" spans="1:13" ht="18" customHeight="1">
      <c r="A40" s="124">
        <v>21</v>
      </c>
      <c r="B40" s="163">
        <v>45723</v>
      </c>
      <c r="C40" s="125" t="s">
        <v>1426</v>
      </c>
      <c r="D40" s="125" t="s">
        <v>1464</v>
      </c>
      <c r="F40" s="126">
        <v>1500000</v>
      </c>
      <c r="G40" s="127">
        <v>1</v>
      </c>
      <c r="I40" s="119">
        <v>1500000</v>
      </c>
      <c r="J40" s="119">
        <v>1500000</v>
      </c>
      <c r="L40" s="122"/>
      <c r="M40" s="122"/>
    </row>
    <row r="41" spans="1:13" ht="18" customHeight="1">
      <c r="A41" s="124">
        <v>25</v>
      </c>
      <c r="B41" s="163">
        <v>45727</v>
      </c>
      <c r="C41" s="125" t="s">
        <v>1429</v>
      </c>
      <c r="D41" s="125" t="s">
        <v>1464</v>
      </c>
      <c r="F41" s="126">
        <v>1500000</v>
      </c>
      <c r="G41" s="127">
        <v>1</v>
      </c>
      <c r="I41" s="119">
        <v>1500000</v>
      </c>
      <c r="J41" s="119">
        <v>1500000</v>
      </c>
      <c r="L41" s="122"/>
      <c r="M41" s="122"/>
    </row>
    <row r="42" spans="1:13" ht="18" customHeight="1">
      <c r="A42" s="124">
        <v>26</v>
      </c>
      <c r="B42" s="163">
        <v>45727</v>
      </c>
      <c r="C42" s="125" t="s">
        <v>1429</v>
      </c>
      <c r="D42" s="125" t="s">
        <v>1413</v>
      </c>
      <c r="F42" s="126">
        <v>1200000</v>
      </c>
      <c r="G42" s="127">
        <v>1</v>
      </c>
      <c r="I42" s="119">
        <v>1200000</v>
      </c>
      <c r="J42" s="119">
        <v>1200000</v>
      </c>
      <c r="L42" s="122"/>
      <c r="M42" s="122"/>
    </row>
    <row r="43" spans="1:13" ht="18" customHeight="1">
      <c r="A43" s="124">
        <v>24</v>
      </c>
      <c r="B43" s="163">
        <v>45726</v>
      </c>
      <c r="C43" s="125" t="s">
        <v>1428</v>
      </c>
      <c r="D43" s="125" t="s">
        <v>1465</v>
      </c>
      <c r="F43" s="126">
        <v>1000000</v>
      </c>
      <c r="G43" s="127">
        <v>1</v>
      </c>
      <c r="I43" s="119">
        <v>1000000</v>
      </c>
      <c r="J43" s="119">
        <v>1000000</v>
      </c>
      <c r="L43" s="122"/>
      <c r="M43" s="122"/>
    </row>
  </sheetData>
  <autoFilter ref="A8:P17" xr:uid="{AF8F0A96-8AAB-402E-A9D0-F8470108AD8B}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91" t="s">
        <v>2</v>
      </c>
      <c r="B1" s="91" t="s">
        <v>1</v>
      </c>
      <c r="C1" s="91" t="s">
        <v>0</v>
      </c>
      <c r="D1" s="91" t="s">
        <v>60</v>
      </c>
      <c r="E1" s="91" t="s">
        <v>1363</v>
      </c>
      <c r="F1" s="91" t="s">
        <v>1364</v>
      </c>
      <c r="G1" s="91" t="s">
        <v>1371</v>
      </c>
      <c r="H1" s="91" t="s">
        <v>1365</v>
      </c>
      <c r="I1" s="91" t="s">
        <v>1366</v>
      </c>
      <c r="J1" s="91" t="s">
        <v>1367</v>
      </c>
      <c r="K1" s="272" t="s">
        <v>1368</v>
      </c>
      <c r="L1" s="272"/>
      <c r="M1" s="272"/>
      <c r="N1" s="272" t="s">
        <v>1369</v>
      </c>
      <c r="O1" s="272"/>
      <c r="P1" s="91" t="s">
        <v>1370</v>
      </c>
      <c r="Q1">
        <v>2</v>
      </c>
    </row>
  </sheetData>
  <mergeCells count="2">
    <mergeCell ref="K1:M1"/>
    <mergeCell ref="N1:O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H29"/>
  <sheetViews>
    <sheetView zoomScale="115" zoomScaleNormal="115" workbookViewId="0">
      <selection sqref="A1:G1"/>
    </sheetView>
  </sheetViews>
  <sheetFormatPr defaultColWidth="9" defaultRowHeight="16.5"/>
  <cols>
    <col min="1" max="2" width="11.75" customWidth="1"/>
    <col min="3" max="3" width="22" style="61" customWidth="1"/>
    <col min="4" max="4" width="26" style="58" bestFit="1" customWidth="1"/>
    <col min="5" max="5" width="13.125" style="58" customWidth="1"/>
    <col min="6" max="7" width="13.125" style="64" customWidth="1"/>
    <col min="8" max="8" width="13.125" bestFit="1" customWidth="1"/>
  </cols>
  <sheetData>
    <row r="1" spans="1:8" ht="17.25" thickBot="1">
      <c r="A1" s="31" t="s">
        <v>2</v>
      </c>
      <c r="B1" s="31" t="s">
        <v>1357</v>
      </c>
      <c r="C1" s="62" t="s">
        <v>1</v>
      </c>
      <c r="D1" s="31" t="s">
        <v>0</v>
      </c>
      <c r="E1" s="31" t="s">
        <v>55</v>
      </c>
      <c r="F1" s="63" t="s">
        <v>53</v>
      </c>
      <c r="G1" s="63" t="s">
        <v>4</v>
      </c>
      <c r="H1" s="8">
        <v>30</v>
      </c>
    </row>
    <row r="2" spans="1:8">
      <c r="A2">
        <v>1</v>
      </c>
      <c r="B2">
        <v>3</v>
      </c>
      <c r="C2"/>
      <c r="D2" t="s">
        <v>1386</v>
      </c>
      <c r="E2"/>
      <c r="F2" s="64">
        <v>1500000</v>
      </c>
      <c r="G2"/>
    </row>
    <row r="3" spans="1:8">
      <c r="A3">
        <v>2</v>
      </c>
      <c r="B3">
        <v>1</v>
      </c>
      <c r="C3"/>
      <c r="D3" t="s">
        <v>1387</v>
      </c>
      <c r="E3"/>
      <c r="F3" s="64">
        <v>1200000</v>
      </c>
      <c r="G3"/>
    </row>
    <row r="4" spans="1:8">
      <c r="A4">
        <v>3</v>
      </c>
      <c r="B4">
        <v>3</v>
      </c>
      <c r="C4"/>
      <c r="D4" t="s">
        <v>1388</v>
      </c>
      <c r="E4"/>
      <c r="F4" s="64">
        <v>1500000</v>
      </c>
      <c r="G4"/>
    </row>
    <row r="5" spans="1:8">
      <c r="A5">
        <v>4</v>
      </c>
      <c r="B5">
        <v>2</v>
      </c>
      <c r="C5"/>
      <c r="D5" t="s">
        <v>1389</v>
      </c>
      <c r="E5"/>
      <c r="F5" s="64">
        <v>1000000</v>
      </c>
      <c r="G5"/>
    </row>
    <row r="6" spans="1:8">
      <c r="A6">
        <v>5</v>
      </c>
      <c r="B6">
        <v>3</v>
      </c>
      <c r="C6"/>
      <c r="D6" t="s">
        <v>1390</v>
      </c>
      <c r="E6"/>
      <c r="F6" s="64">
        <v>300000</v>
      </c>
      <c r="G6"/>
    </row>
    <row r="7" spans="1:8">
      <c r="A7">
        <v>6</v>
      </c>
      <c r="B7">
        <v>1</v>
      </c>
      <c r="C7"/>
      <c r="D7" t="s">
        <v>1399</v>
      </c>
      <c r="E7"/>
      <c r="F7" s="64">
        <v>700000</v>
      </c>
      <c r="G7"/>
    </row>
    <row r="8" spans="1:8">
      <c r="A8">
        <v>8</v>
      </c>
      <c r="B8">
        <v>3</v>
      </c>
      <c r="C8"/>
      <c r="D8" t="s">
        <v>1393</v>
      </c>
      <c r="E8"/>
      <c r="F8" s="64">
        <v>30000</v>
      </c>
      <c r="G8"/>
    </row>
    <row r="9" spans="1:8">
      <c r="A9">
        <v>9</v>
      </c>
      <c r="B9">
        <v>6</v>
      </c>
      <c r="C9"/>
      <c r="D9" t="s">
        <v>1394</v>
      </c>
      <c r="E9"/>
      <c r="F9" s="64">
        <v>1000000</v>
      </c>
      <c r="G9"/>
    </row>
    <row r="10" spans="1:8">
      <c r="A10">
        <v>10</v>
      </c>
      <c r="B10">
        <v>1</v>
      </c>
      <c r="C10"/>
      <c r="D10" t="s">
        <v>1395</v>
      </c>
      <c r="E10"/>
      <c r="F10" s="64">
        <v>198000</v>
      </c>
      <c r="G10"/>
    </row>
    <row r="11" spans="1:8">
      <c r="A11">
        <v>11</v>
      </c>
      <c r="B11">
        <v>8</v>
      </c>
      <c r="C11"/>
      <c r="D11" t="s">
        <v>1396</v>
      </c>
      <c r="E11"/>
      <c r="F11" s="64">
        <v>12000</v>
      </c>
      <c r="G11"/>
    </row>
    <row r="12" spans="1:8">
      <c r="A12">
        <v>12</v>
      </c>
      <c r="B12">
        <v>4</v>
      </c>
      <c r="C12"/>
      <c r="D12" t="s">
        <v>1397</v>
      </c>
      <c r="E12"/>
      <c r="F12" s="64">
        <v>1100000</v>
      </c>
      <c r="G12"/>
    </row>
    <row r="13" spans="1:8">
      <c r="A13">
        <v>13</v>
      </c>
      <c r="B13">
        <v>2</v>
      </c>
      <c r="D13" s="148" t="s">
        <v>1398</v>
      </c>
      <c r="F13" s="64">
        <v>1000000</v>
      </c>
    </row>
    <row r="14" spans="1:8">
      <c r="A14">
        <v>14</v>
      </c>
      <c r="B14">
        <v>9</v>
      </c>
      <c r="E14" s="58">
        <v>602000700</v>
      </c>
      <c r="F14" s="64">
        <v>350000</v>
      </c>
    </row>
    <row r="15" spans="1:8">
      <c r="A15">
        <v>15</v>
      </c>
      <c r="B15">
        <v>8</v>
      </c>
      <c r="D15" s="58" t="s">
        <v>1401</v>
      </c>
      <c r="F15" s="64">
        <v>55000</v>
      </c>
    </row>
    <row r="16" spans="1:8">
      <c r="A16">
        <v>16</v>
      </c>
      <c r="B16">
        <v>7</v>
      </c>
      <c r="D16" s="58" t="s">
        <v>1402</v>
      </c>
      <c r="F16" s="64">
        <v>600000</v>
      </c>
    </row>
    <row r="17" spans="1:6">
      <c r="A17">
        <v>17</v>
      </c>
      <c r="B17">
        <v>8</v>
      </c>
      <c r="D17" s="58" t="s">
        <v>1403</v>
      </c>
      <c r="F17" s="64">
        <v>25000</v>
      </c>
    </row>
    <row r="18" spans="1:6">
      <c r="A18">
        <v>18</v>
      </c>
      <c r="B18">
        <v>8</v>
      </c>
      <c r="D18" s="58" t="s">
        <v>1404</v>
      </c>
      <c r="F18" s="64">
        <v>800000</v>
      </c>
    </row>
    <row r="19" spans="1:6">
      <c r="A19">
        <v>19</v>
      </c>
      <c r="B19">
        <v>9</v>
      </c>
      <c r="E19" s="58">
        <v>415054509</v>
      </c>
      <c r="F19" s="64">
        <v>330000</v>
      </c>
    </row>
    <row r="20" spans="1:6">
      <c r="A20">
        <v>20</v>
      </c>
      <c r="C20" s="61" t="s">
        <v>1380</v>
      </c>
    </row>
    <row r="21" spans="1:6">
      <c r="A21">
        <v>21</v>
      </c>
      <c r="D21" s="58" t="s">
        <v>1417</v>
      </c>
      <c r="F21" s="64">
        <v>610000</v>
      </c>
    </row>
    <row r="22" spans="1:6">
      <c r="A22">
        <v>22</v>
      </c>
      <c r="B22">
        <v>2</v>
      </c>
      <c r="D22" s="58" t="s">
        <v>1419</v>
      </c>
      <c r="F22" s="64">
        <v>1100000</v>
      </c>
    </row>
    <row r="23" spans="1:6">
      <c r="A23">
        <v>23</v>
      </c>
      <c r="B23">
        <v>2</v>
      </c>
      <c r="D23" s="58" t="s">
        <v>1420</v>
      </c>
      <c r="F23" s="64">
        <v>1650000</v>
      </c>
    </row>
    <row r="24" spans="1:6">
      <c r="A24">
        <v>24</v>
      </c>
      <c r="B24">
        <v>3</v>
      </c>
      <c r="D24" s="58" t="s">
        <v>1427</v>
      </c>
      <c r="F24" s="64">
        <v>1500000</v>
      </c>
    </row>
    <row r="25" spans="1:6">
      <c r="A25">
        <v>25</v>
      </c>
      <c r="D25" s="58" t="s">
        <v>1329</v>
      </c>
      <c r="F25" s="64">
        <v>198000</v>
      </c>
    </row>
    <row r="26" spans="1:6">
      <c r="A26">
        <v>26</v>
      </c>
      <c r="B26">
        <v>8</v>
      </c>
      <c r="D26" s="58" t="s">
        <v>1437</v>
      </c>
      <c r="F26" s="64">
        <v>150000</v>
      </c>
    </row>
    <row r="27" spans="1:6">
      <c r="A27">
        <v>27</v>
      </c>
      <c r="B27">
        <v>8</v>
      </c>
      <c r="D27" s="58" t="s">
        <v>1438</v>
      </c>
      <c r="F27" s="64">
        <v>100000</v>
      </c>
    </row>
    <row r="28" spans="1:6">
      <c r="A28">
        <v>28</v>
      </c>
      <c r="B28">
        <v>8</v>
      </c>
      <c r="D28" s="58" t="s">
        <v>1439</v>
      </c>
      <c r="F28" s="64">
        <v>230000</v>
      </c>
    </row>
    <row r="29" spans="1:6">
      <c r="A29">
        <v>29</v>
      </c>
      <c r="B29">
        <v>3</v>
      </c>
      <c r="D29" s="58" t="s">
        <v>1441</v>
      </c>
      <c r="F29" s="64">
        <v>600000</v>
      </c>
    </row>
  </sheetData>
  <dataConsolidate link="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L18"/>
  <sheetViews>
    <sheetView zoomScale="115" zoomScaleNormal="115" workbookViewId="0">
      <selection activeCell="K16" sqref="K16"/>
    </sheetView>
  </sheetViews>
  <sheetFormatPr defaultColWidth="9" defaultRowHeight="16.5"/>
  <cols>
    <col min="1" max="2" width="10.875" customWidth="1"/>
    <col min="3" max="3" width="12.5" customWidth="1"/>
    <col min="4" max="4" width="14.875" style="61" bestFit="1" customWidth="1"/>
    <col min="5" max="5" width="10.375" customWidth="1"/>
    <col min="6" max="6" width="12.125" style="58" customWidth="1"/>
    <col min="7" max="10" width="10.875" customWidth="1"/>
    <col min="11" max="11" width="15.625" customWidth="1"/>
  </cols>
  <sheetData>
    <row r="1" spans="1:12" ht="17.25" thickBot="1">
      <c r="A1" s="31" t="s">
        <v>2</v>
      </c>
      <c r="B1" s="7" t="s">
        <v>11</v>
      </c>
      <c r="C1" s="7" t="s">
        <v>14</v>
      </c>
      <c r="D1" s="80" t="s">
        <v>1</v>
      </c>
      <c r="E1" s="7" t="s">
        <v>0</v>
      </c>
      <c r="F1" s="31" t="s">
        <v>60</v>
      </c>
      <c r="G1" s="7" t="s">
        <v>54</v>
      </c>
      <c r="H1" s="7" t="s">
        <v>61</v>
      </c>
      <c r="I1" s="7" t="s">
        <v>62</v>
      </c>
      <c r="J1" s="7" t="s">
        <v>63</v>
      </c>
      <c r="K1" s="7" t="s">
        <v>64</v>
      </c>
      <c r="L1" s="8">
        <v>57</v>
      </c>
    </row>
    <row r="2" spans="1:12">
      <c r="A2">
        <v>52</v>
      </c>
      <c r="B2">
        <v>52</v>
      </c>
      <c r="C2" s="13">
        <v>45725</v>
      </c>
      <c r="D2" s="61">
        <v>8800224280401</v>
      </c>
      <c r="E2" t="s">
        <v>1356</v>
      </c>
      <c r="F2" s="58" t="s">
        <v>1328</v>
      </c>
      <c r="H2">
        <v>350000</v>
      </c>
      <c r="I2">
        <v>12</v>
      </c>
    </row>
    <row r="3" spans="1:12">
      <c r="A3">
        <v>53</v>
      </c>
      <c r="B3">
        <v>53</v>
      </c>
      <c r="C3" s="13">
        <v>45725</v>
      </c>
      <c r="D3" s="61">
        <v>8800224280601</v>
      </c>
      <c r="E3" s="58" t="s">
        <v>1329</v>
      </c>
      <c r="F3">
        <v>5961308248</v>
      </c>
      <c r="H3">
        <v>120000</v>
      </c>
      <c r="I3">
        <v>1</v>
      </c>
      <c r="J3">
        <v>1</v>
      </c>
    </row>
    <row r="4" spans="1:12">
      <c r="A4">
        <v>54</v>
      </c>
      <c r="C4" s="13">
        <v>45725</v>
      </c>
      <c r="D4" s="61">
        <v>8800224280401</v>
      </c>
      <c r="E4" t="s">
        <v>1327</v>
      </c>
      <c r="F4" s="58" t="s">
        <v>1328</v>
      </c>
      <c r="H4">
        <v>350000</v>
      </c>
      <c r="I4">
        <v>12</v>
      </c>
    </row>
    <row r="5" spans="1:12">
      <c r="A5">
        <v>55</v>
      </c>
      <c r="C5" s="13">
        <v>45725</v>
      </c>
      <c r="D5" s="61">
        <v>8800224280601</v>
      </c>
      <c r="E5" s="58" t="s">
        <v>1329</v>
      </c>
      <c r="F5">
        <v>5961308248</v>
      </c>
      <c r="H5">
        <v>120000</v>
      </c>
      <c r="I5">
        <v>1</v>
      </c>
      <c r="J5">
        <v>1</v>
      </c>
    </row>
    <row r="6" spans="1:12">
      <c r="D6"/>
      <c r="F6"/>
    </row>
    <row r="7" spans="1:12">
      <c r="D7"/>
      <c r="F7"/>
    </row>
    <row r="8" spans="1:12">
      <c r="D8"/>
      <c r="F8"/>
    </row>
    <row r="9" spans="1:12">
      <c r="D9"/>
      <c r="F9"/>
    </row>
    <row r="10" spans="1:12">
      <c r="D10"/>
      <c r="F10"/>
    </row>
    <row r="11" spans="1:12">
      <c r="D11"/>
      <c r="F11"/>
    </row>
    <row r="12" spans="1:12">
      <c r="D12"/>
      <c r="F12"/>
    </row>
    <row r="13" spans="1:12">
      <c r="D13"/>
      <c r="F13"/>
    </row>
    <row r="14" spans="1:12">
      <c r="D14"/>
      <c r="F14"/>
    </row>
    <row r="15" spans="1:12">
      <c r="D15"/>
      <c r="F15"/>
    </row>
    <row r="16" spans="1:12">
      <c r="D16"/>
      <c r="F16"/>
    </row>
    <row r="17" spans="4:6">
      <c r="D17"/>
      <c r="F17"/>
    </row>
    <row r="18" spans="4:6">
      <c r="D18"/>
      <c r="F18"/>
    </row>
  </sheetData>
  <autoFilter ref="A1:L6" xr:uid="{CDD4460F-E865-4F4F-A74E-90D6628F2786}"/>
  <dataConsolidate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80" t="s">
        <v>1</v>
      </c>
      <c r="E1" s="7" t="s">
        <v>0</v>
      </c>
      <c r="F1" s="31" t="s">
        <v>60</v>
      </c>
      <c r="G1" s="7" t="s">
        <v>54</v>
      </c>
      <c r="H1" s="7" t="s">
        <v>69</v>
      </c>
      <c r="I1" s="7" t="s">
        <v>4</v>
      </c>
      <c r="J1" s="8">
        <v>57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29</v>
      </c>
    </row>
    <row r="2" spans="1:1">
      <c r="A2" t="s">
        <v>33</v>
      </c>
    </row>
    <row r="3" spans="1:1">
      <c r="A3" t="s">
        <v>41</v>
      </c>
    </row>
    <row r="4" spans="1:1">
      <c r="A4" t="s">
        <v>42</v>
      </c>
    </row>
    <row r="5" spans="1:1">
      <c r="A5" t="s">
        <v>43</v>
      </c>
    </row>
    <row r="6" spans="1:1">
      <c r="A6" t="s">
        <v>44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51</v>
      </c>
    </row>
    <row r="2" spans="1:1">
      <c r="A2" t="s">
        <v>48</v>
      </c>
    </row>
    <row r="3" spans="1:1">
      <c r="A3" t="s">
        <v>49</v>
      </c>
    </row>
    <row r="4" spans="1:1">
      <c r="A4" t="s">
        <v>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0"/>
  <sheetViews>
    <sheetView zoomScaleNormal="100" workbookViewId="0">
      <selection activeCell="C2" sqref="C2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54</v>
      </c>
      <c r="C1" s="8">
        <v>10</v>
      </c>
    </row>
    <row r="2" spans="1:3">
      <c r="A2">
        <v>1</v>
      </c>
      <c r="B2" t="s">
        <v>37</v>
      </c>
    </row>
    <row r="3" spans="1:3">
      <c r="A3">
        <v>2</v>
      </c>
      <c r="B3" t="s">
        <v>1337</v>
      </c>
    </row>
    <row r="4" spans="1:3">
      <c r="A4">
        <v>3</v>
      </c>
      <c r="B4" t="s">
        <v>1338</v>
      </c>
    </row>
    <row r="5" spans="1:3">
      <c r="A5">
        <v>4</v>
      </c>
      <c r="B5" t="s">
        <v>65</v>
      </c>
    </row>
    <row r="6" spans="1:3">
      <c r="A6">
        <v>5</v>
      </c>
      <c r="B6" t="s">
        <v>1339</v>
      </c>
    </row>
    <row r="7" spans="1:3">
      <c r="A7">
        <v>6</v>
      </c>
      <c r="B7" t="s">
        <v>1344</v>
      </c>
    </row>
    <row r="8" spans="1:3">
      <c r="A8">
        <v>7</v>
      </c>
      <c r="B8" t="s">
        <v>1391</v>
      </c>
    </row>
    <row r="9" spans="1:3">
      <c r="A9">
        <v>8</v>
      </c>
      <c r="B9" t="s">
        <v>1392</v>
      </c>
    </row>
    <row r="10" spans="1:3">
      <c r="A10">
        <v>9</v>
      </c>
      <c r="B10" t="s">
        <v>1400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18</v>
      </c>
    </row>
    <row r="4" spans="1:1">
      <c r="A4" t="s">
        <v>6</v>
      </c>
    </row>
    <row r="5" spans="1:1">
      <c r="A5" t="s">
        <v>7</v>
      </c>
    </row>
    <row r="6" spans="1:1">
      <c r="A6" t="s">
        <v>19</v>
      </c>
    </row>
    <row r="7" spans="1:1">
      <c r="A7" t="s">
        <v>20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21</v>
      </c>
      <c r="C1" t="s">
        <v>22</v>
      </c>
      <c r="D1" t="s">
        <v>23</v>
      </c>
      <c r="E1" t="s">
        <v>24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topLeftCell="A10" workbookViewId="0">
      <selection activeCell="E13" sqref="E13"/>
    </sheetView>
  </sheetViews>
  <sheetFormatPr defaultRowHeight="16.5"/>
  <sheetData>
    <row r="1" spans="1:3" ht="17.25" thickBot="1">
      <c r="A1" t="s">
        <v>981</v>
      </c>
      <c r="B1" t="s">
        <v>10</v>
      </c>
      <c r="C1" t="s">
        <v>9</v>
      </c>
    </row>
    <row r="2" spans="1:3" ht="54.75" thickBot="1">
      <c r="A2" s="50" t="s">
        <v>116</v>
      </c>
      <c r="B2" s="50" t="s">
        <v>117</v>
      </c>
      <c r="C2" s="51" t="s">
        <v>118</v>
      </c>
    </row>
    <row r="3" spans="1:3" ht="54.75" thickBot="1">
      <c r="A3" s="52" t="s">
        <v>119</v>
      </c>
      <c r="B3" s="53" t="s">
        <v>120</v>
      </c>
      <c r="C3" s="54" t="s">
        <v>121</v>
      </c>
    </row>
    <row r="4" spans="1:3" ht="54.75" thickBot="1">
      <c r="A4" s="50" t="s">
        <v>122</v>
      </c>
      <c r="B4" s="50" t="s">
        <v>123</v>
      </c>
      <c r="C4" s="51" t="s">
        <v>124</v>
      </c>
    </row>
    <row r="5" spans="1:3" ht="54.75" thickBot="1">
      <c r="A5" s="52" t="s">
        <v>125</v>
      </c>
      <c r="B5" s="53" t="s">
        <v>126</v>
      </c>
      <c r="C5" s="54" t="s">
        <v>127</v>
      </c>
    </row>
    <row r="6" spans="1:3" ht="54.75" thickBot="1">
      <c r="A6" s="52" t="s">
        <v>128</v>
      </c>
      <c r="B6" s="50" t="s">
        <v>129</v>
      </c>
      <c r="C6" s="51" t="s">
        <v>130</v>
      </c>
    </row>
    <row r="7" spans="1:3" ht="54.75" thickBot="1">
      <c r="A7" s="52" t="s">
        <v>131</v>
      </c>
      <c r="B7" s="53" t="s">
        <v>132</v>
      </c>
      <c r="C7" s="54" t="s">
        <v>133</v>
      </c>
    </row>
    <row r="8" spans="1:3" ht="54.75" thickBot="1">
      <c r="A8" s="52" t="s">
        <v>134</v>
      </c>
      <c r="B8" s="50" t="s">
        <v>135</v>
      </c>
      <c r="C8" s="51" t="s">
        <v>136</v>
      </c>
    </row>
    <row r="9" spans="1:3" ht="68.25" thickBot="1">
      <c r="A9" s="52" t="s">
        <v>137</v>
      </c>
      <c r="B9" s="53" t="s">
        <v>138</v>
      </c>
      <c r="C9" s="54" t="s">
        <v>139</v>
      </c>
    </row>
    <row r="10" spans="1:3" ht="54.75" thickBot="1">
      <c r="A10" s="52" t="s">
        <v>122</v>
      </c>
      <c r="B10" s="50" t="s">
        <v>123</v>
      </c>
      <c r="C10" s="51" t="s">
        <v>124</v>
      </c>
    </row>
    <row r="11" spans="1:3" ht="54.75" thickBot="1">
      <c r="A11" s="52" t="s">
        <v>140</v>
      </c>
      <c r="B11" s="53" t="s">
        <v>141</v>
      </c>
      <c r="C11" s="54" t="s">
        <v>142</v>
      </c>
    </row>
    <row r="12" spans="1:3" ht="81.75" thickBot="1">
      <c r="A12" s="52" t="s">
        <v>143</v>
      </c>
      <c r="B12" s="50" t="s">
        <v>144</v>
      </c>
      <c r="C12" s="51" t="s">
        <v>145</v>
      </c>
    </row>
    <row r="13" spans="1:3" ht="68.25" thickBot="1">
      <c r="A13" s="52" t="s">
        <v>146</v>
      </c>
      <c r="B13" s="53" t="s">
        <v>147</v>
      </c>
      <c r="C13" s="54" t="s">
        <v>148</v>
      </c>
    </row>
    <row r="14" spans="1:3" ht="54.75" thickBot="1">
      <c r="A14" s="52" t="s">
        <v>149</v>
      </c>
      <c r="B14" s="50" t="s">
        <v>150</v>
      </c>
      <c r="C14" s="51" t="s">
        <v>151</v>
      </c>
    </row>
    <row r="15" spans="1:3" ht="54.75" thickBot="1">
      <c r="A15" s="52" t="s">
        <v>152</v>
      </c>
      <c r="B15" s="53" t="s">
        <v>153</v>
      </c>
      <c r="C15" s="54" t="s">
        <v>154</v>
      </c>
    </row>
    <row r="16" spans="1:3" ht="68.25" thickBot="1">
      <c r="A16" s="52" t="s">
        <v>155</v>
      </c>
      <c r="B16" s="50" t="s">
        <v>156</v>
      </c>
      <c r="C16" s="51" t="s">
        <v>157</v>
      </c>
    </row>
    <row r="17" spans="1:3" ht="54.75" thickBot="1">
      <c r="A17" s="52" t="s">
        <v>158</v>
      </c>
      <c r="B17" s="53" t="s">
        <v>159</v>
      </c>
      <c r="C17" s="54" t="s">
        <v>160</v>
      </c>
    </row>
    <row r="18" spans="1:3" ht="41.25" thickBot="1">
      <c r="A18" s="50" t="s">
        <v>161</v>
      </c>
      <c r="B18" s="50" t="s">
        <v>162</v>
      </c>
      <c r="C18" s="51" t="s">
        <v>163</v>
      </c>
    </row>
    <row r="19" spans="1:3" ht="41.25" thickBot="1">
      <c r="A19" s="52" t="s">
        <v>164</v>
      </c>
      <c r="B19" s="53" t="s">
        <v>165</v>
      </c>
      <c r="C19" s="54" t="s">
        <v>166</v>
      </c>
    </row>
    <row r="20" spans="1:3" ht="41.25" thickBot="1">
      <c r="A20" s="50" t="s">
        <v>167</v>
      </c>
      <c r="B20" s="50" t="s">
        <v>168</v>
      </c>
      <c r="C20" s="51" t="s">
        <v>169</v>
      </c>
    </row>
    <row r="21" spans="1:3" ht="41.25" thickBot="1">
      <c r="A21" s="52" t="s">
        <v>170</v>
      </c>
      <c r="B21" s="53" t="s">
        <v>171</v>
      </c>
      <c r="C21" s="54" t="s">
        <v>172</v>
      </c>
    </row>
    <row r="22" spans="1:3" ht="41.25" thickBot="1">
      <c r="A22" s="52" t="s">
        <v>173</v>
      </c>
      <c r="B22" s="50" t="s">
        <v>174</v>
      </c>
      <c r="C22" s="51" t="s">
        <v>175</v>
      </c>
    </row>
    <row r="23" spans="1:3" ht="41.25" thickBot="1">
      <c r="A23" s="53" t="s">
        <v>176</v>
      </c>
      <c r="B23" s="53" t="s">
        <v>177</v>
      </c>
      <c r="C23" s="54" t="s">
        <v>178</v>
      </c>
    </row>
    <row r="24" spans="1:3" ht="41.25" thickBot="1">
      <c r="A24" s="52" t="s">
        <v>179</v>
      </c>
      <c r="B24" s="50" t="s">
        <v>180</v>
      </c>
      <c r="C24" s="51" t="s">
        <v>181</v>
      </c>
    </row>
    <row r="25" spans="1:3" ht="41.25" thickBot="1">
      <c r="A25" s="52" t="s">
        <v>182</v>
      </c>
      <c r="B25" s="53" t="s">
        <v>183</v>
      </c>
      <c r="C25" s="54" t="s">
        <v>184</v>
      </c>
    </row>
    <row r="26" spans="1:3" ht="54.75" thickBot="1">
      <c r="A26" s="52" t="s">
        <v>185</v>
      </c>
      <c r="B26" s="50" t="s">
        <v>186</v>
      </c>
      <c r="C26" s="51" t="s">
        <v>187</v>
      </c>
    </row>
    <row r="27" spans="1:3" ht="41.25" thickBot="1">
      <c r="A27" s="52" t="s">
        <v>188</v>
      </c>
      <c r="B27" s="53" t="s">
        <v>189</v>
      </c>
      <c r="C27" s="54" t="s">
        <v>190</v>
      </c>
    </row>
    <row r="28" spans="1:3" ht="54.75" thickBot="1">
      <c r="A28" s="52" t="s">
        <v>191</v>
      </c>
      <c r="B28" s="50" t="s">
        <v>192</v>
      </c>
      <c r="C28" s="51" t="s">
        <v>193</v>
      </c>
    </row>
    <row r="29" spans="1:3" ht="54.75" thickBot="1">
      <c r="A29" s="52" t="s">
        <v>194</v>
      </c>
      <c r="B29" s="53" t="s">
        <v>195</v>
      </c>
      <c r="C29" s="54" t="s">
        <v>196</v>
      </c>
    </row>
    <row r="30" spans="1:3" ht="54.75" thickBot="1">
      <c r="A30" s="52" t="s">
        <v>197</v>
      </c>
      <c r="B30" s="50" t="s">
        <v>198</v>
      </c>
      <c r="C30" s="51" t="s">
        <v>199</v>
      </c>
    </row>
    <row r="31" spans="1:3" ht="54.75" thickBot="1">
      <c r="A31" s="52" t="s">
        <v>200</v>
      </c>
      <c r="B31" s="53" t="s">
        <v>201</v>
      </c>
      <c r="C31" s="54" t="s">
        <v>202</v>
      </c>
    </row>
    <row r="32" spans="1:3" ht="54.75" thickBot="1">
      <c r="A32" s="52" t="s">
        <v>203</v>
      </c>
      <c r="B32" s="50" t="s">
        <v>204</v>
      </c>
      <c r="C32" s="51" t="s">
        <v>205</v>
      </c>
    </row>
    <row r="33" spans="1:3" ht="41.25" thickBot="1">
      <c r="A33" s="52" t="s">
        <v>206</v>
      </c>
      <c r="B33" s="53" t="s">
        <v>207</v>
      </c>
      <c r="C33" s="54" t="s">
        <v>208</v>
      </c>
    </row>
    <row r="34" spans="1:3" ht="41.25" thickBot="1">
      <c r="A34" s="52" t="s">
        <v>209</v>
      </c>
      <c r="B34" s="50" t="s">
        <v>210</v>
      </c>
      <c r="C34" s="51" t="s">
        <v>211</v>
      </c>
    </row>
    <row r="35" spans="1:3" ht="54.75" thickBot="1">
      <c r="A35" s="52" t="s">
        <v>212</v>
      </c>
      <c r="B35" s="53" t="s">
        <v>213</v>
      </c>
      <c r="C35" s="54" t="s">
        <v>214</v>
      </c>
    </row>
    <row r="36" spans="1:3" ht="54.75" thickBot="1">
      <c r="A36" s="52" t="s">
        <v>215</v>
      </c>
      <c r="B36" s="50" t="s">
        <v>216</v>
      </c>
      <c r="C36" s="51" t="s">
        <v>217</v>
      </c>
    </row>
    <row r="37" spans="1:3" ht="54.75" thickBot="1">
      <c r="A37" s="52" t="s">
        <v>218</v>
      </c>
      <c r="B37" s="53" t="s">
        <v>219</v>
      </c>
      <c r="C37" s="54" t="s">
        <v>220</v>
      </c>
    </row>
    <row r="38" spans="1:3" ht="54.75" thickBot="1">
      <c r="A38" s="52" t="s">
        <v>221</v>
      </c>
      <c r="B38" s="50" t="s">
        <v>222</v>
      </c>
      <c r="C38" s="51" t="s">
        <v>223</v>
      </c>
    </row>
    <row r="39" spans="1:3" ht="54.75" thickBot="1">
      <c r="A39" s="52" t="s">
        <v>224</v>
      </c>
      <c r="B39" s="53" t="s">
        <v>225</v>
      </c>
      <c r="C39" s="54" t="s">
        <v>226</v>
      </c>
    </row>
    <row r="40" spans="1:3" ht="54.75" thickBot="1">
      <c r="A40" s="52" t="s">
        <v>221</v>
      </c>
      <c r="B40" s="50" t="s">
        <v>227</v>
      </c>
      <c r="C40" s="51" t="s">
        <v>223</v>
      </c>
    </row>
    <row r="41" spans="1:3" ht="41.25" thickBot="1">
      <c r="A41" s="52" t="s">
        <v>228</v>
      </c>
      <c r="B41" s="53" t="s">
        <v>229</v>
      </c>
      <c r="C41" s="54" t="s">
        <v>230</v>
      </c>
    </row>
    <row r="42" spans="1:3" ht="54.75" thickBot="1">
      <c r="A42" s="50" t="s">
        <v>231</v>
      </c>
      <c r="B42" s="50" t="s">
        <v>232</v>
      </c>
      <c r="C42" s="51" t="s">
        <v>233</v>
      </c>
    </row>
    <row r="43" spans="1:3" ht="54.75" thickBot="1">
      <c r="A43" s="52" t="s">
        <v>234</v>
      </c>
      <c r="B43" s="53" t="s">
        <v>235</v>
      </c>
      <c r="C43" s="54" t="s">
        <v>236</v>
      </c>
    </row>
    <row r="44" spans="1:3" ht="54.75" thickBot="1">
      <c r="A44" s="52" t="s">
        <v>237</v>
      </c>
      <c r="B44" s="50" t="s">
        <v>238</v>
      </c>
      <c r="C44" s="51" t="s">
        <v>239</v>
      </c>
    </row>
    <row r="45" spans="1:3" ht="41.25" thickBot="1">
      <c r="A45" s="53" t="s">
        <v>240</v>
      </c>
      <c r="B45" s="53" t="s">
        <v>241</v>
      </c>
      <c r="C45" s="54" t="s">
        <v>242</v>
      </c>
    </row>
    <row r="46" spans="1:3" ht="41.25" thickBot="1">
      <c r="A46" s="52" t="s">
        <v>243</v>
      </c>
      <c r="B46" s="50" t="s">
        <v>244</v>
      </c>
      <c r="C46" s="51" t="s">
        <v>245</v>
      </c>
    </row>
    <row r="47" spans="1:3" ht="41.25" thickBot="1">
      <c r="A47" s="52" t="s">
        <v>246</v>
      </c>
      <c r="B47" s="53" t="s">
        <v>247</v>
      </c>
      <c r="C47" s="54" t="s">
        <v>248</v>
      </c>
    </row>
    <row r="48" spans="1:3" ht="41.25" thickBot="1">
      <c r="A48" s="52" t="s">
        <v>249</v>
      </c>
      <c r="B48" s="50" t="s">
        <v>250</v>
      </c>
      <c r="C48" s="51" t="s">
        <v>251</v>
      </c>
    </row>
    <row r="49" spans="1:3" ht="41.25" thickBot="1">
      <c r="A49" s="52" t="s">
        <v>252</v>
      </c>
      <c r="B49" s="53" t="s">
        <v>253</v>
      </c>
      <c r="C49" s="54" t="s">
        <v>254</v>
      </c>
    </row>
    <row r="50" spans="1:3" ht="54.75" thickBot="1">
      <c r="A50" s="50" t="s">
        <v>255</v>
      </c>
      <c r="B50" s="50" t="s">
        <v>256</v>
      </c>
      <c r="C50" s="51" t="s">
        <v>257</v>
      </c>
    </row>
    <row r="51" spans="1:3" ht="41.25" thickBot="1">
      <c r="A51" s="52" t="s">
        <v>258</v>
      </c>
      <c r="B51" s="53" t="s">
        <v>259</v>
      </c>
      <c r="C51" s="54" t="s">
        <v>260</v>
      </c>
    </row>
    <row r="52" spans="1:3" ht="68.25" thickBot="1">
      <c r="A52" s="52" t="s">
        <v>261</v>
      </c>
      <c r="B52" s="50" t="s">
        <v>262</v>
      </c>
      <c r="C52" s="51" t="s">
        <v>263</v>
      </c>
    </row>
    <row r="53" spans="1:3" ht="41.25" thickBot="1">
      <c r="A53" s="52" t="s">
        <v>264</v>
      </c>
      <c r="B53" s="53" t="s">
        <v>265</v>
      </c>
      <c r="C53" s="54" t="s">
        <v>266</v>
      </c>
    </row>
    <row r="54" spans="1:3" ht="54.75" thickBot="1">
      <c r="A54" s="52" t="s">
        <v>267</v>
      </c>
      <c r="B54" s="50" t="s">
        <v>268</v>
      </c>
      <c r="C54" s="51" t="s">
        <v>269</v>
      </c>
    </row>
    <row r="55" spans="1:3" ht="54.75" thickBot="1">
      <c r="A55" s="52" t="s">
        <v>270</v>
      </c>
      <c r="B55" s="53" t="s">
        <v>271</v>
      </c>
      <c r="C55" s="54" t="s">
        <v>272</v>
      </c>
    </row>
    <row r="56" spans="1:3" ht="54.75" thickBot="1">
      <c r="A56" s="52" t="s">
        <v>273</v>
      </c>
      <c r="B56" s="50" t="s">
        <v>274</v>
      </c>
      <c r="C56" s="51" t="s">
        <v>275</v>
      </c>
    </row>
    <row r="57" spans="1:3" ht="54.75" thickBot="1">
      <c r="A57" s="52" t="s">
        <v>276</v>
      </c>
      <c r="B57" s="53" t="s">
        <v>277</v>
      </c>
      <c r="C57" s="54" t="s">
        <v>278</v>
      </c>
    </row>
    <row r="58" spans="1:3" ht="54.75" thickBot="1">
      <c r="A58" s="52" t="s">
        <v>279</v>
      </c>
      <c r="B58" s="50" t="s">
        <v>280</v>
      </c>
      <c r="C58" s="51" t="s">
        <v>281</v>
      </c>
    </row>
    <row r="59" spans="1:3" ht="54.75" thickBot="1">
      <c r="A59" s="52" t="s">
        <v>282</v>
      </c>
      <c r="B59" s="53" t="s">
        <v>283</v>
      </c>
      <c r="C59" s="54" t="s">
        <v>284</v>
      </c>
    </row>
    <row r="60" spans="1:3" ht="54.75" thickBot="1">
      <c r="A60" s="52" t="s">
        <v>285</v>
      </c>
      <c r="B60" s="50" t="s">
        <v>286</v>
      </c>
      <c r="C60" s="51" t="s">
        <v>287</v>
      </c>
    </row>
    <row r="61" spans="1:3" ht="68.25" thickBot="1">
      <c r="A61" s="52" t="s">
        <v>288</v>
      </c>
      <c r="B61" s="53" t="s">
        <v>289</v>
      </c>
      <c r="C61" s="54" t="s">
        <v>290</v>
      </c>
    </row>
    <row r="62" spans="1:3" ht="68.25" thickBot="1">
      <c r="A62" s="52" t="s">
        <v>291</v>
      </c>
      <c r="B62" s="50" t="s">
        <v>292</v>
      </c>
      <c r="C62" s="51" t="s">
        <v>293</v>
      </c>
    </row>
    <row r="63" spans="1:3" ht="68.25" thickBot="1">
      <c r="A63" s="52" t="s">
        <v>294</v>
      </c>
      <c r="B63" s="53" t="s">
        <v>295</v>
      </c>
      <c r="C63" s="54" t="s">
        <v>296</v>
      </c>
    </row>
    <row r="64" spans="1:3" ht="54.75" thickBot="1">
      <c r="A64" s="52" t="s">
        <v>297</v>
      </c>
      <c r="B64" s="50" t="s">
        <v>298</v>
      </c>
      <c r="C64" s="51" t="s">
        <v>299</v>
      </c>
    </row>
    <row r="65" spans="1:3" ht="54.75" thickBot="1">
      <c r="A65" s="52" t="s">
        <v>300</v>
      </c>
      <c r="B65" s="53" t="s">
        <v>301</v>
      </c>
      <c r="C65" s="54" t="s">
        <v>302</v>
      </c>
    </row>
    <row r="66" spans="1:3" ht="68.25" thickBot="1">
      <c r="A66" s="52" t="s">
        <v>303</v>
      </c>
      <c r="B66" s="50" t="s">
        <v>304</v>
      </c>
      <c r="C66" s="51" t="s">
        <v>305</v>
      </c>
    </row>
    <row r="67" spans="1:3" ht="54.75" thickBot="1">
      <c r="A67" s="52" t="s">
        <v>306</v>
      </c>
      <c r="B67" s="53" t="s">
        <v>307</v>
      </c>
      <c r="C67" s="54" t="s">
        <v>308</v>
      </c>
    </row>
    <row r="68" spans="1:3" ht="68.25" thickBot="1">
      <c r="A68" s="52" t="s">
        <v>309</v>
      </c>
      <c r="B68" s="50" t="s">
        <v>310</v>
      </c>
      <c r="C68" s="51" t="s">
        <v>311</v>
      </c>
    </row>
    <row r="69" spans="1:3" ht="54.75" thickBot="1">
      <c r="A69" s="52" t="s">
        <v>312</v>
      </c>
      <c r="B69" s="53" t="s">
        <v>313</v>
      </c>
      <c r="C69" s="54" t="s">
        <v>314</v>
      </c>
    </row>
    <row r="70" spans="1:3" ht="54.75" thickBot="1">
      <c r="A70" s="52" t="s">
        <v>315</v>
      </c>
      <c r="B70" s="50" t="s">
        <v>316</v>
      </c>
      <c r="C70" s="51" t="s">
        <v>317</v>
      </c>
    </row>
    <row r="71" spans="1:3" ht="54.75" thickBot="1">
      <c r="A71" s="52" t="s">
        <v>318</v>
      </c>
      <c r="B71" s="53" t="s">
        <v>319</v>
      </c>
      <c r="C71" s="54" t="s">
        <v>320</v>
      </c>
    </row>
    <row r="72" spans="1:3" ht="54.75" thickBot="1">
      <c r="A72" s="52" t="s">
        <v>321</v>
      </c>
      <c r="B72" s="50" t="s">
        <v>322</v>
      </c>
      <c r="C72" s="51" t="s">
        <v>323</v>
      </c>
    </row>
    <row r="73" spans="1:3" ht="54.75" thickBot="1">
      <c r="A73" s="52" t="s">
        <v>324</v>
      </c>
      <c r="B73" s="53" t="s">
        <v>325</v>
      </c>
      <c r="C73" s="54" t="s">
        <v>326</v>
      </c>
    </row>
    <row r="74" spans="1:3" ht="54.75" thickBot="1">
      <c r="A74" s="52" t="s">
        <v>327</v>
      </c>
      <c r="B74" s="50" t="s">
        <v>328</v>
      </c>
      <c r="C74" s="51" t="s">
        <v>329</v>
      </c>
    </row>
    <row r="75" spans="1:3" ht="54.75" thickBot="1">
      <c r="A75" s="52" t="s">
        <v>330</v>
      </c>
      <c r="B75" s="53" t="s">
        <v>331</v>
      </c>
      <c r="C75" s="54" t="s">
        <v>332</v>
      </c>
    </row>
    <row r="76" spans="1:3" ht="54.75" thickBot="1">
      <c r="A76" s="52" t="s">
        <v>333</v>
      </c>
      <c r="B76" s="50" t="s">
        <v>334</v>
      </c>
      <c r="C76" s="51" t="s">
        <v>335</v>
      </c>
    </row>
    <row r="77" spans="1:3" ht="54.75" thickBot="1">
      <c r="A77" s="52" t="s">
        <v>336</v>
      </c>
      <c r="B77" s="53" t="s">
        <v>337</v>
      </c>
      <c r="C77" s="54" t="s">
        <v>338</v>
      </c>
    </row>
    <row r="78" spans="1:3" ht="68.25" thickBot="1">
      <c r="A78" s="52" t="s">
        <v>327</v>
      </c>
      <c r="B78" s="50" t="s">
        <v>339</v>
      </c>
      <c r="C78" s="51" t="s">
        <v>329</v>
      </c>
    </row>
    <row r="79" spans="1:3" ht="54.75" thickBot="1">
      <c r="A79" s="53" t="s">
        <v>340</v>
      </c>
      <c r="B79" s="53" t="s">
        <v>341</v>
      </c>
      <c r="C79" s="54" t="s">
        <v>342</v>
      </c>
    </row>
    <row r="80" spans="1:3" ht="54.75" thickBot="1">
      <c r="A80" s="52" t="s">
        <v>343</v>
      </c>
      <c r="B80" s="50" t="s">
        <v>344</v>
      </c>
      <c r="C80" s="51" t="s">
        <v>345</v>
      </c>
    </row>
    <row r="81" spans="1:3" ht="54.75" thickBot="1">
      <c r="A81" s="52" t="s">
        <v>343</v>
      </c>
      <c r="B81" s="53" t="s">
        <v>344</v>
      </c>
      <c r="C81" s="54" t="s">
        <v>345</v>
      </c>
    </row>
    <row r="82" spans="1:3" ht="54.75" thickBot="1">
      <c r="A82" s="52" t="s">
        <v>346</v>
      </c>
      <c r="B82" s="50" t="s">
        <v>347</v>
      </c>
      <c r="C82" s="51" t="s">
        <v>348</v>
      </c>
    </row>
    <row r="83" spans="1:3" ht="68.25" thickBot="1">
      <c r="A83" s="52" t="s">
        <v>349</v>
      </c>
      <c r="B83" s="53" t="s">
        <v>350</v>
      </c>
      <c r="C83" s="54" t="s">
        <v>351</v>
      </c>
    </row>
    <row r="84" spans="1:3" ht="54.75" thickBot="1">
      <c r="A84" s="52" t="s">
        <v>352</v>
      </c>
      <c r="B84" s="50" t="s">
        <v>353</v>
      </c>
      <c r="C84" s="51" t="s">
        <v>354</v>
      </c>
    </row>
    <row r="85" spans="1:3" ht="68.25" thickBot="1">
      <c r="A85" s="52" t="s">
        <v>355</v>
      </c>
      <c r="B85" s="53" t="s">
        <v>356</v>
      </c>
      <c r="C85" s="54" t="s">
        <v>357</v>
      </c>
    </row>
    <row r="86" spans="1:3" ht="81.75" thickBot="1">
      <c r="A86" s="52" t="s">
        <v>358</v>
      </c>
      <c r="B86" s="50" t="s">
        <v>359</v>
      </c>
      <c r="C86" s="51" t="s">
        <v>360</v>
      </c>
    </row>
    <row r="87" spans="1:3" ht="81.75" thickBot="1">
      <c r="A87" s="52" t="s">
        <v>361</v>
      </c>
      <c r="B87" s="53" t="s">
        <v>362</v>
      </c>
      <c r="C87" s="54" t="s">
        <v>363</v>
      </c>
    </row>
    <row r="88" spans="1:3" ht="68.25" thickBot="1">
      <c r="A88" s="52" t="s">
        <v>364</v>
      </c>
      <c r="B88" s="50" t="s">
        <v>365</v>
      </c>
      <c r="C88" s="51" t="s">
        <v>366</v>
      </c>
    </row>
    <row r="89" spans="1:3" ht="68.25" thickBot="1">
      <c r="A89" s="52" t="s">
        <v>367</v>
      </c>
      <c r="B89" s="53" t="s">
        <v>368</v>
      </c>
      <c r="C89" s="54" t="s">
        <v>369</v>
      </c>
    </row>
    <row r="90" spans="1:3" ht="68.25" thickBot="1">
      <c r="A90" s="52" t="s">
        <v>370</v>
      </c>
      <c r="B90" s="50" t="s">
        <v>371</v>
      </c>
      <c r="C90" s="51" t="s">
        <v>372</v>
      </c>
    </row>
    <row r="91" spans="1:3" ht="68.25" thickBot="1">
      <c r="A91" s="52" t="s">
        <v>373</v>
      </c>
      <c r="B91" s="53" t="s">
        <v>374</v>
      </c>
      <c r="C91" s="54" t="s">
        <v>375</v>
      </c>
    </row>
    <row r="92" spans="1:3" ht="54.75" thickBot="1">
      <c r="A92" s="52" t="s">
        <v>376</v>
      </c>
      <c r="B92" s="50" t="s">
        <v>377</v>
      </c>
      <c r="C92" s="51" t="s">
        <v>378</v>
      </c>
    </row>
    <row r="93" spans="1:3" ht="68.25" thickBot="1">
      <c r="A93" s="52" t="s">
        <v>379</v>
      </c>
      <c r="B93" s="53" t="s">
        <v>380</v>
      </c>
      <c r="C93" s="54" t="s">
        <v>381</v>
      </c>
    </row>
    <row r="94" spans="1:3" ht="41.25" thickBot="1">
      <c r="A94" s="52" t="s">
        <v>382</v>
      </c>
      <c r="B94" s="50" t="s">
        <v>383</v>
      </c>
      <c r="C94" s="51" t="s">
        <v>384</v>
      </c>
    </row>
    <row r="95" spans="1:3" ht="68.25" thickBot="1">
      <c r="A95" s="52" t="s">
        <v>346</v>
      </c>
      <c r="B95" s="53" t="s">
        <v>385</v>
      </c>
      <c r="C95" s="54" t="s">
        <v>348</v>
      </c>
    </row>
    <row r="96" spans="1:3" ht="68.25" thickBot="1">
      <c r="A96" s="52" t="s">
        <v>386</v>
      </c>
      <c r="B96" s="50" t="s">
        <v>387</v>
      </c>
      <c r="C96" s="51" t="s">
        <v>388</v>
      </c>
    </row>
    <row r="97" spans="1:3" ht="41.25" thickBot="1">
      <c r="A97" s="53" t="s">
        <v>389</v>
      </c>
      <c r="B97" s="53" t="s">
        <v>390</v>
      </c>
      <c r="C97" s="54" t="s">
        <v>391</v>
      </c>
    </row>
    <row r="98" spans="1:3" ht="41.25" thickBot="1">
      <c r="A98" s="50" t="s">
        <v>392</v>
      </c>
      <c r="B98" s="50" t="s">
        <v>393</v>
      </c>
      <c r="C98" s="51" t="s">
        <v>394</v>
      </c>
    </row>
    <row r="99" spans="1:3" ht="41.25" thickBot="1">
      <c r="A99" s="52" t="s">
        <v>395</v>
      </c>
      <c r="B99" s="53" t="s">
        <v>396</v>
      </c>
      <c r="C99" s="54" t="s">
        <v>397</v>
      </c>
    </row>
    <row r="100" spans="1:3" ht="54.75" thickBot="1">
      <c r="A100" s="52" t="s">
        <v>398</v>
      </c>
      <c r="B100" s="50" t="s">
        <v>399</v>
      </c>
      <c r="C100" s="51" t="s">
        <v>400</v>
      </c>
    </row>
    <row r="101" spans="1:3" ht="41.25" thickBot="1">
      <c r="A101" s="52" t="s">
        <v>401</v>
      </c>
      <c r="B101" s="53" t="s">
        <v>402</v>
      </c>
      <c r="C101" s="54" t="s">
        <v>403</v>
      </c>
    </row>
    <row r="102" spans="1:3" ht="54.75" thickBot="1">
      <c r="A102" s="52" t="s">
        <v>404</v>
      </c>
      <c r="B102" s="50" t="s">
        <v>405</v>
      </c>
      <c r="C102" s="51" t="s">
        <v>406</v>
      </c>
    </row>
    <row r="103" spans="1:3" ht="54.75" thickBot="1">
      <c r="A103" s="52" t="s">
        <v>407</v>
      </c>
      <c r="B103" s="53" t="s">
        <v>408</v>
      </c>
      <c r="C103" s="54" t="s">
        <v>409</v>
      </c>
    </row>
    <row r="104" spans="1:3" ht="54.75" thickBot="1">
      <c r="A104" s="52" t="s">
        <v>410</v>
      </c>
      <c r="B104" s="50" t="s">
        <v>411</v>
      </c>
      <c r="C104" s="51" t="s">
        <v>412</v>
      </c>
    </row>
    <row r="105" spans="1:3" ht="54.75" thickBot="1">
      <c r="A105" s="52" t="s">
        <v>413</v>
      </c>
      <c r="B105" s="53" t="s">
        <v>414</v>
      </c>
      <c r="C105" s="54" t="s">
        <v>415</v>
      </c>
    </row>
    <row r="106" spans="1:3" ht="54.75" thickBot="1">
      <c r="A106" s="50" t="s">
        <v>416</v>
      </c>
      <c r="B106" s="50" t="s">
        <v>417</v>
      </c>
      <c r="C106" s="51" t="s">
        <v>418</v>
      </c>
    </row>
    <row r="107" spans="1:3" ht="54.75" thickBot="1">
      <c r="A107" s="52" t="s">
        <v>419</v>
      </c>
      <c r="B107" s="53" t="s">
        <v>420</v>
      </c>
      <c r="C107" s="54" t="s">
        <v>421</v>
      </c>
    </row>
    <row r="108" spans="1:3" ht="54.75" thickBot="1">
      <c r="A108" s="52" t="s">
        <v>422</v>
      </c>
      <c r="B108" s="50" t="s">
        <v>423</v>
      </c>
      <c r="C108" s="51" t="s">
        <v>424</v>
      </c>
    </row>
    <row r="109" spans="1:3" ht="54.75" thickBot="1">
      <c r="A109" s="52" t="s">
        <v>425</v>
      </c>
      <c r="B109" s="53" t="s">
        <v>423</v>
      </c>
      <c r="C109" s="54" t="s">
        <v>426</v>
      </c>
    </row>
    <row r="110" spans="1:3" ht="54.75" thickBot="1">
      <c r="A110" s="52" t="s">
        <v>427</v>
      </c>
      <c r="B110" s="50" t="s">
        <v>428</v>
      </c>
      <c r="C110" s="51" t="s">
        <v>424</v>
      </c>
    </row>
    <row r="111" spans="1:3" ht="54.75" thickBot="1">
      <c r="A111" s="52" t="s">
        <v>429</v>
      </c>
      <c r="B111" s="53" t="s">
        <v>428</v>
      </c>
      <c r="C111" s="54" t="s">
        <v>430</v>
      </c>
    </row>
    <row r="112" spans="1:3" ht="54.75" thickBot="1">
      <c r="A112" s="52" t="s">
        <v>431</v>
      </c>
      <c r="B112" s="50" t="s">
        <v>428</v>
      </c>
      <c r="C112" s="51" t="s">
        <v>418</v>
      </c>
    </row>
    <row r="113" spans="1:3" ht="54.75" thickBot="1">
      <c r="A113" s="52" t="s">
        <v>432</v>
      </c>
      <c r="B113" s="53" t="s">
        <v>428</v>
      </c>
      <c r="C113" s="54" t="s">
        <v>424</v>
      </c>
    </row>
    <row r="114" spans="1:3" ht="54.75" thickBot="1">
      <c r="A114" s="52" t="s">
        <v>433</v>
      </c>
      <c r="B114" s="50" t="s">
        <v>434</v>
      </c>
      <c r="C114" s="51" t="s">
        <v>435</v>
      </c>
    </row>
    <row r="115" spans="1:3" ht="68.25" thickBot="1">
      <c r="A115" s="52" t="s">
        <v>436</v>
      </c>
      <c r="B115" s="53" t="s">
        <v>437</v>
      </c>
      <c r="C115" s="54" t="s">
        <v>438</v>
      </c>
    </row>
    <row r="116" spans="1:3" ht="54.75" thickBot="1">
      <c r="A116" s="52" t="s">
        <v>416</v>
      </c>
      <c r="B116" s="50" t="s">
        <v>417</v>
      </c>
      <c r="C116" s="51" t="s">
        <v>418</v>
      </c>
    </row>
    <row r="117" spans="1:3" ht="54.75" thickBot="1">
      <c r="A117" s="52" t="s">
        <v>419</v>
      </c>
      <c r="B117" s="53" t="s">
        <v>420</v>
      </c>
      <c r="C117" s="54" t="s">
        <v>421</v>
      </c>
    </row>
    <row r="118" spans="1:3" ht="54.75" thickBot="1">
      <c r="A118" s="50" t="s">
        <v>439</v>
      </c>
      <c r="B118" s="50" t="s">
        <v>440</v>
      </c>
      <c r="C118" s="51" t="s">
        <v>441</v>
      </c>
    </row>
    <row r="119" spans="1:3" ht="54.75" thickBot="1">
      <c r="A119" s="52" t="s">
        <v>442</v>
      </c>
      <c r="B119" s="53" t="s">
        <v>443</v>
      </c>
      <c r="C119" s="54" t="s">
        <v>444</v>
      </c>
    </row>
    <row r="120" spans="1:3" ht="54.75" thickBot="1">
      <c r="A120" s="52" t="s">
        <v>445</v>
      </c>
      <c r="B120" s="50" t="s">
        <v>446</v>
      </c>
      <c r="C120" s="51" t="s">
        <v>447</v>
      </c>
    </row>
    <row r="121" spans="1:3" ht="68.25" thickBot="1">
      <c r="A121" s="52" t="s">
        <v>448</v>
      </c>
      <c r="B121" s="53" t="s">
        <v>449</v>
      </c>
      <c r="C121" s="54" t="s">
        <v>450</v>
      </c>
    </row>
    <row r="122" spans="1:3" ht="54.75" thickBot="1">
      <c r="A122" s="52" t="s">
        <v>451</v>
      </c>
      <c r="B122" s="50" t="s">
        <v>452</v>
      </c>
      <c r="C122" s="51" t="s">
        <v>453</v>
      </c>
    </row>
    <row r="123" spans="1:3" ht="68.25" thickBot="1">
      <c r="A123" s="52" t="s">
        <v>454</v>
      </c>
      <c r="B123" s="53" t="s">
        <v>455</v>
      </c>
      <c r="C123" s="54" t="s">
        <v>456</v>
      </c>
    </row>
    <row r="124" spans="1:3" ht="54.75" thickBot="1">
      <c r="A124" s="50" t="s">
        <v>457</v>
      </c>
      <c r="B124" s="50" t="s">
        <v>458</v>
      </c>
      <c r="C124" s="51" t="s">
        <v>459</v>
      </c>
    </row>
    <row r="125" spans="1:3" ht="41.25" thickBot="1">
      <c r="A125" s="52" t="s">
        <v>460</v>
      </c>
      <c r="B125" s="53" t="s">
        <v>461</v>
      </c>
      <c r="C125" s="54" t="s">
        <v>462</v>
      </c>
    </row>
    <row r="126" spans="1:3" ht="41.25" thickBot="1">
      <c r="A126" s="52" t="s">
        <v>463</v>
      </c>
      <c r="B126" s="50" t="s">
        <v>464</v>
      </c>
      <c r="C126" s="51" t="s">
        <v>465</v>
      </c>
    </row>
    <row r="127" spans="1:3" ht="54.75" thickBot="1">
      <c r="A127" s="52" t="s">
        <v>466</v>
      </c>
      <c r="B127" s="53" t="s">
        <v>467</v>
      </c>
      <c r="C127" s="54" t="s">
        <v>468</v>
      </c>
    </row>
    <row r="128" spans="1:3" ht="68.25" thickBot="1">
      <c r="A128" s="52" t="s">
        <v>469</v>
      </c>
      <c r="B128" s="50" t="s">
        <v>470</v>
      </c>
      <c r="C128" s="51" t="s">
        <v>471</v>
      </c>
    </row>
    <row r="129" spans="1:3" ht="41.25" thickBot="1">
      <c r="A129" s="52" t="s">
        <v>472</v>
      </c>
      <c r="B129" s="53" t="s">
        <v>473</v>
      </c>
      <c r="C129" s="54" t="s">
        <v>474</v>
      </c>
    </row>
    <row r="130" spans="1:3" ht="68.25" thickBot="1">
      <c r="A130" s="52" t="s">
        <v>475</v>
      </c>
      <c r="B130" s="50" t="s">
        <v>476</v>
      </c>
      <c r="C130" s="51" t="s">
        <v>477</v>
      </c>
    </row>
    <row r="131" spans="1:3" ht="41.25" thickBot="1">
      <c r="A131" s="52" t="s">
        <v>478</v>
      </c>
      <c r="B131" s="53" t="s">
        <v>479</v>
      </c>
      <c r="C131" s="54" t="s">
        <v>480</v>
      </c>
    </row>
    <row r="132" spans="1:3" ht="68.25" thickBot="1">
      <c r="A132" s="52" t="s">
        <v>481</v>
      </c>
      <c r="B132" s="50" t="s">
        <v>482</v>
      </c>
      <c r="C132" s="51" t="s">
        <v>483</v>
      </c>
    </row>
    <row r="133" spans="1:3" ht="54.75" thickBot="1">
      <c r="A133" s="52" t="s">
        <v>484</v>
      </c>
      <c r="B133" s="53" t="s">
        <v>485</v>
      </c>
      <c r="C133" s="54" t="s">
        <v>486</v>
      </c>
    </row>
    <row r="134" spans="1:3" ht="54.75" thickBot="1">
      <c r="A134" s="52" t="s">
        <v>487</v>
      </c>
      <c r="B134" s="50" t="s">
        <v>488</v>
      </c>
      <c r="C134" s="51" t="s">
        <v>489</v>
      </c>
    </row>
    <row r="135" spans="1:3" ht="68.25" thickBot="1">
      <c r="A135" s="52" t="s">
        <v>490</v>
      </c>
      <c r="B135" s="53" t="s">
        <v>491</v>
      </c>
      <c r="C135" s="54" t="s">
        <v>492</v>
      </c>
    </row>
    <row r="136" spans="1:3" ht="54.75" thickBot="1">
      <c r="A136" s="52" t="s">
        <v>493</v>
      </c>
      <c r="B136" s="50" t="s">
        <v>494</v>
      </c>
      <c r="C136" s="51" t="s">
        <v>495</v>
      </c>
    </row>
    <row r="137" spans="1:3" ht="68.25" thickBot="1">
      <c r="A137" s="52" t="s">
        <v>496</v>
      </c>
      <c r="B137" s="53" t="s">
        <v>497</v>
      </c>
      <c r="C137" s="54" t="s">
        <v>498</v>
      </c>
    </row>
    <row r="138" spans="1:3" ht="54.75" thickBot="1">
      <c r="A138" s="50" t="s">
        <v>499</v>
      </c>
      <c r="B138" s="50" t="s">
        <v>500</v>
      </c>
      <c r="C138" s="51" t="s">
        <v>501</v>
      </c>
    </row>
    <row r="139" spans="1:3" ht="54.75" thickBot="1">
      <c r="A139" s="52" t="s">
        <v>502</v>
      </c>
      <c r="B139" s="53" t="s">
        <v>503</v>
      </c>
      <c r="C139" s="54" t="s">
        <v>504</v>
      </c>
    </row>
    <row r="140" spans="1:3" ht="54.75" thickBot="1">
      <c r="A140" s="52" t="s">
        <v>505</v>
      </c>
      <c r="B140" s="50" t="s">
        <v>506</v>
      </c>
      <c r="C140" s="51" t="s">
        <v>507</v>
      </c>
    </row>
    <row r="141" spans="1:3" ht="81.75" thickBot="1">
      <c r="A141" s="52" t="s">
        <v>508</v>
      </c>
      <c r="B141" s="53" t="s">
        <v>509</v>
      </c>
      <c r="C141" s="54" t="s">
        <v>510</v>
      </c>
    </row>
    <row r="142" spans="1:3" ht="54.75" thickBot="1">
      <c r="A142" s="52" t="s">
        <v>511</v>
      </c>
      <c r="B142" s="50" t="s">
        <v>512</v>
      </c>
      <c r="C142" s="51" t="s">
        <v>513</v>
      </c>
    </row>
    <row r="143" spans="1:3" ht="81.75" thickBot="1">
      <c r="A143" s="52" t="s">
        <v>514</v>
      </c>
      <c r="B143" s="53" t="s">
        <v>515</v>
      </c>
      <c r="C143" s="54" t="s">
        <v>516</v>
      </c>
    </row>
    <row r="144" spans="1:3" ht="68.25" thickBot="1">
      <c r="A144" s="52" t="s">
        <v>517</v>
      </c>
      <c r="B144" s="50" t="s">
        <v>518</v>
      </c>
      <c r="C144" s="51" t="s">
        <v>519</v>
      </c>
    </row>
    <row r="145" spans="1:3" ht="68.25" thickBot="1">
      <c r="A145" s="52" t="s">
        <v>520</v>
      </c>
      <c r="B145" s="53" t="s">
        <v>518</v>
      </c>
      <c r="C145" s="54" t="s">
        <v>519</v>
      </c>
    </row>
    <row r="146" spans="1:3" ht="81.75" thickBot="1">
      <c r="A146" s="52" t="s">
        <v>521</v>
      </c>
      <c r="B146" s="50" t="s">
        <v>522</v>
      </c>
      <c r="C146" s="51" t="s">
        <v>523</v>
      </c>
    </row>
    <row r="147" spans="1:3" ht="68.25" thickBot="1">
      <c r="A147" s="52" t="s">
        <v>524</v>
      </c>
      <c r="B147" s="53" t="s">
        <v>525</v>
      </c>
      <c r="C147" s="54" t="s">
        <v>526</v>
      </c>
    </row>
    <row r="148" spans="1:3" ht="68.25" thickBot="1">
      <c r="A148" s="52" t="s">
        <v>527</v>
      </c>
      <c r="B148" s="50" t="s">
        <v>528</v>
      </c>
      <c r="C148" s="51" t="s">
        <v>529</v>
      </c>
    </row>
    <row r="149" spans="1:3" ht="81.75" thickBot="1">
      <c r="A149" s="52" t="s">
        <v>499</v>
      </c>
      <c r="B149" s="53" t="s">
        <v>530</v>
      </c>
      <c r="C149" s="54" t="s">
        <v>501</v>
      </c>
    </row>
    <row r="150" spans="1:3" ht="95.25" thickBot="1">
      <c r="A150" s="52" t="s">
        <v>531</v>
      </c>
      <c r="B150" s="50" t="s">
        <v>532</v>
      </c>
      <c r="C150" s="51" t="s">
        <v>533</v>
      </c>
    </row>
    <row r="151" spans="1:3" ht="108.75" thickBot="1">
      <c r="A151" s="52" t="s">
        <v>534</v>
      </c>
      <c r="B151" s="53" t="s">
        <v>535</v>
      </c>
      <c r="C151" s="54" t="s">
        <v>536</v>
      </c>
    </row>
    <row r="152" spans="1:3" ht="54.75" thickBot="1">
      <c r="A152" s="52" t="s">
        <v>537</v>
      </c>
      <c r="B152" s="50" t="s">
        <v>538</v>
      </c>
      <c r="C152" s="51" t="s">
        <v>539</v>
      </c>
    </row>
    <row r="153" spans="1:3" ht="54.75" thickBot="1">
      <c r="A153" s="52" t="s">
        <v>540</v>
      </c>
      <c r="B153" s="53" t="s">
        <v>541</v>
      </c>
      <c r="C153" s="54" t="s">
        <v>542</v>
      </c>
    </row>
    <row r="154" spans="1:3" ht="54.75" thickBot="1">
      <c r="A154" s="52" t="s">
        <v>543</v>
      </c>
      <c r="B154" s="50" t="s">
        <v>544</v>
      </c>
      <c r="C154" s="51" t="s">
        <v>545</v>
      </c>
    </row>
    <row r="155" spans="1:3" ht="54.75" thickBot="1">
      <c r="A155" s="52" t="s">
        <v>546</v>
      </c>
      <c r="B155" s="53" t="s">
        <v>547</v>
      </c>
      <c r="C155" s="54" t="s">
        <v>548</v>
      </c>
    </row>
    <row r="156" spans="1:3" ht="68.25" thickBot="1">
      <c r="A156" s="50" t="s">
        <v>549</v>
      </c>
      <c r="B156" s="50" t="s">
        <v>550</v>
      </c>
      <c r="C156" s="51" t="s">
        <v>551</v>
      </c>
    </row>
    <row r="157" spans="1:3" ht="54.75" thickBot="1">
      <c r="A157" s="52" t="s">
        <v>552</v>
      </c>
      <c r="B157" s="53" t="s">
        <v>553</v>
      </c>
      <c r="C157" s="54" t="s">
        <v>554</v>
      </c>
    </row>
    <row r="158" spans="1:3" ht="54.75" thickBot="1">
      <c r="A158" s="52" t="s">
        <v>543</v>
      </c>
      <c r="B158" s="50" t="s">
        <v>544</v>
      </c>
      <c r="C158" s="51" t="s">
        <v>545</v>
      </c>
    </row>
    <row r="159" spans="1:3" ht="68.25" thickBot="1">
      <c r="A159" s="52" t="s">
        <v>555</v>
      </c>
      <c r="B159" s="53" t="s">
        <v>556</v>
      </c>
      <c r="C159" s="54" t="s">
        <v>557</v>
      </c>
    </row>
    <row r="160" spans="1:3" ht="54.75" thickBot="1">
      <c r="A160" s="52" t="s">
        <v>558</v>
      </c>
      <c r="B160" s="50" t="s">
        <v>559</v>
      </c>
      <c r="C160" s="51" t="s">
        <v>560</v>
      </c>
    </row>
    <row r="161" spans="1:3" ht="54.75" thickBot="1">
      <c r="A161" s="52" t="s">
        <v>561</v>
      </c>
      <c r="B161" s="53" t="s">
        <v>562</v>
      </c>
      <c r="C161" s="54" t="s">
        <v>563</v>
      </c>
    </row>
    <row r="162" spans="1:3" ht="54.75" thickBot="1">
      <c r="A162" s="52" t="s">
        <v>564</v>
      </c>
      <c r="B162" s="50" t="s">
        <v>565</v>
      </c>
      <c r="C162" s="51" t="s">
        <v>566</v>
      </c>
    </row>
    <row r="163" spans="1:3" ht="54.75" thickBot="1">
      <c r="A163" s="52" t="s">
        <v>567</v>
      </c>
      <c r="B163" s="53" t="s">
        <v>568</v>
      </c>
      <c r="C163" s="54" t="s">
        <v>569</v>
      </c>
    </row>
    <row r="164" spans="1:3" ht="54.75" thickBot="1">
      <c r="A164" s="52" t="s">
        <v>546</v>
      </c>
      <c r="B164" s="50" t="s">
        <v>547</v>
      </c>
      <c r="C164" s="51" t="s">
        <v>548</v>
      </c>
    </row>
    <row r="165" spans="1:3" ht="41.25" thickBot="1">
      <c r="A165" s="52" t="s">
        <v>570</v>
      </c>
      <c r="B165" s="53" t="s">
        <v>571</v>
      </c>
      <c r="C165" s="54" t="s">
        <v>572</v>
      </c>
    </row>
    <row r="166" spans="1:3" ht="54.75" thickBot="1">
      <c r="A166" s="50" t="s">
        <v>573</v>
      </c>
      <c r="B166" s="50" t="s">
        <v>574</v>
      </c>
      <c r="C166" s="51" t="s">
        <v>575</v>
      </c>
    </row>
    <row r="167" spans="1:3" ht="68.25" thickBot="1">
      <c r="A167" s="52" t="s">
        <v>576</v>
      </c>
      <c r="B167" s="53" t="s">
        <v>577</v>
      </c>
      <c r="C167" s="54" t="s">
        <v>578</v>
      </c>
    </row>
    <row r="168" spans="1:3" ht="68.25" thickBot="1">
      <c r="A168" s="52" t="s">
        <v>579</v>
      </c>
      <c r="B168" s="50" t="s">
        <v>580</v>
      </c>
      <c r="C168" s="51" t="s">
        <v>581</v>
      </c>
    </row>
    <row r="169" spans="1:3" ht="54.75" thickBot="1">
      <c r="A169" s="52" t="s">
        <v>582</v>
      </c>
      <c r="B169" s="53" t="s">
        <v>583</v>
      </c>
      <c r="C169" s="54" t="s">
        <v>584</v>
      </c>
    </row>
    <row r="170" spans="1:3" ht="54.75" thickBot="1">
      <c r="A170" s="52" t="s">
        <v>585</v>
      </c>
      <c r="B170" s="50" t="s">
        <v>586</v>
      </c>
      <c r="C170" s="51" t="s">
        <v>587</v>
      </c>
    </row>
    <row r="171" spans="1:3" ht="54.75" thickBot="1">
      <c r="A171" s="53" t="s">
        <v>588</v>
      </c>
      <c r="B171" s="53" t="s">
        <v>589</v>
      </c>
      <c r="C171" s="54" t="s">
        <v>590</v>
      </c>
    </row>
    <row r="172" spans="1:3" ht="81.75" thickBot="1">
      <c r="A172" s="52" t="s">
        <v>591</v>
      </c>
      <c r="B172" s="50" t="s">
        <v>592</v>
      </c>
      <c r="C172" s="51" t="s">
        <v>593</v>
      </c>
    </row>
    <row r="173" spans="1:3" ht="54.75" thickBot="1">
      <c r="A173" s="52" t="s">
        <v>594</v>
      </c>
      <c r="B173" s="53" t="s">
        <v>595</v>
      </c>
      <c r="C173" s="54" t="s">
        <v>596</v>
      </c>
    </row>
    <row r="174" spans="1:3" ht="54.75" thickBot="1">
      <c r="A174" s="52" t="s">
        <v>597</v>
      </c>
      <c r="B174" s="50" t="s">
        <v>598</v>
      </c>
      <c r="C174" s="51" t="s">
        <v>599</v>
      </c>
    </row>
    <row r="175" spans="1:3" ht="54.75" thickBot="1">
      <c r="A175" s="52" t="s">
        <v>600</v>
      </c>
      <c r="B175" s="53" t="s">
        <v>601</v>
      </c>
      <c r="C175" s="54" t="s">
        <v>602</v>
      </c>
    </row>
    <row r="176" spans="1:3" ht="54.75" thickBot="1">
      <c r="A176" s="52" t="s">
        <v>603</v>
      </c>
      <c r="B176" s="50" t="s">
        <v>604</v>
      </c>
      <c r="C176" s="51" t="s">
        <v>605</v>
      </c>
    </row>
    <row r="177" spans="1:3" ht="41.25" thickBot="1">
      <c r="A177" s="52" t="s">
        <v>606</v>
      </c>
      <c r="B177" s="53" t="s">
        <v>607</v>
      </c>
      <c r="C177" s="54" t="s">
        <v>608</v>
      </c>
    </row>
    <row r="178" spans="1:3" ht="54.75" thickBot="1">
      <c r="A178" s="52" t="s">
        <v>609</v>
      </c>
      <c r="B178" s="50" t="s">
        <v>610</v>
      </c>
      <c r="C178" s="51" t="s">
        <v>611</v>
      </c>
    </row>
    <row r="179" spans="1:3" ht="54.75" thickBot="1">
      <c r="A179" s="52" t="s">
        <v>612</v>
      </c>
      <c r="B179" s="53" t="s">
        <v>613</v>
      </c>
      <c r="C179" s="54" t="s">
        <v>614</v>
      </c>
    </row>
    <row r="180" spans="1:3" ht="54.75" thickBot="1">
      <c r="A180" s="52" t="s">
        <v>615</v>
      </c>
      <c r="B180" s="50" t="s">
        <v>616</v>
      </c>
      <c r="C180" s="51" t="s">
        <v>617</v>
      </c>
    </row>
    <row r="181" spans="1:3" ht="41.25" thickBot="1">
      <c r="A181" s="52" t="s">
        <v>606</v>
      </c>
      <c r="B181" s="53" t="s">
        <v>618</v>
      </c>
      <c r="C181" s="54" t="s">
        <v>608</v>
      </c>
    </row>
    <row r="182" spans="1:3" ht="54.75" thickBot="1">
      <c r="A182" s="50" t="s">
        <v>619</v>
      </c>
      <c r="B182" s="50" t="s">
        <v>620</v>
      </c>
      <c r="C182" s="51" t="s">
        <v>621</v>
      </c>
    </row>
    <row r="183" spans="1:3" ht="54.75" thickBot="1">
      <c r="A183" s="52" t="s">
        <v>622</v>
      </c>
      <c r="B183" s="53" t="s">
        <v>623</v>
      </c>
      <c r="C183" s="54" t="s">
        <v>624</v>
      </c>
    </row>
    <row r="184" spans="1:3" ht="41.25" thickBot="1">
      <c r="A184" s="50" t="s">
        <v>625</v>
      </c>
      <c r="B184" s="50" t="s">
        <v>626</v>
      </c>
      <c r="C184" s="51" t="s">
        <v>627</v>
      </c>
    </row>
    <row r="185" spans="1:3" ht="54.75" thickBot="1">
      <c r="A185" s="52" t="s">
        <v>628</v>
      </c>
      <c r="B185" s="53" t="s">
        <v>629</v>
      </c>
      <c r="C185" s="54" t="s">
        <v>630</v>
      </c>
    </row>
    <row r="186" spans="1:3" ht="54.75" thickBot="1">
      <c r="A186" s="52" t="s">
        <v>631</v>
      </c>
      <c r="B186" s="50" t="s">
        <v>632</v>
      </c>
      <c r="C186" s="51" t="s">
        <v>633</v>
      </c>
    </row>
    <row r="187" spans="1:3" ht="54.75" thickBot="1">
      <c r="A187" s="53" t="s">
        <v>634</v>
      </c>
      <c r="B187" s="53" t="s">
        <v>635</v>
      </c>
      <c r="C187" s="54" t="s">
        <v>636</v>
      </c>
    </row>
    <row r="188" spans="1:3" ht="54.75" thickBot="1">
      <c r="A188" s="50" t="s">
        <v>637</v>
      </c>
      <c r="B188" s="50" t="s">
        <v>638</v>
      </c>
      <c r="C188" s="51" t="s">
        <v>639</v>
      </c>
    </row>
    <row r="189" spans="1:3" ht="41.25" thickBot="1">
      <c r="A189" s="52" t="s">
        <v>640</v>
      </c>
      <c r="B189" s="53" t="s">
        <v>641</v>
      </c>
      <c r="C189" s="54" t="s">
        <v>642</v>
      </c>
    </row>
    <row r="190" spans="1:3" ht="54.75" thickBot="1">
      <c r="A190" s="50" t="s">
        <v>643</v>
      </c>
      <c r="B190" s="50" t="s">
        <v>644</v>
      </c>
      <c r="C190" s="51" t="s">
        <v>645</v>
      </c>
    </row>
    <row r="191" spans="1:3" ht="54.75" thickBot="1">
      <c r="A191" s="52" t="s">
        <v>646</v>
      </c>
      <c r="B191" s="53" t="s">
        <v>647</v>
      </c>
      <c r="C191" s="54" t="s">
        <v>648</v>
      </c>
    </row>
    <row r="192" spans="1:3" ht="68.25" thickBot="1">
      <c r="A192" s="52" t="s">
        <v>649</v>
      </c>
      <c r="B192" s="50" t="s">
        <v>650</v>
      </c>
      <c r="C192" s="51" t="s">
        <v>651</v>
      </c>
    </row>
    <row r="193" spans="1:3" ht="68.25" thickBot="1">
      <c r="A193" s="52" t="s">
        <v>652</v>
      </c>
      <c r="B193" s="53" t="s">
        <v>653</v>
      </c>
      <c r="C193" s="54" t="s">
        <v>654</v>
      </c>
    </row>
    <row r="194" spans="1:3" ht="68.25" thickBot="1">
      <c r="A194" s="52" t="s">
        <v>655</v>
      </c>
      <c r="B194" s="50" t="s">
        <v>656</v>
      </c>
      <c r="C194" s="51" t="s">
        <v>657</v>
      </c>
    </row>
    <row r="195" spans="1:3" ht="54.75" thickBot="1">
      <c r="A195" s="52" t="s">
        <v>658</v>
      </c>
      <c r="B195" s="53" t="s">
        <v>659</v>
      </c>
      <c r="C195" s="54" t="s">
        <v>660</v>
      </c>
    </row>
    <row r="196" spans="1:3" ht="54.75" thickBot="1">
      <c r="A196" s="52" t="s">
        <v>661</v>
      </c>
      <c r="B196" s="50" t="s">
        <v>662</v>
      </c>
      <c r="C196" s="51" t="s">
        <v>663</v>
      </c>
    </row>
    <row r="197" spans="1:3" ht="68.25" thickBot="1">
      <c r="A197" s="52" t="s">
        <v>664</v>
      </c>
      <c r="B197" s="53" t="s">
        <v>665</v>
      </c>
      <c r="C197" s="54" t="s">
        <v>666</v>
      </c>
    </row>
    <row r="198" spans="1:3" ht="68.25" thickBot="1">
      <c r="A198" s="52" t="s">
        <v>667</v>
      </c>
      <c r="B198" s="50" t="s">
        <v>668</v>
      </c>
      <c r="C198" s="51" t="s">
        <v>669</v>
      </c>
    </row>
    <row r="199" spans="1:3" ht="68.25" thickBot="1">
      <c r="A199" s="52" t="s">
        <v>670</v>
      </c>
      <c r="B199" s="53" t="s">
        <v>671</v>
      </c>
      <c r="C199" s="54" t="s">
        <v>672</v>
      </c>
    </row>
    <row r="200" spans="1:3" ht="68.25" thickBot="1">
      <c r="A200" s="52" t="s">
        <v>673</v>
      </c>
      <c r="B200" s="50" t="s">
        <v>674</v>
      </c>
      <c r="C200" s="51" t="s">
        <v>675</v>
      </c>
    </row>
    <row r="201" spans="1:3" ht="41.25" thickBot="1">
      <c r="A201" s="53" t="s">
        <v>676</v>
      </c>
      <c r="B201" s="53" t="s">
        <v>677</v>
      </c>
      <c r="C201" s="54" t="s">
        <v>678</v>
      </c>
    </row>
    <row r="202" spans="1:3" ht="41.25" thickBot="1">
      <c r="A202" s="52" t="s">
        <v>679</v>
      </c>
      <c r="B202" s="50" t="s">
        <v>680</v>
      </c>
      <c r="C202" s="51" t="s">
        <v>681</v>
      </c>
    </row>
    <row r="203" spans="1:3" ht="54.75" thickBot="1">
      <c r="A203" s="53" t="s">
        <v>682</v>
      </c>
      <c r="B203" s="53" t="s">
        <v>683</v>
      </c>
      <c r="C203" s="54" t="s">
        <v>684</v>
      </c>
    </row>
    <row r="204" spans="1:3" ht="54.75" thickBot="1">
      <c r="A204" s="52" t="s">
        <v>685</v>
      </c>
      <c r="B204" s="50" t="s">
        <v>686</v>
      </c>
      <c r="C204" s="51" t="s">
        <v>687</v>
      </c>
    </row>
    <row r="205" spans="1:3" ht="41.25" thickBot="1">
      <c r="A205" s="52" t="s">
        <v>688</v>
      </c>
      <c r="B205" s="53" t="s">
        <v>689</v>
      </c>
      <c r="C205" s="54" t="s">
        <v>690</v>
      </c>
    </row>
    <row r="206" spans="1:3" ht="41.25" thickBot="1">
      <c r="A206" s="52" t="s">
        <v>691</v>
      </c>
      <c r="B206" s="50" t="s">
        <v>692</v>
      </c>
      <c r="C206" s="51" t="s">
        <v>693</v>
      </c>
    </row>
    <row r="207" spans="1:3" ht="54.75" thickBot="1">
      <c r="A207" s="53" t="s">
        <v>694</v>
      </c>
      <c r="B207" s="53" t="s">
        <v>695</v>
      </c>
      <c r="C207" s="54" t="s">
        <v>696</v>
      </c>
    </row>
    <row r="208" spans="1:3" ht="54.75" thickBot="1">
      <c r="A208" s="52" t="s">
        <v>697</v>
      </c>
      <c r="B208" s="50" t="s">
        <v>698</v>
      </c>
      <c r="C208" s="51" t="s">
        <v>699</v>
      </c>
    </row>
    <row r="209" spans="1:3" ht="54.75" thickBot="1">
      <c r="A209" s="52" t="s">
        <v>700</v>
      </c>
      <c r="B209" s="53" t="s">
        <v>701</v>
      </c>
      <c r="C209" s="54" t="s">
        <v>702</v>
      </c>
    </row>
    <row r="210" spans="1:3" ht="68.25" thickBot="1">
      <c r="A210" s="52" t="s">
        <v>703</v>
      </c>
      <c r="B210" s="50" t="s">
        <v>704</v>
      </c>
      <c r="C210" s="51" t="s">
        <v>705</v>
      </c>
    </row>
    <row r="211" spans="1:3" ht="54.75" thickBot="1">
      <c r="A211" s="53" t="s">
        <v>706</v>
      </c>
      <c r="B211" s="53" t="s">
        <v>707</v>
      </c>
      <c r="C211" s="54" t="s">
        <v>708</v>
      </c>
    </row>
    <row r="212" spans="1:3" ht="54.75" thickBot="1">
      <c r="A212" s="52" t="s">
        <v>709</v>
      </c>
      <c r="B212" s="50" t="s">
        <v>710</v>
      </c>
      <c r="C212" s="51" t="s">
        <v>711</v>
      </c>
    </row>
    <row r="213" spans="1:3" ht="54.75" thickBot="1">
      <c r="A213" s="52" t="s">
        <v>706</v>
      </c>
      <c r="B213" s="53" t="s">
        <v>712</v>
      </c>
      <c r="C213" s="54" t="s">
        <v>708</v>
      </c>
    </row>
    <row r="214" spans="1:3" ht="54.75" thickBot="1">
      <c r="A214" s="52" t="s">
        <v>713</v>
      </c>
      <c r="B214" s="50" t="s">
        <v>714</v>
      </c>
      <c r="C214" s="51" t="s">
        <v>715</v>
      </c>
    </row>
    <row r="215" spans="1:3" ht="41.25" thickBot="1">
      <c r="A215" s="52" t="s">
        <v>716</v>
      </c>
      <c r="B215" s="53" t="s">
        <v>717</v>
      </c>
      <c r="C215" s="54" t="s">
        <v>718</v>
      </c>
    </row>
    <row r="216" spans="1:3" ht="54.75" thickBot="1">
      <c r="A216" s="52" t="s">
        <v>719</v>
      </c>
      <c r="B216" s="50" t="s">
        <v>720</v>
      </c>
      <c r="C216" s="51" t="s">
        <v>721</v>
      </c>
    </row>
    <row r="217" spans="1:3" ht="54.75" thickBot="1">
      <c r="A217" s="52" t="s">
        <v>722</v>
      </c>
      <c r="B217" s="53" t="s">
        <v>723</v>
      </c>
      <c r="C217" s="54" t="s">
        <v>724</v>
      </c>
    </row>
    <row r="218" spans="1:3" ht="54.75" thickBot="1">
      <c r="A218" s="52" t="s">
        <v>725</v>
      </c>
      <c r="B218" s="50" t="s">
        <v>726</v>
      </c>
      <c r="C218" s="51" t="s">
        <v>727</v>
      </c>
    </row>
    <row r="219" spans="1:3" ht="41.25" thickBot="1">
      <c r="A219" s="52" t="s">
        <v>728</v>
      </c>
      <c r="B219" s="53" t="s">
        <v>729</v>
      </c>
      <c r="C219" s="54" t="s">
        <v>730</v>
      </c>
    </row>
    <row r="220" spans="1:3" ht="41.25" thickBot="1">
      <c r="A220" s="52" t="s">
        <v>731</v>
      </c>
      <c r="B220" s="50" t="s">
        <v>732</v>
      </c>
      <c r="C220" s="51" t="s">
        <v>733</v>
      </c>
    </row>
    <row r="221" spans="1:3" ht="54.75" thickBot="1">
      <c r="A221" s="52" t="s">
        <v>734</v>
      </c>
      <c r="B221" s="53" t="s">
        <v>735</v>
      </c>
      <c r="C221" s="54" t="s">
        <v>736</v>
      </c>
    </row>
    <row r="222" spans="1:3" ht="54.75" thickBot="1">
      <c r="A222" s="52" t="s">
        <v>737</v>
      </c>
      <c r="B222" s="50" t="s">
        <v>738</v>
      </c>
      <c r="C222" s="51" t="s">
        <v>739</v>
      </c>
    </row>
    <row r="223" spans="1:3" ht="54.75" thickBot="1">
      <c r="A223" s="52" t="s">
        <v>740</v>
      </c>
      <c r="B223" s="53" t="s">
        <v>741</v>
      </c>
      <c r="C223" s="54" t="s">
        <v>742</v>
      </c>
    </row>
    <row r="224" spans="1:3" ht="54.75" thickBot="1">
      <c r="A224" s="52" t="s">
        <v>743</v>
      </c>
      <c r="B224" s="50" t="s">
        <v>744</v>
      </c>
      <c r="C224" s="51" t="s">
        <v>745</v>
      </c>
    </row>
    <row r="225" spans="1:3" ht="54.75" thickBot="1">
      <c r="A225" s="52" t="s">
        <v>746</v>
      </c>
      <c r="B225" s="53" t="s">
        <v>747</v>
      </c>
      <c r="C225" s="54" t="s">
        <v>748</v>
      </c>
    </row>
    <row r="226" spans="1:3" ht="54.75" thickBot="1">
      <c r="A226" s="52" t="s">
        <v>749</v>
      </c>
      <c r="B226" s="50" t="s">
        <v>750</v>
      </c>
      <c r="C226" s="51" t="s">
        <v>751</v>
      </c>
    </row>
    <row r="227" spans="1:3" ht="54.75" thickBot="1">
      <c r="A227" s="52" t="s">
        <v>752</v>
      </c>
      <c r="B227" s="53" t="s">
        <v>753</v>
      </c>
      <c r="C227" s="54" t="s">
        <v>754</v>
      </c>
    </row>
    <row r="228" spans="1:3" ht="54.75" thickBot="1">
      <c r="A228" s="52" t="s">
        <v>755</v>
      </c>
      <c r="B228" s="50" t="s">
        <v>756</v>
      </c>
      <c r="C228" s="51" t="s">
        <v>757</v>
      </c>
    </row>
    <row r="229" spans="1:3" ht="41.25" thickBot="1">
      <c r="A229" s="53" t="s">
        <v>758</v>
      </c>
      <c r="B229" s="53" t="s">
        <v>759</v>
      </c>
      <c r="C229" s="54" t="s">
        <v>760</v>
      </c>
    </row>
    <row r="230" spans="1:3" ht="41.25" thickBot="1">
      <c r="A230" s="52" t="s">
        <v>761</v>
      </c>
      <c r="B230" s="50" t="s">
        <v>762</v>
      </c>
      <c r="C230" s="51" t="s">
        <v>763</v>
      </c>
    </row>
    <row r="231" spans="1:3" ht="54.75" thickBot="1">
      <c r="A231" s="52" t="s">
        <v>764</v>
      </c>
      <c r="B231" s="53" t="s">
        <v>765</v>
      </c>
      <c r="C231" s="54" t="s">
        <v>766</v>
      </c>
    </row>
    <row r="232" spans="1:3" ht="54.75" thickBot="1">
      <c r="A232" s="52" t="s">
        <v>767</v>
      </c>
      <c r="B232" s="50" t="s">
        <v>768</v>
      </c>
      <c r="C232" s="51" t="s">
        <v>769</v>
      </c>
    </row>
    <row r="233" spans="1:3" ht="54.75" thickBot="1">
      <c r="A233" s="52" t="s">
        <v>770</v>
      </c>
      <c r="B233" s="53" t="s">
        <v>771</v>
      </c>
      <c r="C233" s="54" t="s">
        <v>772</v>
      </c>
    </row>
    <row r="234" spans="1:3" ht="54.75" thickBot="1">
      <c r="A234" s="52" t="s">
        <v>773</v>
      </c>
      <c r="B234" s="50" t="s">
        <v>774</v>
      </c>
      <c r="C234" s="51" t="s">
        <v>775</v>
      </c>
    </row>
    <row r="235" spans="1:3" ht="41.25" thickBot="1">
      <c r="A235" s="52" t="s">
        <v>776</v>
      </c>
      <c r="B235" s="53" t="s">
        <v>777</v>
      </c>
      <c r="C235" s="54" t="s">
        <v>778</v>
      </c>
    </row>
    <row r="236" spans="1:3" ht="54.75" thickBot="1">
      <c r="A236" s="52" t="s">
        <v>779</v>
      </c>
      <c r="B236" s="50" t="s">
        <v>780</v>
      </c>
      <c r="C236" s="51" t="s">
        <v>781</v>
      </c>
    </row>
    <row r="237" spans="1:3" ht="54.75" thickBot="1">
      <c r="A237" s="52" t="s">
        <v>782</v>
      </c>
      <c r="B237" s="53" t="s">
        <v>783</v>
      </c>
      <c r="C237" s="54" t="s">
        <v>784</v>
      </c>
    </row>
    <row r="238" spans="1:3" ht="54.75" thickBot="1">
      <c r="A238" s="52" t="s">
        <v>785</v>
      </c>
      <c r="B238" s="50" t="s">
        <v>786</v>
      </c>
      <c r="C238" s="51" t="s">
        <v>787</v>
      </c>
    </row>
    <row r="239" spans="1:3" ht="41.25" thickBot="1">
      <c r="A239" s="52" t="s">
        <v>761</v>
      </c>
      <c r="B239" s="53" t="s">
        <v>788</v>
      </c>
      <c r="C239" s="54" t="s">
        <v>763</v>
      </c>
    </row>
    <row r="240" spans="1:3" ht="54.75" thickBot="1">
      <c r="A240" s="52" t="s">
        <v>789</v>
      </c>
      <c r="B240" s="50" t="s">
        <v>790</v>
      </c>
      <c r="C240" s="51" t="s">
        <v>791</v>
      </c>
    </row>
    <row r="241" spans="1:3" ht="54.75" thickBot="1">
      <c r="A241" s="52" t="s">
        <v>792</v>
      </c>
      <c r="B241" s="53" t="s">
        <v>793</v>
      </c>
      <c r="C241" s="54" t="s">
        <v>794</v>
      </c>
    </row>
    <row r="242" spans="1:3" ht="54.75" thickBot="1">
      <c r="A242" s="52" t="s">
        <v>795</v>
      </c>
      <c r="B242" s="50" t="s">
        <v>796</v>
      </c>
      <c r="C242" s="51" t="s">
        <v>797</v>
      </c>
    </row>
    <row r="243" spans="1:3" ht="54.75" thickBot="1">
      <c r="A243" s="52" t="s">
        <v>798</v>
      </c>
      <c r="B243" s="53" t="s">
        <v>799</v>
      </c>
      <c r="C243" s="54" t="s">
        <v>800</v>
      </c>
    </row>
    <row r="244" spans="1:3" ht="54.75" thickBot="1">
      <c r="A244" s="52" t="s">
        <v>801</v>
      </c>
      <c r="B244" s="50" t="s">
        <v>802</v>
      </c>
      <c r="C244" s="51" t="s">
        <v>803</v>
      </c>
    </row>
    <row r="245" spans="1:3" ht="54.75" thickBot="1">
      <c r="A245" s="52" t="s">
        <v>764</v>
      </c>
      <c r="B245" s="53" t="s">
        <v>765</v>
      </c>
      <c r="C245" s="54" t="s">
        <v>766</v>
      </c>
    </row>
    <row r="246" spans="1:3" ht="54.75" thickBot="1">
      <c r="A246" s="52" t="s">
        <v>767</v>
      </c>
      <c r="B246" s="50" t="s">
        <v>768</v>
      </c>
      <c r="C246" s="51" t="s">
        <v>769</v>
      </c>
    </row>
    <row r="247" spans="1:3" ht="54.75" thickBot="1">
      <c r="A247" s="53" t="s">
        <v>804</v>
      </c>
      <c r="B247" s="53" t="s">
        <v>805</v>
      </c>
      <c r="C247" s="54" t="s">
        <v>684</v>
      </c>
    </row>
    <row r="248" spans="1:3" ht="54.75" thickBot="1">
      <c r="A248" s="52" t="s">
        <v>806</v>
      </c>
      <c r="B248" s="50" t="s">
        <v>807</v>
      </c>
      <c r="C248" s="51" t="s">
        <v>808</v>
      </c>
    </row>
    <row r="249" spans="1:3" ht="54.75" thickBot="1">
      <c r="A249" s="52" t="s">
        <v>809</v>
      </c>
      <c r="B249" s="53" t="s">
        <v>810</v>
      </c>
      <c r="C249" s="54" t="s">
        <v>811</v>
      </c>
    </row>
    <row r="250" spans="1:3" ht="68.25" thickBot="1">
      <c r="A250" s="52" t="s">
        <v>812</v>
      </c>
      <c r="B250" s="50" t="s">
        <v>813</v>
      </c>
      <c r="C250" s="51" t="s">
        <v>814</v>
      </c>
    </row>
    <row r="251" spans="1:3" ht="54.75" thickBot="1">
      <c r="A251" s="52" t="s">
        <v>815</v>
      </c>
      <c r="B251" s="53" t="s">
        <v>816</v>
      </c>
      <c r="C251" s="54" t="s">
        <v>817</v>
      </c>
    </row>
    <row r="252" spans="1:3" ht="54.75" thickBot="1">
      <c r="A252" s="52" t="s">
        <v>818</v>
      </c>
      <c r="B252" s="50" t="s">
        <v>819</v>
      </c>
      <c r="C252" s="51" t="s">
        <v>820</v>
      </c>
    </row>
    <row r="253" spans="1:3" ht="54.75" thickBot="1">
      <c r="A253" s="52" t="s">
        <v>821</v>
      </c>
      <c r="B253" s="53" t="s">
        <v>822</v>
      </c>
      <c r="C253" s="54" t="s">
        <v>823</v>
      </c>
    </row>
    <row r="254" spans="1:3" ht="54.75" thickBot="1">
      <c r="A254" s="52" t="s">
        <v>824</v>
      </c>
      <c r="B254" s="50" t="s">
        <v>825</v>
      </c>
      <c r="C254" s="51" t="s">
        <v>826</v>
      </c>
    </row>
    <row r="255" spans="1:3" ht="54.75" thickBot="1">
      <c r="A255" s="52" t="s">
        <v>827</v>
      </c>
      <c r="B255" s="53" t="s">
        <v>828</v>
      </c>
      <c r="C255" s="54" t="s">
        <v>829</v>
      </c>
    </row>
    <row r="256" spans="1:3" ht="41.25" thickBot="1">
      <c r="A256" s="52" t="s">
        <v>830</v>
      </c>
      <c r="B256" s="50" t="s">
        <v>831</v>
      </c>
      <c r="C256" s="51" t="s">
        <v>832</v>
      </c>
    </row>
    <row r="257" spans="1:3" ht="54.75" thickBot="1">
      <c r="A257" s="52" t="s">
        <v>833</v>
      </c>
      <c r="B257" s="53" t="s">
        <v>834</v>
      </c>
      <c r="C257" s="54" t="s">
        <v>835</v>
      </c>
    </row>
    <row r="258" spans="1:3" ht="41.25" thickBot="1">
      <c r="A258" s="50" t="s">
        <v>836</v>
      </c>
      <c r="B258" s="50" t="s">
        <v>837</v>
      </c>
      <c r="C258" s="51" t="s">
        <v>838</v>
      </c>
    </row>
    <row r="259" spans="1:3" ht="41.25" thickBot="1">
      <c r="A259" s="52" t="s">
        <v>839</v>
      </c>
      <c r="B259" s="53" t="s">
        <v>840</v>
      </c>
      <c r="C259" s="54" t="s">
        <v>841</v>
      </c>
    </row>
    <row r="260" spans="1:3" ht="54.75" thickBot="1">
      <c r="A260" s="52" t="s">
        <v>842</v>
      </c>
      <c r="B260" s="50" t="s">
        <v>843</v>
      </c>
      <c r="C260" s="51" t="s">
        <v>844</v>
      </c>
    </row>
    <row r="261" spans="1:3" ht="41.25" thickBot="1">
      <c r="A261" s="52" t="s">
        <v>845</v>
      </c>
      <c r="B261" s="53" t="s">
        <v>846</v>
      </c>
      <c r="C261" s="54" t="s">
        <v>847</v>
      </c>
    </row>
    <row r="262" spans="1:3" ht="41.25" thickBot="1">
      <c r="A262" s="52" t="s">
        <v>848</v>
      </c>
      <c r="B262" s="50" t="s">
        <v>849</v>
      </c>
      <c r="C262" s="51" t="s">
        <v>850</v>
      </c>
    </row>
    <row r="263" spans="1:3" ht="41.25" thickBot="1">
      <c r="A263" s="52" t="s">
        <v>851</v>
      </c>
      <c r="B263" s="53" t="s">
        <v>852</v>
      </c>
      <c r="C263" s="54" t="s">
        <v>853</v>
      </c>
    </row>
    <row r="264" spans="1:3" ht="41.25" thickBot="1">
      <c r="A264" s="50" t="s">
        <v>854</v>
      </c>
      <c r="B264" s="50" t="s">
        <v>855</v>
      </c>
      <c r="C264" s="51" t="s">
        <v>856</v>
      </c>
    </row>
    <row r="265" spans="1:3" ht="54.75" thickBot="1">
      <c r="A265" s="52" t="s">
        <v>857</v>
      </c>
      <c r="B265" s="53" t="s">
        <v>858</v>
      </c>
      <c r="C265" s="54" t="s">
        <v>859</v>
      </c>
    </row>
    <row r="266" spans="1:3" ht="41.25" thickBot="1">
      <c r="A266" s="52" t="s">
        <v>860</v>
      </c>
      <c r="B266" s="50" t="s">
        <v>861</v>
      </c>
      <c r="C266" s="51" t="s">
        <v>862</v>
      </c>
    </row>
    <row r="267" spans="1:3" ht="54.75" thickBot="1">
      <c r="A267" s="52" t="s">
        <v>863</v>
      </c>
      <c r="B267" s="53" t="s">
        <v>864</v>
      </c>
      <c r="C267" s="54" t="s">
        <v>865</v>
      </c>
    </row>
    <row r="268" spans="1:3" ht="54.75" thickBot="1">
      <c r="A268" s="52" t="s">
        <v>866</v>
      </c>
      <c r="B268" s="50" t="s">
        <v>867</v>
      </c>
      <c r="C268" s="51" t="s">
        <v>868</v>
      </c>
    </row>
    <row r="269" spans="1:3" ht="54.75" thickBot="1">
      <c r="A269" s="52" t="s">
        <v>869</v>
      </c>
      <c r="B269" s="53" t="s">
        <v>870</v>
      </c>
      <c r="C269" s="54" t="s">
        <v>871</v>
      </c>
    </row>
    <row r="270" spans="1:3" ht="68.25" thickBot="1">
      <c r="A270" s="52" t="s">
        <v>872</v>
      </c>
      <c r="B270" s="50" t="s">
        <v>873</v>
      </c>
      <c r="C270" s="51" t="s">
        <v>874</v>
      </c>
    </row>
    <row r="271" spans="1:3" ht="54.75" thickBot="1">
      <c r="A271" s="52" t="s">
        <v>875</v>
      </c>
      <c r="B271" s="53" t="s">
        <v>876</v>
      </c>
      <c r="C271" s="54" t="s">
        <v>877</v>
      </c>
    </row>
    <row r="272" spans="1:3" ht="54.75" thickBot="1">
      <c r="A272" s="52" t="s">
        <v>878</v>
      </c>
      <c r="B272" s="50" t="s">
        <v>879</v>
      </c>
      <c r="C272" s="51" t="s">
        <v>880</v>
      </c>
    </row>
    <row r="273" spans="1:3" ht="54.75" thickBot="1">
      <c r="A273" s="52" t="s">
        <v>881</v>
      </c>
      <c r="B273" s="53" t="s">
        <v>882</v>
      </c>
      <c r="C273" s="54" t="s">
        <v>883</v>
      </c>
    </row>
    <row r="274" spans="1:3" ht="54.75" thickBot="1">
      <c r="A274" s="52" t="s">
        <v>884</v>
      </c>
      <c r="B274" s="50" t="s">
        <v>885</v>
      </c>
      <c r="C274" s="51" t="s">
        <v>886</v>
      </c>
    </row>
    <row r="275" spans="1:3" ht="54.75" thickBot="1">
      <c r="A275" s="52" t="s">
        <v>887</v>
      </c>
      <c r="B275" s="53" t="s">
        <v>888</v>
      </c>
      <c r="C275" s="54" t="s">
        <v>889</v>
      </c>
    </row>
    <row r="276" spans="1:3" ht="54.75" thickBot="1">
      <c r="A276" s="52" t="s">
        <v>890</v>
      </c>
      <c r="B276" s="50" t="s">
        <v>891</v>
      </c>
      <c r="C276" s="51" t="s">
        <v>892</v>
      </c>
    </row>
    <row r="277" spans="1:3" ht="54.75" thickBot="1">
      <c r="A277" s="52" t="s">
        <v>857</v>
      </c>
      <c r="B277" s="53" t="s">
        <v>893</v>
      </c>
      <c r="C277" s="54" t="s">
        <v>859</v>
      </c>
    </row>
    <row r="278" spans="1:3" ht="41.25" thickBot="1">
      <c r="A278" s="52" t="s">
        <v>894</v>
      </c>
      <c r="B278" s="50" t="s">
        <v>895</v>
      </c>
      <c r="C278" s="51" t="s">
        <v>896</v>
      </c>
    </row>
    <row r="279" spans="1:3" ht="54.75" thickBot="1">
      <c r="A279" s="52" t="s">
        <v>897</v>
      </c>
      <c r="B279" s="53" t="s">
        <v>898</v>
      </c>
      <c r="C279" s="54" t="s">
        <v>899</v>
      </c>
    </row>
    <row r="280" spans="1:3" ht="54.75" thickBot="1">
      <c r="A280" s="52" t="s">
        <v>900</v>
      </c>
      <c r="B280" s="50" t="s">
        <v>901</v>
      </c>
      <c r="C280" s="51" t="s">
        <v>902</v>
      </c>
    </row>
    <row r="281" spans="1:3" ht="68.25" thickBot="1">
      <c r="A281" s="52" t="s">
        <v>903</v>
      </c>
      <c r="B281" s="53" t="s">
        <v>904</v>
      </c>
      <c r="C281" s="54" t="s">
        <v>905</v>
      </c>
    </row>
    <row r="282" spans="1:3" ht="54.75" thickBot="1">
      <c r="A282" s="52" t="s">
        <v>906</v>
      </c>
      <c r="B282" s="50" t="s">
        <v>907</v>
      </c>
      <c r="C282" s="51" t="s">
        <v>908</v>
      </c>
    </row>
    <row r="283" spans="1:3" ht="68.25" thickBot="1">
      <c r="A283" s="52" t="s">
        <v>909</v>
      </c>
      <c r="B283" s="53" t="s">
        <v>910</v>
      </c>
      <c r="C283" s="54" t="s">
        <v>911</v>
      </c>
    </row>
    <row r="284" spans="1:3" ht="41.25" thickBot="1">
      <c r="A284" s="52" t="s">
        <v>912</v>
      </c>
      <c r="B284" s="50" t="s">
        <v>913</v>
      </c>
      <c r="C284" s="51" t="s">
        <v>914</v>
      </c>
    </row>
    <row r="285" spans="1:3" ht="54.75" thickBot="1">
      <c r="A285" s="52" t="s">
        <v>915</v>
      </c>
      <c r="B285" s="53" t="s">
        <v>916</v>
      </c>
      <c r="C285" s="54" t="s">
        <v>917</v>
      </c>
    </row>
    <row r="286" spans="1:3" ht="54.75" thickBot="1">
      <c r="A286" s="52" t="s">
        <v>918</v>
      </c>
      <c r="B286" s="50" t="s">
        <v>919</v>
      </c>
      <c r="C286" s="51" t="s">
        <v>920</v>
      </c>
    </row>
    <row r="287" spans="1:3" ht="54.75" thickBot="1">
      <c r="A287" s="52" t="s">
        <v>921</v>
      </c>
      <c r="B287" s="53" t="s">
        <v>922</v>
      </c>
      <c r="C287" s="54" t="s">
        <v>923</v>
      </c>
    </row>
    <row r="288" spans="1:3" ht="54.75" thickBot="1">
      <c r="A288" s="52" t="s">
        <v>924</v>
      </c>
      <c r="B288" s="50" t="s">
        <v>925</v>
      </c>
      <c r="C288" s="51" t="s">
        <v>926</v>
      </c>
    </row>
    <row r="289" spans="1:3" ht="54.75" thickBot="1">
      <c r="A289" s="52" t="s">
        <v>927</v>
      </c>
      <c r="B289" s="53" t="s">
        <v>928</v>
      </c>
      <c r="C289" s="54" t="s">
        <v>929</v>
      </c>
    </row>
    <row r="290" spans="1:3" ht="54.75" thickBot="1">
      <c r="A290" s="52" t="s">
        <v>930</v>
      </c>
      <c r="B290" s="50" t="s">
        <v>931</v>
      </c>
      <c r="C290" s="51" t="s">
        <v>932</v>
      </c>
    </row>
    <row r="291" spans="1:3" ht="54.75" thickBot="1">
      <c r="A291" s="52" t="s">
        <v>933</v>
      </c>
      <c r="B291" s="53" t="s">
        <v>934</v>
      </c>
      <c r="C291" s="54" t="s">
        <v>935</v>
      </c>
    </row>
    <row r="292" spans="1:3" ht="54.75" thickBot="1">
      <c r="A292" s="52" t="s">
        <v>936</v>
      </c>
      <c r="B292" s="50" t="s">
        <v>937</v>
      </c>
      <c r="C292" s="51" t="s">
        <v>938</v>
      </c>
    </row>
    <row r="293" spans="1:3" ht="54.75" thickBot="1">
      <c r="A293" s="52" t="s">
        <v>939</v>
      </c>
      <c r="B293" s="53" t="s">
        <v>940</v>
      </c>
      <c r="C293" s="54" t="s">
        <v>941</v>
      </c>
    </row>
    <row r="294" spans="1:3" ht="54.75" thickBot="1">
      <c r="A294" s="52" t="s">
        <v>942</v>
      </c>
      <c r="B294" s="50" t="s">
        <v>943</v>
      </c>
      <c r="C294" s="51" t="s">
        <v>944</v>
      </c>
    </row>
    <row r="295" spans="1:3" ht="54.75" thickBot="1">
      <c r="A295" s="52" t="s">
        <v>945</v>
      </c>
      <c r="B295" s="53" t="s">
        <v>946</v>
      </c>
      <c r="C295" s="54" t="s">
        <v>947</v>
      </c>
    </row>
    <row r="296" spans="1:3" ht="54.75" thickBot="1">
      <c r="A296" s="52" t="s">
        <v>948</v>
      </c>
      <c r="B296" s="50" t="s">
        <v>949</v>
      </c>
      <c r="C296" s="51" t="s">
        <v>950</v>
      </c>
    </row>
    <row r="297" spans="1:3" ht="68.25" thickBot="1">
      <c r="A297" s="52" t="s">
        <v>951</v>
      </c>
      <c r="B297" s="53" t="s">
        <v>952</v>
      </c>
      <c r="C297" s="54" t="s">
        <v>953</v>
      </c>
    </row>
    <row r="298" spans="1:3" ht="54.75" thickBot="1">
      <c r="A298" s="52" t="s">
        <v>954</v>
      </c>
      <c r="B298" s="50" t="s">
        <v>955</v>
      </c>
      <c r="C298" s="51" t="s">
        <v>956</v>
      </c>
    </row>
    <row r="299" spans="1:3" ht="54.75" thickBot="1">
      <c r="A299" s="52" t="s">
        <v>957</v>
      </c>
      <c r="B299" s="53" t="s">
        <v>958</v>
      </c>
      <c r="C299" s="54" t="s">
        <v>959</v>
      </c>
    </row>
    <row r="300" spans="1:3" ht="68.25" thickBot="1">
      <c r="A300" s="52" t="s">
        <v>960</v>
      </c>
      <c r="B300" s="50" t="s">
        <v>961</v>
      </c>
      <c r="C300" s="51" t="s">
        <v>962</v>
      </c>
    </row>
    <row r="301" spans="1:3" ht="68.25" thickBot="1">
      <c r="A301" s="52" t="s">
        <v>963</v>
      </c>
      <c r="B301" s="53" t="s">
        <v>964</v>
      </c>
      <c r="C301" s="54" t="s">
        <v>965</v>
      </c>
    </row>
    <row r="302" spans="1:3" ht="68.25" thickBot="1">
      <c r="A302" s="52" t="s">
        <v>966</v>
      </c>
      <c r="B302" s="50" t="s">
        <v>967</v>
      </c>
      <c r="C302" s="51" t="s">
        <v>968</v>
      </c>
    </row>
    <row r="303" spans="1:3" ht="54.75" thickBot="1">
      <c r="A303" s="52" t="s">
        <v>969</v>
      </c>
      <c r="B303" s="53" t="s">
        <v>970</v>
      </c>
      <c r="C303" s="54" t="s">
        <v>971</v>
      </c>
    </row>
    <row r="304" spans="1:3" ht="68.25" thickBot="1">
      <c r="A304" s="52" t="s">
        <v>972</v>
      </c>
      <c r="B304" s="50" t="s">
        <v>973</v>
      </c>
      <c r="C304" s="51" t="s">
        <v>974</v>
      </c>
    </row>
    <row r="305" spans="1:3" ht="54.75" thickBot="1">
      <c r="A305" s="52" t="s">
        <v>975</v>
      </c>
      <c r="B305" s="53" t="s">
        <v>976</v>
      </c>
      <c r="C305" s="54" t="s">
        <v>977</v>
      </c>
    </row>
    <row r="306" spans="1:3" ht="54.75" thickBot="1">
      <c r="A306" s="55" t="s">
        <v>978</v>
      </c>
      <c r="B306" s="56" t="s">
        <v>979</v>
      </c>
      <c r="C306" s="57" t="s">
        <v>980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D148-423F-4EEB-8A20-B55F88749DEC}">
  <sheetPr codeName="shtUser"/>
  <dimension ref="A1:C6"/>
  <sheetViews>
    <sheetView workbookViewId="0">
      <selection activeCell="G8" sqref="G8"/>
    </sheetView>
  </sheetViews>
  <sheetFormatPr defaultRowHeight="16.5"/>
  <sheetData>
    <row r="1" spans="1:3">
      <c r="A1" t="s">
        <v>1323</v>
      </c>
      <c r="B1" t="s">
        <v>1324</v>
      </c>
      <c r="C1" t="s">
        <v>1325</v>
      </c>
    </row>
    <row r="2" spans="1:3">
      <c r="A2" t="s">
        <v>1348</v>
      </c>
      <c r="B2" t="s">
        <v>1348</v>
      </c>
      <c r="C2" t="s">
        <v>1330</v>
      </c>
    </row>
    <row r="3" spans="1:3">
      <c r="A3" t="s">
        <v>1350</v>
      </c>
      <c r="B3" t="s">
        <v>1350</v>
      </c>
      <c r="C3" t="s">
        <v>1351</v>
      </c>
    </row>
    <row r="4" spans="1:3">
      <c r="A4" t="s">
        <v>1353</v>
      </c>
      <c r="B4" t="s">
        <v>1353</v>
      </c>
      <c r="C4" t="s">
        <v>1330</v>
      </c>
    </row>
    <row r="5" spans="1:3">
      <c r="A5" t="s">
        <v>1354</v>
      </c>
      <c r="B5" t="s">
        <v>1354</v>
      </c>
      <c r="C5" t="s">
        <v>1330</v>
      </c>
    </row>
    <row r="6" spans="1:3">
      <c r="A6" t="s">
        <v>1355</v>
      </c>
      <c r="B6" t="s">
        <v>1355</v>
      </c>
      <c r="C6" t="s">
        <v>1330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F6F66-FF72-408A-B369-318FF0C2D964}">
  <sheetPr codeName="shtLogin"/>
  <dimension ref="C3:L3"/>
  <sheetViews>
    <sheetView workbookViewId="0">
      <selection activeCell="J25" sqref="J25"/>
    </sheetView>
  </sheetViews>
  <sheetFormatPr defaultColWidth="9" defaultRowHeight="16.5"/>
  <cols>
    <col min="1" max="16384" width="9" style="72"/>
  </cols>
  <sheetData>
    <row r="3" spans="3:12" ht="41.25">
      <c r="C3" s="73" t="s">
        <v>1345</v>
      </c>
      <c r="L3" s="73" t="s">
        <v>1346</v>
      </c>
    </row>
  </sheetData>
  <phoneticPr fontId="1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82"/>
    <col min="2" max="2" width="56.375" style="82" bestFit="1" customWidth="1"/>
    <col min="3" max="16384" width="8.75" style="82"/>
  </cols>
  <sheetData>
    <row r="3" spans="2:2" ht="90">
      <c r="B3" s="81">
        <v>12345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1331</v>
      </c>
      <c r="B1" t="s">
        <v>1332</v>
      </c>
    </row>
    <row r="2" spans="1:2">
      <c r="A2" s="60">
        <v>45722.801747685182</v>
      </c>
      <c r="B2" t="s">
        <v>1326</v>
      </c>
    </row>
    <row r="3" spans="1:2">
      <c r="A3" s="60">
        <v>45723.400613425925</v>
      </c>
      <c r="B3" t="s">
        <v>1326</v>
      </c>
    </row>
    <row r="4" spans="1:2">
      <c r="A4" s="60">
        <v>45723.658148148148</v>
      </c>
      <c r="B4" t="s">
        <v>1347</v>
      </c>
    </row>
    <row r="5" spans="1:2">
      <c r="A5" s="60">
        <v>45723.662939814814</v>
      </c>
      <c r="B5" t="s">
        <v>1349</v>
      </c>
    </row>
    <row r="6" spans="1:2">
      <c r="A6" s="60">
        <v>45723.943518518521</v>
      </c>
      <c r="B6" t="s">
        <v>1352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F8635-CC4E-4520-970C-C18C24D7D986}">
  <sheetPr codeName="shtBarcode"/>
  <dimension ref="A10:C27"/>
  <sheetViews>
    <sheetView view="pageBreakPreview" zoomScaleNormal="100" zoomScaleSheetLayoutView="100" workbookViewId="0">
      <selection activeCell="K33" sqref="K33"/>
    </sheetView>
  </sheetViews>
  <sheetFormatPr defaultColWidth="9" defaultRowHeight="16.5"/>
  <cols>
    <col min="1" max="1" width="2.25" style="67" customWidth="1"/>
    <col min="2" max="2" width="12.625" style="67" customWidth="1"/>
    <col min="3" max="3" width="22.5" style="67" customWidth="1"/>
    <col min="4" max="16384" width="9" style="67"/>
  </cols>
  <sheetData>
    <row r="10" spans="1:3">
      <c r="A10" s="68"/>
      <c r="B10" s="68"/>
      <c r="C10" s="68"/>
    </row>
    <row r="17" spans="1:3" ht="17.25" thickBot="1"/>
    <row r="18" spans="1:3" ht="17.25" thickTop="1">
      <c r="A18" s="75"/>
      <c r="B18" s="77"/>
      <c r="C18" s="85"/>
    </row>
    <row r="19" spans="1:3">
      <c r="A19" s="76"/>
      <c r="B19" s="83" t="s">
        <v>1340</v>
      </c>
      <c r="C19" s="86" t="s">
        <v>37</v>
      </c>
    </row>
    <row r="20" spans="1:3">
      <c r="A20" s="76"/>
      <c r="B20" s="83" t="s">
        <v>1341</v>
      </c>
      <c r="C20" s="89" t="str">
        <f>주문!E6</f>
        <v>O2E_AL</v>
      </c>
    </row>
    <row r="21" spans="1:3">
      <c r="A21" s="76"/>
      <c r="B21" s="83" t="s">
        <v>1342</v>
      </c>
      <c r="C21" s="90">
        <f>주문!E7</f>
        <v>0</v>
      </c>
    </row>
    <row r="22" spans="1:3">
      <c r="A22" s="76"/>
      <c r="B22" s="273">
        <f>주문!E5</f>
        <v>0</v>
      </c>
      <c r="C22" s="274"/>
    </row>
    <row r="23" spans="1:3">
      <c r="A23" s="76"/>
      <c r="B23" s="275"/>
      <c r="C23" s="276"/>
    </row>
    <row r="24" spans="1:3">
      <c r="A24" s="69"/>
      <c r="B24" s="277"/>
      <c r="C24" s="278"/>
    </row>
    <row r="25" spans="1:3">
      <c r="A25" s="69"/>
      <c r="B25" s="84" t="s">
        <v>93</v>
      </c>
      <c r="C25" s="70" t="s">
        <v>1343</v>
      </c>
    </row>
    <row r="26" spans="1:3" ht="17.25" thickBot="1">
      <c r="A26" s="71"/>
      <c r="B26" s="87"/>
      <c r="C26" s="88"/>
    </row>
    <row r="27" spans="1:3" ht="17.25" thickTop="1"/>
  </sheetData>
  <mergeCells count="1">
    <mergeCell ref="B22:C24"/>
  </mergeCells>
  <phoneticPr fontId="1" type="noConversion"/>
  <pageMargins left="0.23622047244094491" right="0.23622047244094491" top="0" bottom="0" header="0.31496062992125984" footer="0"/>
  <pageSetup paperSize="256" orientation="portrait" horizontalDpi="203" verticalDpi="20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A7" sqref="A7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65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78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78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78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167" t="s">
        <v>12</v>
      </c>
      <c r="C4" s="168"/>
      <c r="E4" s="5" t="s">
        <v>15</v>
      </c>
      <c r="F4" s="5" t="s">
        <v>11</v>
      </c>
      <c r="G4" s="5" t="s">
        <v>68</v>
      </c>
      <c r="H4" s="21" t="s">
        <v>13</v>
      </c>
      <c r="I4" s="5" t="s">
        <v>14</v>
      </c>
      <c r="J4" s="79" t="s">
        <v>1</v>
      </c>
      <c r="K4" s="5" t="s">
        <v>0</v>
      </c>
      <c r="L4" s="5" t="s">
        <v>55</v>
      </c>
      <c r="M4" s="24" t="s">
        <v>54</v>
      </c>
      <c r="N4" s="24" t="s">
        <v>53</v>
      </c>
      <c r="O4" s="24" t="s">
        <v>16</v>
      </c>
      <c r="P4" s="24" t="s">
        <v>59</v>
      </c>
      <c r="Q4" s="24" t="s">
        <v>69</v>
      </c>
      <c r="R4" s="5" t="s">
        <v>4</v>
      </c>
      <c r="S4" s="2"/>
    </row>
    <row r="5" spans="1:19" ht="18" customHeight="1">
      <c r="A5" s="26"/>
      <c r="B5" s="32" t="s">
        <v>14</v>
      </c>
      <c r="C5" s="33"/>
      <c r="F5" s="17">
        <v>52</v>
      </c>
      <c r="G5" s="19">
        <v>52</v>
      </c>
      <c r="H5" s="19">
        <v>1</v>
      </c>
      <c r="I5" s="100">
        <v>45725</v>
      </c>
      <c r="J5" s="101">
        <v>8800224280401</v>
      </c>
      <c r="K5" s="19" t="s">
        <v>1356</v>
      </c>
      <c r="L5" s="19" t="s">
        <v>1382</v>
      </c>
      <c r="M5" s="19"/>
      <c r="N5" s="19">
        <v>350000</v>
      </c>
      <c r="O5" s="19">
        <v>12</v>
      </c>
      <c r="P5" s="19"/>
      <c r="Q5" s="19"/>
    </row>
    <row r="6" spans="1:19" ht="18" customHeight="1">
      <c r="A6" s="26"/>
      <c r="B6" s="32" t="s">
        <v>1</v>
      </c>
      <c r="C6" s="34" t="s">
        <v>1358</v>
      </c>
      <c r="F6" s="17">
        <v>53</v>
      </c>
      <c r="G6" s="19">
        <v>53</v>
      </c>
      <c r="H6" s="19">
        <v>2</v>
      </c>
      <c r="I6" s="100">
        <v>45725</v>
      </c>
      <c r="J6" s="101">
        <v>8800224280601</v>
      </c>
      <c r="K6" s="19" t="s">
        <v>1381</v>
      </c>
      <c r="L6" s="19">
        <v>5961308248</v>
      </c>
      <c r="M6" s="19"/>
      <c r="N6" s="19">
        <v>120000</v>
      </c>
      <c r="O6" s="19">
        <v>1</v>
      </c>
      <c r="P6" s="19">
        <v>1</v>
      </c>
      <c r="Q6" s="19"/>
    </row>
    <row r="7" spans="1:19" ht="18" customHeight="1">
      <c r="A7" s="26">
        <v>39</v>
      </c>
      <c r="B7" s="32" t="s">
        <v>0</v>
      </c>
      <c r="C7" s="74" t="s">
        <v>1359</v>
      </c>
      <c r="F7" s="17">
        <v>54</v>
      </c>
      <c r="G7" s="19"/>
      <c r="H7" s="19">
        <v>3</v>
      </c>
      <c r="I7" s="100">
        <v>45725</v>
      </c>
      <c r="J7" s="101">
        <v>8800224280401</v>
      </c>
      <c r="K7" s="19" t="s">
        <v>1356</v>
      </c>
      <c r="L7" s="19" t="s">
        <v>1382</v>
      </c>
      <c r="M7" s="19"/>
      <c r="N7" s="19">
        <v>350000</v>
      </c>
      <c r="O7" s="19">
        <v>12</v>
      </c>
      <c r="P7" s="19"/>
      <c r="Q7" s="19"/>
    </row>
    <row r="8" spans="1:19" ht="18" customHeight="1">
      <c r="A8" s="26"/>
      <c r="B8" s="32" t="s">
        <v>57</v>
      </c>
      <c r="C8" s="35" t="s">
        <v>1360</v>
      </c>
      <c r="F8" s="17">
        <v>55</v>
      </c>
      <c r="G8" s="19"/>
      <c r="H8" s="19">
        <v>4</v>
      </c>
      <c r="I8" s="100">
        <v>45725</v>
      </c>
      <c r="J8" s="101">
        <v>8800224280601</v>
      </c>
      <c r="K8" s="19" t="s">
        <v>1381</v>
      </c>
      <c r="L8" s="19">
        <v>5961308248</v>
      </c>
      <c r="M8" s="19"/>
      <c r="N8" s="19">
        <v>120000</v>
      </c>
      <c r="O8" s="19">
        <v>1</v>
      </c>
      <c r="P8" s="19">
        <v>1</v>
      </c>
      <c r="Q8" s="19"/>
    </row>
    <row r="9" spans="1:19" ht="18" customHeight="1">
      <c r="A9" s="26"/>
      <c r="B9" s="32" t="s">
        <v>58</v>
      </c>
      <c r="C9" s="35"/>
      <c r="G9" s="19"/>
      <c r="H9" s="19"/>
      <c r="I9" s="19"/>
      <c r="J9" s="101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 t="s">
        <v>56</v>
      </c>
      <c r="C10" s="36">
        <v>120000</v>
      </c>
      <c r="G10" s="19"/>
      <c r="H10" s="19"/>
      <c r="I10" s="19"/>
      <c r="J10" s="101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 t="s">
        <v>16</v>
      </c>
      <c r="C11" s="37"/>
      <c r="G11" s="19"/>
      <c r="H11" s="19"/>
      <c r="I11" s="19"/>
      <c r="J11" s="101"/>
      <c r="K11" s="19"/>
      <c r="L11" s="19"/>
      <c r="M11" s="19"/>
      <c r="N11" s="19"/>
      <c r="O11" s="19"/>
      <c r="P11" s="19"/>
      <c r="Q11" s="19"/>
    </row>
    <row r="12" spans="1:19" ht="18" customHeight="1">
      <c r="B12" s="32" t="s">
        <v>17</v>
      </c>
      <c r="C12" s="37"/>
      <c r="G12" s="19"/>
      <c r="H12" s="19"/>
      <c r="I12" s="19"/>
      <c r="J12" s="101"/>
      <c r="K12" s="19"/>
      <c r="L12" s="19"/>
      <c r="M12" s="19"/>
      <c r="N12" s="19"/>
      <c r="O12" s="19"/>
      <c r="P12" s="19"/>
      <c r="Q12" s="19"/>
    </row>
    <row r="13" spans="1:19" ht="18" customHeight="1">
      <c r="B13" s="32" t="s">
        <v>4</v>
      </c>
      <c r="C13" s="37"/>
      <c r="G13" s="19"/>
      <c r="H13" s="19"/>
      <c r="I13" s="19"/>
      <c r="J13" s="101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101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101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65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65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65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65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65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 t="s">
        <v>25</v>
      </c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Y36"/>
  <sheetViews>
    <sheetView workbookViewId="0">
      <selection activeCell="E14" sqref="E14"/>
    </sheetView>
  </sheetViews>
  <sheetFormatPr defaultColWidth="9" defaultRowHeight="16.5"/>
  <cols>
    <col min="1" max="1" width="6.375" customWidth="1"/>
    <col min="2" max="2" width="12.25" style="13" customWidth="1"/>
    <col min="3" max="3" width="24.75" bestFit="1" customWidth="1"/>
    <col min="4" max="4" width="26" bestFit="1" customWidth="1"/>
    <col min="5" max="5" width="12" bestFit="1" customWidth="1"/>
    <col min="6" max="6" width="13.25" style="64" customWidth="1"/>
    <col min="7" max="7" width="10.5" style="64" bestFit="1" customWidth="1"/>
    <col min="8" max="8" width="9.5" bestFit="1" customWidth="1"/>
    <col min="9" max="9" width="9.5" customWidth="1"/>
    <col min="10" max="10" width="13.25" style="64" bestFit="1" customWidth="1"/>
    <col min="11" max="16" width="13.25" style="64" customWidth="1"/>
    <col min="17" max="17" width="17.625" style="64" customWidth="1"/>
    <col min="18" max="18" width="17.875" style="64" bestFit="1" customWidth="1"/>
    <col min="19" max="19" width="16.125" style="64" bestFit="1" customWidth="1"/>
    <col min="20" max="21" width="13.25" style="64" customWidth="1"/>
  </cols>
  <sheetData>
    <row r="1" spans="1:24" s="93" customFormat="1" ht="17.25" thickBot="1">
      <c r="A1" s="31" t="s">
        <v>2</v>
      </c>
      <c r="B1" s="92" t="s">
        <v>14</v>
      </c>
      <c r="C1" s="31" t="s">
        <v>8</v>
      </c>
      <c r="D1" s="31" t="s">
        <v>0</v>
      </c>
      <c r="E1" s="31" t="s">
        <v>60</v>
      </c>
      <c r="F1" s="95" t="s">
        <v>1364</v>
      </c>
      <c r="G1" s="63" t="s">
        <v>53</v>
      </c>
      <c r="H1" s="31" t="s">
        <v>67</v>
      </c>
      <c r="I1" s="31" t="s">
        <v>103</v>
      </c>
      <c r="J1" s="63" t="s">
        <v>77</v>
      </c>
      <c r="K1" s="94" t="s">
        <v>78</v>
      </c>
      <c r="L1" s="95" t="s">
        <v>1365</v>
      </c>
      <c r="M1" s="95" t="s">
        <v>1366</v>
      </c>
      <c r="N1" s="95" t="s">
        <v>1367</v>
      </c>
      <c r="O1" s="94" t="s">
        <v>1372</v>
      </c>
      <c r="P1" s="63" t="s">
        <v>1373</v>
      </c>
      <c r="Q1" s="63" t="s">
        <v>1374</v>
      </c>
      <c r="R1" s="63" t="s">
        <v>1377</v>
      </c>
      <c r="S1" s="63" t="s">
        <v>1376</v>
      </c>
      <c r="T1" s="63" t="s">
        <v>1375</v>
      </c>
      <c r="U1" s="63" t="s">
        <v>1370</v>
      </c>
      <c r="V1" s="8">
        <v>1</v>
      </c>
    </row>
    <row r="2" spans="1:24">
      <c r="A2" s="61">
        <v>1</v>
      </c>
      <c r="B2" s="13">
        <v>45723</v>
      </c>
      <c r="C2" s="61" t="s">
        <v>1405</v>
      </c>
      <c r="D2" s="61" t="s">
        <v>1393</v>
      </c>
      <c r="F2" s="61"/>
      <c r="G2" s="64">
        <v>30000</v>
      </c>
      <c r="H2" s="61">
        <v>3</v>
      </c>
      <c r="I2" s="155"/>
      <c r="J2" s="64">
        <v>90000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</row>
    <row r="3" spans="1:24">
      <c r="A3" s="61">
        <v>2</v>
      </c>
      <c r="B3" s="13">
        <v>45723</v>
      </c>
      <c r="C3" s="61" t="s">
        <v>1378</v>
      </c>
      <c r="D3" s="61" t="s">
        <v>1387</v>
      </c>
      <c r="F3" s="61"/>
      <c r="G3" s="64">
        <v>1300000</v>
      </c>
      <c r="H3" s="61">
        <v>1</v>
      </c>
      <c r="I3" s="155"/>
      <c r="J3" s="64">
        <v>1300000</v>
      </c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</row>
    <row r="4" spans="1:24">
      <c r="A4" s="61">
        <v>3</v>
      </c>
      <c r="B4" s="13">
        <v>45723</v>
      </c>
      <c r="C4" s="61" t="s">
        <v>1378</v>
      </c>
      <c r="D4" s="61" t="s">
        <v>1404</v>
      </c>
      <c r="F4" s="61"/>
      <c r="G4" s="64">
        <v>800000</v>
      </c>
      <c r="H4" s="61">
        <v>1</v>
      </c>
      <c r="I4" s="155"/>
      <c r="J4" s="64">
        <v>800000</v>
      </c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</row>
    <row r="5" spans="1:24">
      <c r="A5" s="61">
        <v>4</v>
      </c>
      <c r="B5" s="13">
        <v>45723</v>
      </c>
      <c r="C5" s="61" t="s">
        <v>1179</v>
      </c>
      <c r="D5" s="61" t="s">
        <v>1394</v>
      </c>
      <c r="F5" s="61"/>
      <c r="G5" s="64">
        <v>1000000</v>
      </c>
      <c r="H5" s="61">
        <v>1</v>
      </c>
      <c r="I5" s="155"/>
      <c r="J5" s="64">
        <v>1000000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24">
      <c r="A6" s="61">
        <v>5</v>
      </c>
      <c r="B6" s="13">
        <v>45722</v>
      </c>
      <c r="C6" s="61" t="s">
        <v>1405</v>
      </c>
      <c r="D6" s="61" t="s">
        <v>1395</v>
      </c>
      <c r="F6" s="61"/>
      <c r="G6" s="64">
        <v>198000</v>
      </c>
      <c r="H6" s="61">
        <v>1</v>
      </c>
      <c r="I6" s="155"/>
      <c r="J6" s="64">
        <v>198000</v>
      </c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24">
      <c r="A7" s="61">
        <v>6</v>
      </c>
      <c r="B7" s="13">
        <v>45722</v>
      </c>
      <c r="C7" s="61" t="s">
        <v>1405</v>
      </c>
      <c r="D7" s="61" t="s">
        <v>1396</v>
      </c>
      <c r="F7" s="61"/>
      <c r="G7" s="64">
        <v>12000</v>
      </c>
      <c r="H7" s="61">
        <v>3</v>
      </c>
      <c r="I7" s="155"/>
      <c r="J7" s="64">
        <v>36000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24">
      <c r="A8" s="61">
        <v>7</v>
      </c>
      <c r="B8" s="13">
        <v>45722</v>
      </c>
      <c r="C8" s="61" t="s">
        <v>1405</v>
      </c>
      <c r="D8" s="61" t="s">
        <v>1403</v>
      </c>
      <c r="F8" s="61"/>
      <c r="G8" s="64">
        <v>25000</v>
      </c>
      <c r="H8" s="61">
        <v>2</v>
      </c>
      <c r="I8" s="155"/>
      <c r="J8" s="64">
        <v>50000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24">
      <c r="A9" s="61">
        <v>8</v>
      </c>
      <c r="B9" s="13">
        <v>45722</v>
      </c>
      <c r="C9" s="61" t="s">
        <v>1409</v>
      </c>
      <c r="D9" s="61" t="s">
        <v>1397</v>
      </c>
      <c r="F9" s="61"/>
      <c r="G9" s="64">
        <v>1100000</v>
      </c>
      <c r="H9" s="61">
        <v>1</v>
      </c>
      <c r="I9" s="155"/>
      <c r="J9" s="64">
        <v>1100000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24">
      <c r="A10" s="61">
        <v>9</v>
      </c>
      <c r="B10" s="13">
        <v>45722</v>
      </c>
      <c r="C10" s="61" t="s">
        <v>1263</v>
      </c>
      <c r="D10" s="61" t="s">
        <v>1387</v>
      </c>
      <c r="F10" s="61"/>
      <c r="G10" s="64">
        <v>1200000</v>
      </c>
      <c r="H10" s="61">
        <v>1</v>
      </c>
      <c r="I10" s="155"/>
      <c r="J10" s="64">
        <v>1200000</v>
      </c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24">
      <c r="A11" s="61">
        <v>10</v>
      </c>
      <c r="B11" s="13">
        <v>45722</v>
      </c>
      <c r="C11" s="61" t="s">
        <v>1073</v>
      </c>
      <c r="D11" s="61"/>
      <c r="E11" s="61">
        <v>415054509</v>
      </c>
      <c r="G11" s="64">
        <v>330000</v>
      </c>
      <c r="H11" s="61">
        <v>1</v>
      </c>
      <c r="I11" s="155"/>
      <c r="J11" s="64">
        <v>330000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24">
      <c r="A12" s="61">
        <v>11</v>
      </c>
      <c r="B12" s="13">
        <v>45722</v>
      </c>
      <c r="C12" s="61" t="s">
        <v>1405</v>
      </c>
      <c r="D12" s="61" t="s">
        <v>1398</v>
      </c>
      <c r="E12" s="61"/>
      <c r="G12" s="64">
        <v>1000000</v>
      </c>
      <c r="H12" s="61">
        <v>1</v>
      </c>
      <c r="I12" s="155"/>
      <c r="J12" s="64">
        <v>1000000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24">
      <c r="A13" s="61">
        <v>12</v>
      </c>
      <c r="B13" s="13">
        <v>45720</v>
      </c>
      <c r="C13" s="61" t="s">
        <v>1073</v>
      </c>
      <c r="D13" s="61"/>
      <c r="E13" s="61">
        <v>602000700</v>
      </c>
      <c r="G13" s="64">
        <v>350000</v>
      </c>
      <c r="H13" s="61">
        <v>1</v>
      </c>
      <c r="I13" s="155"/>
      <c r="J13" s="64">
        <v>350000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24">
      <c r="A14" s="61">
        <v>13</v>
      </c>
      <c r="B14" s="13">
        <v>45720</v>
      </c>
      <c r="C14" s="61" t="s">
        <v>1073</v>
      </c>
      <c r="D14" s="61" t="s">
        <v>1415</v>
      </c>
      <c r="F14" s="61"/>
      <c r="H14" s="61">
        <v>1</v>
      </c>
      <c r="I14" s="155">
        <v>-300000</v>
      </c>
      <c r="J14" s="64">
        <v>0</v>
      </c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24">
      <c r="A15" s="61">
        <v>14</v>
      </c>
      <c r="B15" s="13">
        <v>45720</v>
      </c>
      <c r="C15" s="61" t="s">
        <v>1409</v>
      </c>
      <c r="D15" s="61" t="s">
        <v>1417</v>
      </c>
      <c r="F15" s="61"/>
      <c r="G15" s="64">
        <v>610000</v>
      </c>
      <c r="H15" s="61">
        <v>1</v>
      </c>
      <c r="I15" s="155"/>
      <c r="J15" s="64">
        <v>610000</v>
      </c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24">
      <c r="A16" s="61">
        <v>15</v>
      </c>
      <c r="B16" s="13">
        <v>45720</v>
      </c>
      <c r="C16" s="61" t="s">
        <v>1409</v>
      </c>
      <c r="D16" s="61" t="s">
        <v>1401</v>
      </c>
      <c r="F16" s="61"/>
      <c r="G16" s="64">
        <v>55000</v>
      </c>
      <c r="H16" s="61">
        <v>1</v>
      </c>
      <c r="I16" s="155"/>
      <c r="J16" s="64">
        <v>55000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25">
      <c r="A17" s="61">
        <v>16</v>
      </c>
      <c r="B17" s="13">
        <v>45720</v>
      </c>
      <c r="C17" s="61" t="s">
        <v>1409</v>
      </c>
      <c r="D17" s="61" t="s">
        <v>1402</v>
      </c>
      <c r="F17" s="61"/>
      <c r="G17" s="64">
        <v>600000</v>
      </c>
      <c r="H17" s="61">
        <v>1</v>
      </c>
      <c r="I17" s="155"/>
      <c r="J17" s="64">
        <v>600000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</row>
    <row r="18" spans="1:25">
      <c r="A18" s="61">
        <v>17</v>
      </c>
      <c r="B18" s="13">
        <v>45720</v>
      </c>
      <c r="C18" s="61" t="s">
        <v>1094</v>
      </c>
      <c r="D18" s="61" t="s">
        <v>1419</v>
      </c>
      <c r="F18" s="61"/>
      <c r="G18" s="64">
        <v>1100000</v>
      </c>
      <c r="H18" s="61">
        <v>1</v>
      </c>
      <c r="I18" s="155"/>
      <c r="J18" s="64">
        <v>1100000</v>
      </c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</row>
    <row r="19" spans="1:25">
      <c r="A19" s="61">
        <v>18</v>
      </c>
      <c r="B19" s="13">
        <v>45717</v>
      </c>
      <c r="C19" s="61" t="s">
        <v>1405</v>
      </c>
      <c r="D19" s="61" t="s">
        <v>1397</v>
      </c>
      <c r="F19" s="61"/>
      <c r="G19" s="64">
        <v>650000</v>
      </c>
      <c r="H19" s="61">
        <v>1</v>
      </c>
      <c r="I19" s="155"/>
      <c r="J19" s="64">
        <v>650000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</row>
    <row r="20" spans="1:25">
      <c r="A20" s="61">
        <v>19</v>
      </c>
      <c r="B20" s="13">
        <v>45717</v>
      </c>
      <c r="C20" s="61" t="s">
        <v>1405</v>
      </c>
      <c r="D20" s="61" t="s">
        <v>1420</v>
      </c>
      <c r="F20" s="61"/>
      <c r="G20" s="64">
        <v>1650000</v>
      </c>
      <c r="H20" s="61">
        <v>1</v>
      </c>
      <c r="I20" s="155"/>
      <c r="J20" s="64">
        <v>1650000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</row>
    <row r="21" spans="1:25">
      <c r="A21" s="61">
        <v>20</v>
      </c>
      <c r="B21" s="64">
        <v>45723</v>
      </c>
      <c r="C21" s="64" t="s">
        <v>1197</v>
      </c>
      <c r="D21" s="64" t="s">
        <v>1425</v>
      </c>
      <c r="G21" s="64">
        <v>700000</v>
      </c>
      <c r="H21" s="64">
        <v>1</v>
      </c>
      <c r="I21" s="64"/>
      <c r="J21" s="64">
        <v>700000</v>
      </c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>
        <v>1</v>
      </c>
    </row>
    <row r="22" spans="1:25">
      <c r="A22" s="61">
        <v>21</v>
      </c>
      <c r="B22" s="13">
        <v>45723</v>
      </c>
      <c r="C22" s="61" t="s">
        <v>1076</v>
      </c>
      <c r="D22" s="61" t="s">
        <v>1388</v>
      </c>
      <c r="F22" s="61"/>
      <c r="G22" s="64">
        <v>1500000</v>
      </c>
      <c r="H22" s="61">
        <v>1</v>
      </c>
      <c r="I22" s="155"/>
      <c r="J22" s="64">
        <v>1500000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</row>
    <row r="23" spans="1:25">
      <c r="A23" s="61">
        <v>22</v>
      </c>
      <c r="B23" s="13">
        <v>45724</v>
      </c>
      <c r="C23" s="61" t="s">
        <v>1405</v>
      </c>
      <c r="D23" s="61" t="s">
        <v>1387</v>
      </c>
      <c r="F23" s="61"/>
      <c r="G23" s="64">
        <v>1200000</v>
      </c>
      <c r="H23" s="61">
        <v>1</v>
      </c>
      <c r="I23" s="155"/>
      <c r="J23" s="64">
        <v>1200000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</row>
    <row r="24" spans="1:25">
      <c r="A24" s="61">
        <v>23</v>
      </c>
      <c r="B24" s="13">
        <v>45724</v>
      </c>
      <c r="C24" s="61" t="s">
        <v>1405</v>
      </c>
      <c r="D24" s="61" t="s">
        <v>1329</v>
      </c>
      <c r="F24" s="61"/>
      <c r="G24" s="64">
        <v>198000</v>
      </c>
      <c r="H24" s="61">
        <v>1</v>
      </c>
      <c r="I24" s="155"/>
      <c r="J24" s="64">
        <v>198000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</row>
    <row r="25" spans="1:25">
      <c r="A25" s="61">
        <v>24</v>
      </c>
      <c r="B25" s="13">
        <v>45726</v>
      </c>
      <c r="C25" s="61" t="s">
        <v>1206</v>
      </c>
      <c r="D25" s="61" t="s">
        <v>1389</v>
      </c>
      <c r="F25" s="61"/>
      <c r="G25" s="64">
        <v>1000000</v>
      </c>
      <c r="H25" s="61">
        <v>1</v>
      </c>
      <c r="I25" s="155"/>
      <c r="J25" s="64">
        <v>1000000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</row>
    <row r="26" spans="1:25">
      <c r="A26" s="61">
        <v>25</v>
      </c>
      <c r="B26" s="13">
        <v>45727</v>
      </c>
      <c r="C26" s="61" t="s">
        <v>1272</v>
      </c>
      <c r="D26" s="61" t="s">
        <v>1388</v>
      </c>
      <c r="F26" s="61"/>
      <c r="G26" s="64">
        <v>1500000</v>
      </c>
      <c r="H26" s="61">
        <v>1</v>
      </c>
      <c r="I26" s="155"/>
      <c r="J26" s="64">
        <v>1500000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</row>
    <row r="27" spans="1:25">
      <c r="A27" s="61">
        <v>26</v>
      </c>
      <c r="B27" s="13">
        <v>45727</v>
      </c>
      <c r="C27" s="61" t="s">
        <v>1272</v>
      </c>
      <c r="D27" s="61" t="s">
        <v>1387</v>
      </c>
      <c r="F27" s="61"/>
      <c r="G27" s="64">
        <v>1200000</v>
      </c>
      <c r="H27" s="61">
        <v>1</v>
      </c>
      <c r="I27" s="155"/>
      <c r="J27" s="64">
        <v>1200000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</row>
    <row r="28" spans="1:25">
      <c r="A28" s="61">
        <v>27</v>
      </c>
      <c r="B28" s="13">
        <v>45727</v>
      </c>
      <c r="C28" s="61" t="s">
        <v>1405</v>
      </c>
      <c r="D28" s="61" t="s">
        <v>1397</v>
      </c>
      <c r="F28" s="61"/>
      <c r="G28" s="64">
        <v>650000</v>
      </c>
      <c r="H28" s="61">
        <v>1</v>
      </c>
      <c r="I28" s="155"/>
      <c r="J28" s="64">
        <v>650000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</row>
    <row r="29" spans="1:25">
      <c r="A29" s="61">
        <v>28</v>
      </c>
      <c r="B29" s="13">
        <v>45727</v>
      </c>
      <c r="C29" s="61" t="s">
        <v>1405</v>
      </c>
      <c r="D29" s="61" t="s">
        <v>1386</v>
      </c>
      <c r="F29" s="61"/>
      <c r="G29" s="64">
        <v>1500000</v>
      </c>
      <c r="H29" s="61">
        <v>1</v>
      </c>
      <c r="I29" s="155"/>
      <c r="J29" s="64">
        <v>1500000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</row>
    <row r="30" spans="1:25">
      <c r="A30" s="61">
        <v>29</v>
      </c>
      <c r="B30" s="13">
        <v>45727</v>
      </c>
      <c r="C30" t="s">
        <v>1430</v>
      </c>
      <c r="D30" t="s">
        <v>1387</v>
      </c>
      <c r="F30"/>
      <c r="G30" s="64">
        <v>1200000</v>
      </c>
      <c r="H30">
        <v>1</v>
      </c>
      <c r="I30" s="155"/>
      <c r="J30" s="64">
        <v>1200000</v>
      </c>
    </row>
    <row r="31" spans="1:25">
      <c r="A31" s="61">
        <v>30</v>
      </c>
      <c r="B31" s="13">
        <v>45727</v>
      </c>
      <c r="C31" t="s">
        <v>991</v>
      </c>
      <c r="D31" t="s">
        <v>1437</v>
      </c>
      <c r="F31"/>
      <c r="G31" s="64">
        <v>150000</v>
      </c>
      <c r="H31">
        <v>1</v>
      </c>
      <c r="I31" s="155"/>
      <c r="J31" s="64">
        <v>150000</v>
      </c>
    </row>
    <row r="32" spans="1:25">
      <c r="A32" s="61">
        <v>31</v>
      </c>
      <c r="B32" s="13">
        <v>45727</v>
      </c>
      <c r="C32" t="s">
        <v>991</v>
      </c>
      <c r="D32" t="s">
        <v>1437</v>
      </c>
      <c r="F32"/>
      <c r="G32" s="64">
        <v>150000</v>
      </c>
      <c r="H32">
        <v>2</v>
      </c>
      <c r="I32" s="155"/>
      <c r="J32" s="64">
        <v>300000</v>
      </c>
    </row>
    <row r="33" spans="1:10">
      <c r="A33" s="61">
        <v>32</v>
      </c>
      <c r="B33" s="13">
        <v>45727</v>
      </c>
      <c r="C33" t="s">
        <v>991</v>
      </c>
      <c r="D33" t="s">
        <v>1438</v>
      </c>
      <c r="F33"/>
      <c r="G33" s="64">
        <v>100000</v>
      </c>
      <c r="H33">
        <v>1</v>
      </c>
      <c r="I33" s="155"/>
      <c r="J33" s="64">
        <v>100000</v>
      </c>
    </row>
    <row r="34" spans="1:10">
      <c r="A34" s="61">
        <v>33</v>
      </c>
      <c r="B34" s="13">
        <v>45727</v>
      </c>
      <c r="C34" t="s">
        <v>991</v>
      </c>
      <c r="D34" t="s">
        <v>1439</v>
      </c>
      <c r="F34"/>
      <c r="G34" s="64">
        <v>230000</v>
      </c>
      <c r="H34">
        <v>1</v>
      </c>
      <c r="I34" s="155"/>
      <c r="J34" s="64">
        <v>230000</v>
      </c>
    </row>
    <row r="35" spans="1:10">
      <c r="A35" s="61">
        <v>34</v>
      </c>
      <c r="B35" s="13">
        <v>45726</v>
      </c>
      <c r="C35" t="s">
        <v>1440</v>
      </c>
      <c r="D35" t="s">
        <v>1441</v>
      </c>
      <c r="F35"/>
      <c r="G35" s="64">
        <v>600000</v>
      </c>
      <c r="H35">
        <v>1</v>
      </c>
      <c r="I35" s="155"/>
      <c r="J35" s="64">
        <v>600000</v>
      </c>
    </row>
    <row r="36" spans="1:10">
      <c r="A36" s="61">
        <v>35</v>
      </c>
      <c r="B36" s="13">
        <v>45726</v>
      </c>
      <c r="C36" t="s">
        <v>1440</v>
      </c>
      <c r="D36" t="s">
        <v>1390</v>
      </c>
      <c r="F36"/>
      <c r="G36" s="64">
        <v>300000</v>
      </c>
      <c r="H36">
        <v>1</v>
      </c>
      <c r="I36" s="155"/>
      <c r="J36" s="64">
        <v>300000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</vt:i4>
      </vt:variant>
    </vt:vector>
  </HeadingPairs>
  <TitlesOfParts>
    <vt:vector size="14" baseType="lpstr">
      <vt:lpstr>주문</vt:lpstr>
      <vt:lpstr>거래내역서</vt:lpstr>
      <vt:lpstr>주문_리스트</vt:lpstr>
      <vt:lpstr>거래처</vt:lpstr>
      <vt:lpstr>거래명세서_NEW</vt:lpstr>
      <vt:lpstr>매출관리</vt:lpstr>
      <vt:lpstr>제품</vt:lpstr>
      <vt:lpstr>재고</vt:lpstr>
      <vt:lpstr>제품구분</vt:lpstr>
      <vt:lpstr>로그인</vt:lpstr>
      <vt:lpstr>바코드</vt:lpstr>
      <vt:lpstr>재고관리</vt:lpstr>
      <vt:lpstr>매출</vt:lpstr>
      <vt:lpstr>바코드!Print_Area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2025-03-13T06:37:04Z</cp:lastPrinted>
  <dcterms:created xsi:type="dcterms:W3CDTF">2020-10-02T11:51:16Z</dcterms:created>
  <dcterms:modified xsi:type="dcterms:W3CDTF">2025-03-14T00:31:47Z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