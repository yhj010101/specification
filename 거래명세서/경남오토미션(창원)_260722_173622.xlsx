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744C4C3C-35EC-4A1A-A149-43300D7D601E}" xr6:coauthVersionLast="47" xr6:coauthVersionMax="47" xr10:uidLastSave="{00000000-0000-0000-0000-000000000000}"/>
  <bookViews>
    <workbookView xWindow="-120" yWindow="-120" windowWidth="29040" windowHeight="15840" xr2:uid="{930E2A8B-DD91-4A3E-8D02-14213F584D7D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T43" i="1" l="1"/>
  <c r="F21" i="1"/>
  <c r="F44" i="1" s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<sst xmlns="http://schemas.openxmlformats.org/spreadsheetml/2006/main" count="74" uniqueCount="38">
  <si>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</si>
  <si>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</si>
  <si>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</si>
  <si>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</si>
  <si>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</si>
  <si>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</si>
  <si>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</si>
  <si>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</si>
  <si>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경남오토미션(창원)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</si>
  <si>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</si>
  <si>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</si>
  <si>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</si>
  <si>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</si>
  <si>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</si>
  <si>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</si>
  <si>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</si>
  <si>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경상남도 창원시 의창구 사화로 286</t>
    <phoneticPr fontId="2" type="noConversion"/>
  </si>
  <si>
    <t>대구 달서구 용산로 28(본리동)</t>
    <phoneticPr fontId="2" type="noConversion"/>
  </si>
  <si>
    <t>전화</t>
    <phoneticPr fontId="2" type="noConversion"/>
  </si>
  <si>
    <t>010-2441-4994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</si>
  <si>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</si>
  <si>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</si>
  <si>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</si>
  <si>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</si>
  <si>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</si>
  <si>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</si>
  <si>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</si>
  <si>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</si>
  <si>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0B5_TCU</t>
    <phoneticPr fontId="2" type="noConversion"/>
  </si>
  <si>
    <t>927156K</t>
    <phoneticPr fontId="2" type="noConversion"/>
  </si>
  <si>
    <t>퀵버스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</si>
  <si>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</si>
  <si>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</si>
  <si>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</si>
  <si>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</si>
  <si>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</si>
  <si>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한국오토(일산)_260722_173550.xlsx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</si>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</sst>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578F6A70-0B66-49E6-B164-873B98C37506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67B55-6792-4CEB-BECB-656FB746246E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46225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900000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900000</v>
      </c>
      <c r="U8" s="55"/>
    </row>
    <row r="9" spans="1:21" ht="15.6" customHeight="1" x14ac:dyDescent="0.3">
      <c r="A9" s="56" t="s">
        <v>30</v>
      </c>
      <c r="B9" s="57"/>
      <c r="C9" s="57"/>
      <c r="D9" s="57"/>
      <c r="E9" s="58"/>
      <c r="F9" s="59"/>
      <c r="G9" s="57"/>
      <c r="H9" s="57"/>
      <c r="I9" s="58"/>
      <c r="J9" s="60">
        <v>20000</v>
      </c>
      <c r="K9" s="60"/>
      <c r="L9" s="60"/>
      <c r="M9" s="60"/>
      <c r="N9" s="60"/>
      <c r="O9" s="61">
        <v>1</v>
      </c>
      <c r="P9" s="61"/>
      <c r="Q9" s="62"/>
      <c r="R9" s="63"/>
      <c r="S9" s="64"/>
      <c r="T9" s="65">
        <v>20000</v>
      </c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31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32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920000</v>
      </c>
      <c r="K20" s="99"/>
      <c r="L20" s="99"/>
      <c r="M20" s="99"/>
      <c r="N20" s="100"/>
      <c r="O20" s="101">
        <f>SUM(O8:P19)</f>
        <v>2</v>
      </c>
      <c r="P20" s="101"/>
      <c r="Q20" s="102">
        <f>SUM(Q8:S19)</f>
        <v>0</v>
      </c>
      <c r="R20" s="96"/>
      <c r="S20" s="97"/>
      <c r="T20" s="96">
        <f>SUM(T8:U15)</f>
        <v>920000</v>
      </c>
      <c r="U20" s="103"/>
    </row>
    <row r="21" spans="1:21" ht="20.100000000000001" customHeight="1" thickBot="1" x14ac:dyDescent="0.35">
      <c r="A21" s="104" t="s">
        <v>33</v>
      </c>
      <c r="B21" s="105"/>
      <c r="C21" s="105"/>
      <c r="D21" s="105"/>
      <c r="E21" s="105"/>
      <c r="F21" s="106">
        <f>F20+T20</f>
        <v>919999.90000000037</v>
      </c>
      <c r="G21" s="106"/>
      <c r="H21" s="106"/>
      <c r="I21" s="107"/>
      <c r="J21" s="108" t="s">
        <v>34</v>
      </c>
      <c r="K21" s="105"/>
      <c r="L21" s="109" t="str">
        <f>T4</f>
        <v>장효주</v>
      </c>
      <c r="M21" s="109"/>
      <c r="N21" s="109"/>
      <c r="O21" s="108" t="s">
        <v>35</v>
      </c>
      <c r="P21" s="105"/>
      <c r="Q21" s="109" t="str">
        <f>C3</f>
        <v>경남오토미션(창원)</v>
      </c>
      <c r="R21" s="109"/>
      <c r="S21" s="109"/>
      <c r="T21" s="109"/>
      <c r="U21" s="110"/>
    </row>
    <row r="22" spans="1:21" ht="20.100000000000001" customHeight="1" x14ac:dyDescent="0.3">
      <c r="A22" s="111" t="s">
        <v>36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46225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경남오토미션(창원)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경상남도 창원시 의창구 사화로 286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010-2441-4994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0B5_TCU</v>
      </c>
      <c r="B31" s="119"/>
      <c r="C31" s="119"/>
      <c r="D31" s="119"/>
      <c r="E31" s="119"/>
      <c r="F31" s="119" t="str">
        <f>F8</f>
        <v>927156K</v>
      </c>
      <c r="G31" s="119"/>
      <c r="H31" s="119"/>
      <c r="I31" s="119"/>
      <c r="J31" s="120">
        <f>J8</f>
        <v>900000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900000</v>
      </c>
      <c r="U31" s="123"/>
    </row>
    <row r="32" spans="1:21" ht="15.6" customHeight="1" x14ac:dyDescent="0.3">
      <c r="A32" s="124" t="str">
        <f t="shared" ref="A32:A38" si="0">A9</f>
        <v>퀵버스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20000</v>
      </c>
      <c r="K32" s="126"/>
      <c r="L32" s="126"/>
      <c r="M32" s="126"/>
      <c r="N32" s="126"/>
      <c r="O32" s="126">
        <f t="shared" ref="O32:O38" si="3">O9</f>
        <v>1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20000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31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32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920000</v>
      </c>
      <c r="K43" s="99"/>
      <c r="L43" s="99"/>
      <c r="M43" s="99"/>
      <c r="N43" s="100"/>
      <c r="O43" s="101">
        <f>O20</f>
        <v>2</v>
      </c>
      <c r="P43" s="101"/>
      <c r="Q43" s="102">
        <f>Q20</f>
        <v>0</v>
      </c>
      <c r="R43" s="96"/>
      <c r="S43" s="96"/>
      <c r="T43" s="96">
        <f>T20</f>
        <v>920000</v>
      </c>
      <c r="U43" s="103"/>
    </row>
    <row r="44" spans="1:21" ht="20.100000000000001" customHeight="1" thickBot="1" x14ac:dyDescent="0.35">
      <c r="A44" s="104" t="s">
        <v>33</v>
      </c>
      <c r="B44" s="105"/>
      <c r="C44" s="105"/>
      <c r="D44" s="105"/>
      <c r="E44" s="105"/>
      <c r="F44" s="106">
        <f>F21</f>
        <v>919999.90000000037</v>
      </c>
      <c r="G44" s="106"/>
      <c r="H44" s="106"/>
      <c r="I44" s="107"/>
      <c r="J44" s="108" t="s">
        <v>34</v>
      </c>
      <c r="K44" s="105"/>
      <c r="L44" s="136" t="str">
        <f>T27</f>
        <v>장효주</v>
      </c>
      <c r="M44" s="136"/>
      <c r="N44" s="136"/>
      <c r="O44" s="108" t="s">
        <v>35</v>
      </c>
      <c r="P44" s="137"/>
      <c r="Q44" s="138" t="str">
        <f>Q21</f>
        <v>경남오토미션(창원)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2026-07-22T08:36:22Z</dcterms:created>
  <dcterms:modified xsi:type="dcterms:W3CDTF">2026-07-22T08:36:23Z</dcterms:modified>
</cp:coreProperties>
</file>