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5BFFC36-D211-4B2F-A378-DB0AD08A264C}" xr6:coauthVersionLast="47" xr6:coauthVersionMax="47" xr10:uidLastSave="{00000000-0000-0000-0000-000000000000}"/>
  <bookViews>
    <workbookView xWindow="-120" yWindow="-120" windowWidth="29040" windowHeight="15840" xr2:uid="{77196D83-CD02-41CD-8BAD-2114BE76242F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<sst xmlns="http://schemas.openxmlformats.org/spreadsheetml/2006/main" count="77" uniqueCount="41">
  <si>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</si>
  <si>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</si>
  <si>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WDDHF0ABXGB246351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</si>
  <si>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</si>
  <si>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</si>
  <si>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</si>
  <si>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</si>
  <si>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</si>
  <si>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</si>
  <si>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경원자동변속기(창원)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</si>
  <si>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</si>
  <si>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</si>
  <si>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</si>
  <si>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</si>
  <si>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</si>
  <si>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</si>
  <si>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</si>
  <si>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경남 창원시 마산합포구 두월동 1-1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</si>
  <si>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</si>
  <si>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</si>
  <si>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010-8001-4306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</si>
  <si>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</si>
  <si>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</si>
  <si>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</si>
  <si>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</si>
  <si>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</si>
  <si>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</si>
  <si>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</si>
  <si>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</si>
  <si>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</si>
  <si>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</si>
  <si>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</si>
  <si>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PARK_PAWL</t>
  </si>
  <si>
    <t>A7259820003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</si>
  <si>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</si>
  <si>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</si>
  <si>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</si>
  <si>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</si>
  <si>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</si>
  <si>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제일오토(대구)_251021_164601.xlsx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</si>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</sst>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E92030A-60FC-4D9A-A41C-C5124472C11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8B070-5CA9-45E1-AF24-3C9B53F4B482}">
  <sheetPr codeName="shtOrder_print1"/>
  <dimension ref="A1:U44"/>
  <sheetViews>
    <sheetView tabSelected="1" zoomScaleNormal="100" workbookViewId="0">
      <selection activeCell="X11" sqref="X11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45951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 t="s">
        <v>32</v>
      </c>
      <c r="B9" s="56"/>
      <c r="C9" s="56"/>
      <c r="D9" s="56"/>
      <c r="E9" s="57"/>
      <c r="F9" s="58" t="s">
        <v>33</v>
      </c>
      <c r="G9" s="56"/>
      <c r="H9" s="56"/>
      <c r="I9" s="57"/>
      <c r="J9" s="59">
        <v>350000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350000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34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35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1550000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1550000</v>
      </c>
      <c r="U20" s="102"/>
    </row>
    <row r="21" spans="1:21" ht="20.100000000000001" customHeight="1" thickBot="1" x14ac:dyDescent="0.35">
      <c r="A21" s="103" t="s">
        <v>36</v>
      </c>
      <c r="B21" s="104"/>
      <c r="C21" s="104"/>
      <c r="D21" s="104"/>
      <c r="E21" s="104"/>
      <c r="F21" s="105">
        <f>F20+T20</f>
        <v>1550000</v>
      </c>
      <c r="G21" s="105"/>
      <c r="H21" s="105"/>
      <c r="I21" s="106"/>
      <c r="J21" s="107" t="s">
        <v>37</v>
      </c>
      <c r="K21" s="104"/>
      <c r="L21" s="108" t="str">
        <f>T4</f>
        <v>장효주</v>
      </c>
      <c r="M21" s="108"/>
      <c r="N21" s="108"/>
      <c r="O21" s="107" t="s">
        <v>38</v>
      </c>
      <c r="P21" s="104"/>
      <c r="Q21" s="108" t="str">
        <f>C3</f>
        <v>경원자동변속기(창원)</v>
      </c>
      <c r="R21" s="108"/>
      <c r="S21" s="108"/>
      <c r="T21" s="108"/>
      <c r="U21" s="109"/>
    </row>
    <row r="22" spans="1:21" ht="20.100000000000001" customHeight="1" x14ac:dyDescent="0.3">
      <c r="A22" s="110" t="s">
        <v>39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WDDHF0ABXGB246351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45951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경원자동변속기(창원)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경남 창원시 마산합포구 두월동 1-1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010-8001-4306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대신(화물)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 t="str">
        <f t="shared" ref="A32:A38" si="0">A9</f>
        <v>PARK_PAWL</v>
      </c>
      <c r="B32" s="124"/>
      <c r="C32" s="124"/>
      <c r="D32" s="124"/>
      <c r="E32" s="124"/>
      <c r="F32" s="124" t="str">
        <f t="shared" ref="F32:F38" si="1">F9</f>
        <v>A7259820003</v>
      </c>
      <c r="G32" s="124"/>
      <c r="H32" s="124"/>
      <c r="I32" s="124"/>
      <c r="J32" s="125">
        <f t="shared" ref="J32:J38" si="2">J9</f>
        <v>350000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350000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34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35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1550000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1550000</v>
      </c>
      <c r="U43" s="102"/>
    </row>
    <row r="44" spans="1:21" ht="20.100000000000001" customHeight="1" thickBot="1" x14ac:dyDescent="0.35">
      <c r="A44" s="103" t="s">
        <v>36</v>
      </c>
      <c r="B44" s="104"/>
      <c r="C44" s="104"/>
      <c r="D44" s="104"/>
      <c r="E44" s="104"/>
      <c r="F44" s="105">
        <f>F21</f>
        <v>1550000</v>
      </c>
      <c r="G44" s="105"/>
      <c r="H44" s="105"/>
      <c r="I44" s="106"/>
      <c r="J44" s="107" t="s">
        <v>37</v>
      </c>
      <c r="K44" s="104"/>
      <c r="L44" s="135" t="str">
        <f>T27</f>
        <v>장효주</v>
      </c>
      <c r="M44" s="135"/>
      <c r="N44" s="135"/>
      <c r="O44" s="107" t="s">
        <v>38</v>
      </c>
      <c r="P44" s="136"/>
      <c r="Q44" s="137" t="str">
        <f>Q21</f>
        <v>경원자동변속기(창원)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2025-10-21T07:46:56Z</dcterms:created>
  <dcterms:modified xsi:type="dcterms:W3CDTF">2025-10-21T07:46:57Z</dcterms:modified>
</cp:coreProperties>
</file>