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989A664-2AE1-448F-9F08-3B39C797E6AB}" xr6:coauthVersionLast="47" xr6:coauthVersionMax="47" xr10:uidLastSave="{00000000-0000-0000-0000-000000000000}"/>
  <bookViews>
    <workbookView xWindow="-120" yWindow="-120" windowWidth="29040" windowHeight="15840" xr2:uid="{85254ADE-6400-4327-B765-7E3CCA429E5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<sst xmlns="http://schemas.openxmlformats.org/spreadsheetml/2006/main" count="80" uniqueCount="44">
  <si>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</si>
  <si>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</si>
  <si>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</si>
  <si>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</si>
  <si>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</si>
  <si>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</si>
  <si>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</si>
  <si>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</si>
  <si>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</si>
  <si>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</si>
  <si>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</si>
  <si>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</si>
  <si>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</si>
  <si>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</si>
  <si>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</si>
  <si>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</si>
  <si>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</si>
  <si>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</si>
  <si>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</si>
  <si>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</si>
  <si>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</si>
  <si>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</si>
  <si>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</si>
  <si>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</si>
  <si>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</si>
  <si>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</si>
  <si>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</si>
  <si>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</si>
  <si>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</si>
  <si>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</si>
  <si>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</si>
  <si>
    <t>0B5_Solenoid</t>
  </si>
  <si>
    <t>50229</t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</si>
  <si>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</si>
  <si>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</si>
  <si>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</si>
  <si>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</si>
  <si>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</si>
  <si>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</si>
  <si>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</si>
  <si>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</si>
  <si>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</si>
  <si>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국제종합카센터(옥천)_260102_174455.xlsx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</si>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</sst>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8ACC37-F862-41DF-947E-E31E4540F5B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3635-B8AB-4551-B743-2F302272F0B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75000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75000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55000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55000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10000</v>
      </c>
      <c r="K11" s="59"/>
      <c r="L11" s="59"/>
      <c r="M11" s="59"/>
      <c r="N11" s="59"/>
      <c r="O11" s="60">
        <v>2</v>
      </c>
      <c r="P11" s="60"/>
      <c r="Q11" s="61"/>
      <c r="R11" s="62"/>
      <c r="S11" s="63"/>
      <c r="T11" s="64">
        <v>20000</v>
      </c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37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38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590000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0</v>
      </c>
      <c r="R20" s="95"/>
      <c r="S20" s="96"/>
      <c r="T20" s="95">
        <f>SUM(T8:U15)</f>
        <v>600000</v>
      </c>
      <c r="U20" s="102"/>
    </row>
    <row r="21" spans="1:21" ht="20.100000000000001" customHeight="1" thickBot="1" x14ac:dyDescent="0.35">
      <c r="A21" s="103" t="s">
        <v>39</v>
      </c>
      <c r="B21" s="104"/>
      <c r="C21" s="104"/>
      <c r="D21" s="104"/>
      <c r="E21" s="104"/>
      <c r="F21" s="105">
        <f>F20+T20</f>
        <v>600000</v>
      </c>
      <c r="G21" s="105"/>
      <c r="H21" s="105"/>
      <c r="I21" s="106"/>
      <c r="J21" s="107" t="s">
        <v>40</v>
      </c>
      <c r="K21" s="104"/>
      <c r="L21" s="108" t="str">
        <f>T4</f>
        <v>장효주</v>
      </c>
      <c r="M21" s="108"/>
      <c r="N21" s="108"/>
      <c r="O21" s="107" t="s">
        <v>41</v>
      </c>
      <c r="P21" s="104"/>
      <c r="Q21" s="108" t="str">
        <f>C3</f>
        <v>금성오토(광주)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42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75000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75000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55000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55000</v>
      </c>
      <c r="U33" s="128"/>
    </row>
    <row r="34" spans="1:21" ht="15.6" customHeight="1" x14ac:dyDescent="0.3">
      <c r="A34" s="123" t="str">
        <f t="shared" si="0"/>
        <v>0B5_Shaft_Seal</v>
      </c>
      <c r="B34" s="124"/>
      <c r="C34" s="124"/>
      <c r="D34" s="124"/>
      <c r="E34" s="124"/>
      <c r="F34" s="124" t="str">
        <f t="shared" si="1"/>
        <v>19037052B</v>
      </c>
      <c r="G34" s="124"/>
      <c r="H34" s="124"/>
      <c r="I34" s="124"/>
      <c r="J34" s="125">
        <f t="shared" si="2"/>
        <v>10000</v>
      </c>
      <c r="K34" s="125"/>
      <c r="L34" s="125"/>
      <c r="M34" s="125"/>
      <c r="N34" s="125"/>
      <c r="O34" s="125">
        <f t="shared" si="3"/>
        <v>2</v>
      </c>
      <c r="P34" s="125"/>
      <c r="Q34" s="126">
        <f t="shared" si="4"/>
        <v>0</v>
      </c>
      <c r="R34" s="126"/>
      <c r="S34" s="126"/>
      <c r="T34" s="127">
        <f t="shared" si="5"/>
        <v>20000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37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38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590000</v>
      </c>
      <c r="K43" s="98"/>
      <c r="L43" s="98"/>
      <c r="M43" s="98"/>
      <c r="N43" s="99"/>
      <c r="O43" s="100">
        <f>O20</f>
        <v>5</v>
      </c>
      <c r="P43" s="100"/>
      <c r="Q43" s="101">
        <f>Q20</f>
        <v>0</v>
      </c>
      <c r="R43" s="95"/>
      <c r="S43" s="95"/>
      <c r="T43" s="95">
        <f>T20</f>
        <v>600000</v>
      </c>
      <c r="U43" s="102"/>
    </row>
    <row r="44" spans="1:21" ht="20.100000000000001" customHeight="1" thickBot="1" x14ac:dyDescent="0.35">
      <c r="A44" s="103" t="s">
        <v>39</v>
      </c>
      <c r="B44" s="104"/>
      <c r="C44" s="104"/>
      <c r="D44" s="104"/>
      <c r="E44" s="104"/>
      <c r="F44" s="105">
        <f>F21</f>
        <v>600000</v>
      </c>
      <c r="G44" s="105"/>
      <c r="H44" s="105"/>
      <c r="I44" s="106"/>
      <c r="J44" s="107" t="s">
        <v>40</v>
      </c>
      <c r="K44" s="104"/>
      <c r="L44" s="135" t="str">
        <f>T27</f>
        <v>장효주</v>
      </c>
      <c r="M44" s="135"/>
      <c r="N44" s="135"/>
      <c r="O44" s="107" t="s">
        <v>41</v>
      </c>
      <c r="P44" s="136"/>
      <c r="Q44" s="137" t="str">
        <f>Q21</f>
        <v>금성오토(광주)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2026-01-02T08:46:08Z</dcterms:created>
  <dcterms:modified xsi:type="dcterms:W3CDTF">2026-01-02T08:46:08Z</dcterms:modified>
</cp:coreProperties>
</file>