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AA875B44-FE63-4555-94AC-CFAE1309E725}" xr6:coauthVersionLast="47" xr6:coauthVersionMax="47" xr10:uidLastSave="{00000000-0000-0000-0000-000000000000}"/>
  <bookViews>
    <workbookView xWindow="0" yWindow="390" windowWidth="28800" windowHeight="15600" xr2:uid="{25A5F9F4-A840-4AF2-B0C1-4C532D3EC77B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T43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O20" i="1"/>
  <c r="J20" i="1"/>
</calcChain>
</file>

<file path=xl/sharedStrings.xml><?xml version="1.0" encoding="utf-8"?>
<sst xmlns="http://schemas.openxmlformats.org/spreadsheetml/2006/main" count="72" uniqueCount="36">
  <si>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</si>
  <si>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</si>
  <si>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</si>
  <si>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</si>
  <si>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</si>
  <si>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</si>
  <si>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</si>
  <si>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</si>
  <si>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김해오토(김해)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</si>
  <si>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</si>
  <si>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</si>
  <si>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</si>
  <si>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</si>
  <si>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</si>
  <si>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</si>
  <si>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</si>
  <si>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경상남도 김해시 흥동로 183 A동 김해오토미션</t>
    <phoneticPr fontId="2" type="noConversion"/>
  </si>
  <si>
    <t>대구 달서구 용산로 28(본리동)</t>
    <phoneticPr fontId="2" type="noConversion"/>
  </si>
  <si>
    <t>전화</t>
    <phoneticPr fontId="2" type="noConversion"/>
  </si>
  <si>
    <t>010-6571-4560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</si>
  <si>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</si>
  <si>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</si>
  <si>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</si>
  <si>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</si>
  <si>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</si>
  <si>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</si>
  <si>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</si>
  <si>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</si>
  <si>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6HP_Repair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</si>
  <si>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</si>
  <si>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</si>
  <si>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</si>
  <si>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</si>
  <si>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</si>
  <si>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점프모터스(울산)_260701_165323.xlsx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</si>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</sst>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57B3BEBE-85EE-433A-BFAC-C641FE7CF44C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8AD5B-D733-4932-8D91-D3814E81D8F2}">
  <sheetPr codeName="shtOrder_print1"/>
  <dimension ref="A1:U44"/>
  <sheetViews>
    <sheetView tabSelected="1" zoomScaleNormal="100" workbookViewId="0">
      <selection activeCell="M5" sqref="M5:U5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46204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/>
      <c r="G8" s="47"/>
      <c r="H8" s="47"/>
      <c r="I8" s="48"/>
      <c r="J8" s="49">
        <v>450000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450000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29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30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450000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450000</v>
      </c>
      <c r="U20" s="103"/>
    </row>
    <row r="21" spans="1:21" ht="20.100000000000001" customHeight="1" thickBot="1" x14ac:dyDescent="0.35">
      <c r="A21" s="104" t="s">
        <v>31</v>
      </c>
      <c r="B21" s="105"/>
      <c r="C21" s="105"/>
      <c r="D21" s="105"/>
      <c r="E21" s="105"/>
      <c r="F21" s="106">
        <f>F20+T20</f>
        <v>449999.90000000037</v>
      </c>
      <c r="G21" s="106"/>
      <c r="H21" s="106"/>
      <c r="I21" s="107"/>
      <c r="J21" s="108" t="s">
        <v>32</v>
      </c>
      <c r="K21" s="105"/>
      <c r="L21" s="109" t="str">
        <f>T4</f>
        <v>장효주</v>
      </c>
      <c r="M21" s="109"/>
      <c r="N21" s="109"/>
      <c r="O21" s="108" t="s">
        <v>33</v>
      </c>
      <c r="P21" s="105"/>
      <c r="Q21" s="109" t="str">
        <f>C3</f>
        <v>김해오토(김해)</v>
      </c>
      <c r="R21" s="109"/>
      <c r="S21" s="109"/>
      <c r="T21" s="109"/>
      <c r="U21" s="110"/>
    </row>
    <row r="22" spans="1:21" ht="20.100000000000001" customHeight="1" x14ac:dyDescent="0.3">
      <c r="A22" s="111" t="s">
        <v>34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35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46204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김해오토(김해)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경상남도 김해시 흥동로 183 A동 김해오토미션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010-6571-4560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6HP_Repair</v>
      </c>
      <c r="B31" s="119"/>
      <c r="C31" s="119"/>
      <c r="D31" s="119"/>
      <c r="E31" s="119"/>
      <c r="F31" s="119">
        <f>F8</f>
        <v>0</v>
      </c>
      <c r="G31" s="119"/>
      <c r="H31" s="119"/>
      <c r="I31" s="119"/>
      <c r="J31" s="120">
        <f>J8</f>
        <v>450000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450000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29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30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450000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450000</v>
      </c>
      <c r="U43" s="103"/>
    </row>
    <row r="44" spans="1:21" ht="20.100000000000001" customHeight="1" thickBot="1" x14ac:dyDescent="0.35">
      <c r="A44" s="104" t="s">
        <v>31</v>
      </c>
      <c r="B44" s="105"/>
      <c r="C44" s="105"/>
      <c r="D44" s="105"/>
      <c r="E44" s="105"/>
      <c r="F44" s="106">
        <f>F21</f>
        <v>449999.90000000037</v>
      </c>
      <c r="G44" s="106"/>
      <c r="H44" s="106"/>
      <c r="I44" s="107"/>
      <c r="J44" s="108" t="s">
        <v>32</v>
      </c>
      <c r="K44" s="105"/>
      <c r="L44" s="136" t="str">
        <f>T27</f>
        <v>장효주</v>
      </c>
      <c r="M44" s="136"/>
      <c r="N44" s="136"/>
      <c r="O44" s="108" t="s">
        <v>33</v>
      </c>
      <c r="P44" s="137"/>
      <c r="Q44" s="138" t="str">
        <f>Q21</f>
        <v>김해오토(김해)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2026-07-01T07:53:53Z</dcterms:created>
  <dcterms:modified xsi:type="dcterms:W3CDTF">2026-07-01T07:53:53Z</dcterms:modified>
</cp:coreProperties>
</file>