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93F4AE3-BA60-4739-A956-BDCCB7B8FEEC}" xr6:coauthVersionLast="47" xr6:coauthVersionMax="47" xr10:uidLastSave="{00000000-0000-0000-0000-000000000000}"/>
  <bookViews>
    <workbookView xWindow="-120" yWindow="-120" windowWidth="29040" windowHeight="15840" xr2:uid="{FFC2FD5E-0B56-42E1-817F-73BD1687FD8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<sst xmlns="http://schemas.openxmlformats.org/spreadsheetml/2006/main" count="77" uniqueCount="41">
  <si>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</si>
  <si>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</si>
  <si>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</si>
  <si>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</si>
  <si>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</si>
  <si>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</si>
  <si>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</si>
  <si>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</si>
  <si>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</si>
  <si>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</si>
  <si>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</si>
  <si>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</si>
  <si>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</si>
  <si>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</si>
  <si>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</si>
  <si>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</si>
  <si>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</si>
  <si>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</si>
  <si>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</si>
  <si>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</si>
  <si>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</si>
  <si>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</si>
  <si>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</si>
  <si>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</si>
  <si>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</si>
  <si>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</si>
  <si>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</si>
  <si>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</si>
  <si>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</si>
  <si>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</si>
  <si>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97031708500</t>
    <phoneticPr fontId="2" type="noConversion"/>
  </si>
  <si>
    <t>PDK_EndCap</t>
  </si>
  <si>
    <t>9P1301125</t>
  </si>
  <si>
    <t>8HP_Shaft_seasl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</si>
  <si>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</si>
  <si>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</si>
  <si>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</si>
  <si>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</si>
  <si>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</si>
  <si>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현진미션(남대구)_260227_174632.xlsx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</si>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</sst>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0778E8B-DA89-4E42-B00F-6FA9C70A32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8AE4-E806-4948-9AFD-054B923DDF8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/>
      <c r="G10" s="56"/>
      <c r="H10" s="56"/>
      <c r="I10" s="57"/>
      <c r="J10" s="59">
        <v>10000</v>
      </c>
      <c r="K10" s="59"/>
      <c r="L10" s="59"/>
      <c r="M10" s="59"/>
      <c r="N10" s="59"/>
      <c r="O10" s="60">
        <v>10</v>
      </c>
      <c r="P10" s="60"/>
      <c r="Q10" s="61"/>
      <c r="R10" s="62"/>
      <c r="S10" s="63"/>
      <c r="T10" s="64">
        <v>100000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3310000</v>
      </c>
      <c r="K20" s="98"/>
      <c r="L20" s="98"/>
      <c r="M20" s="98"/>
      <c r="N20" s="99"/>
      <c r="O20" s="100">
        <f>SUM(O8:P19)</f>
        <v>12</v>
      </c>
      <c r="P20" s="100"/>
      <c r="Q20" s="101">
        <f>SUM(Q8:S19)</f>
        <v>0</v>
      </c>
      <c r="R20" s="95"/>
      <c r="S20" s="96"/>
      <c r="T20" s="95">
        <f>SUM(T8:U15)</f>
        <v>3400000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3400000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PDK_Distance_Sensor</v>
      </c>
      <c r="B31" s="118"/>
      <c r="C31" s="118"/>
      <c r="D31" s="118"/>
      <c r="E31" s="118"/>
      <c r="F31" s="118" t="str">
        <f>F8</f>
        <v>97031708500</v>
      </c>
      <c r="G31" s="118"/>
      <c r="H31" s="118"/>
      <c r="I31" s="118"/>
      <c r="J31" s="119">
        <f>J8</f>
        <v>3200000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3200000</v>
      </c>
      <c r="U31" s="122"/>
    </row>
    <row r="32" spans="1:21" ht="15.6" customHeight="1" x14ac:dyDescent="0.3">
      <c r="A32" s="123" t="str">
        <f t="shared" ref="A32:A38" si="0">A9</f>
        <v>PDK_EndCap</v>
      </c>
      <c r="B32" s="124"/>
      <c r="C32" s="124"/>
      <c r="D32" s="124"/>
      <c r="E32" s="124"/>
      <c r="F32" s="124" t="str">
        <f t="shared" ref="F32:F38" si="1">F9</f>
        <v>9P1301125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 t="str">
        <f t="shared" si="0"/>
        <v>8HP_Shaft_seasl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10</v>
      </c>
      <c r="P33" s="125"/>
      <c r="Q33" s="126">
        <f t="shared" si="4"/>
        <v>0</v>
      </c>
      <c r="R33" s="126"/>
      <c r="S33" s="126"/>
      <c r="T33" s="127">
        <f t="shared" si="5"/>
        <v>100000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3310000</v>
      </c>
      <c r="K43" s="98"/>
      <c r="L43" s="98"/>
      <c r="M43" s="98"/>
      <c r="N43" s="99"/>
      <c r="O43" s="100">
        <f>O20</f>
        <v>12</v>
      </c>
      <c r="P43" s="100"/>
      <c r="Q43" s="101">
        <f>Q20</f>
        <v>0</v>
      </c>
      <c r="R43" s="95"/>
      <c r="S43" s="95"/>
      <c r="T43" s="95">
        <f>T20</f>
        <v>3400000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3400000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2026-02-27T08:47:48Z</dcterms:created>
  <dcterms:modified xsi:type="dcterms:W3CDTF">2026-02-27T08:47:48Z</dcterms:modified>
</cp:coreProperties>
</file>