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8E7AB85-2400-462D-A6F4-DF65087EC83D}" xr6:coauthVersionLast="47" xr6:coauthVersionMax="47" xr10:uidLastSave="{00000000-0000-0000-0000-000000000000}"/>
  <bookViews>
    <workbookView xWindow="-120" yWindow="-120" windowWidth="29040" windowHeight="15840" xr2:uid="{41DC8881-E42A-4C80-985A-FF3E7A9AF9E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<sst xmlns="http://schemas.openxmlformats.org/spreadsheetml/2006/main" count="78" uniqueCount="42">
  <si>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</si>
  <si>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</si>
  <si>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</si>
  <si>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</si>
  <si>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</si>
  <si>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</si>
  <si>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</si>
  <si>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</si>
  <si>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</si>
  <si>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</si>
  <si>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</si>
  <si>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</si>
  <si>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</si>
  <si>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</si>
  <si>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</si>
  <si>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</si>
  <si>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</si>
  <si>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</si>
  <si>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</si>
  <si>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</si>
  <si>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</si>
  <si>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</si>
  <si>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</si>
  <si>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</si>
  <si>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</si>
  <si>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</si>
  <si>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</si>
  <si>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</si>
  <si>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</si>
  <si>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</si>
  <si>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</si>
  <si>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</si>
  <si>
    <t>50229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</si>
  <si>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</si>
  <si>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</si>
  <si>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</si>
  <si>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</si>
  <si>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</si>
  <si>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</si>
  <si>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</si>
  <si>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현진미션(남대구)_260107_175615.xlsx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</si>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</sst>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15FE67C-0E76-40B6-B112-954B793E2D7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9510-F46E-495F-8D32-E6B281B109D2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590910</v>
      </c>
      <c r="K8" s="48"/>
      <c r="L8" s="48"/>
      <c r="M8" s="48"/>
      <c r="N8" s="48"/>
      <c r="O8" s="49">
        <v>1</v>
      </c>
      <c r="P8" s="49"/>
      <c r="Q8" s="50">
        <v>59091</v>
      </c>
      <c r="R8" s="51"/>
      <c r="S8" s="52"/>
      <c r="T8" s="53">
        <v>650001</v>
      </c>
      <c r="U8" s="54"/>
    </row>
    <row r="9" spans="1:21" ht="15.6" customHeight="1" x14ac:dyDescent="0.3">
      <c r="A9" s="55">
        <v>-1</v>
      </c>
      <c r="B9" s="56"/>
      <c r="C9" s="56"/>
      <c r="D9" s="56"/>
      <c r="E9" s="57"/>
      <c r="F9" s="58"/>
      <c r="G9" s="56"/>
      <c r="H9" s="56"/>
      <c r="I9" s="57"/>
      <c r="J9" s="59">
        <v>-1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-1</v>
      </c>
      <c r="U9" s="65"/>
    </row>
    <row r="10" spans="1:21" ht="15.6" customHeight="1" x14ac:dyDescent="0.3">
      <c r="A10" s="55" t="s">
        <v>31</v>
      </c>
      <c r="B10" s="56"/>
      <c r="C10" s="56"/>
      <c r="D10" s="56"/>
      <c r="E10" s="57"/>
      <c r="F10" s="58" t="s">
        <v>32</v>
      </c>
      <c r="G10" s="56"/>
      <c r="H10" s="56"/>
      <c r="I10" s="57"/>
      <c r="J10" s="59">
        <v>75000</v>
      </c>
      <c r="K10" s="59"/>
      <c r="L10" s="59"/>
      <c r="M10" s="59"/>
      <c r="N10" s="59"/>
      <c r="O10" s="60">
        <v>1</v>
      </c>
      <c r="P10" s="60"/>
      <c r="Q10" s="61">
        <v>7500</v>
      </c>
      <c r="R10" s="62"/>
      <c r="S10" s="63"/>
      <c r="T10" s="64">
        <v>82500</v>
      </c>
      <c r="U10" s="65"/>
    </row>
    <row r="11" spans="1:21" ht="15.6" customHeight="1" x14ac:dyDescent="0.3">
      <c r="A11" s="55" t="s">
        <v>33</v>
      </c>
      <c r="B11" s="56"/>
      <c r="C11" s="56"/>
      <c r="D11" s="56"/>
      <c r="E11" s="57"/>
      <c r="F11" s="58" t="s">
        <v>34</v>
      </c>
      <c r="G11" s="56"/>
      <c r="H11" s="56"/>
      <c r="I11" s="57"/>
      <c r="J11" s="59">
        <v>10000</v>
      </c>
      <c r="K11" s="59"/>
      <c r="L11" s="59"/>
      <c r="M11" s="59"/>
      <c r="N11" s="59"/>
      <c r="O11" s="60">
        <v>5</v>
      </c>
      <c r="P11" s="60"/>
      <c r="Q11" s="61">
        <v>5000</v>
      </c>
      <c r="R11" s="62"/>
      <c r="S11" s="63"/>
      <c r="T11" s="64">
        <v>55000</v>
      </c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15293000.199999999</v>
      </c>
      <c r="G20" s="95"/>
      <c r="H20" s="95"/>
      <c r="I20" s="96"/>
      <c r="J20" s="97">
        <f>SUM(J8:N19)</f>
        <v>675909</v>
      </c>
      <c r="K20" s="98"/>
      <c r="L20" s="98"/>
      <c r="M20" s="98"/>
      <c r="N20" s="99"/>
      <c r="O20" s="100">
        <f>SUM(O8:P19)</f>
        <v>8</v>
      </c>
      <c r="P20" s="100"/>
      <c r="Q20" s="101">
        <f>SUM(Q8:S19)</f>
        <v>71591</v>
      </c>
      <c r="R20" s="95"/>
      <c r="S20" s="96"/>
      <c r="T20" s="95">
        <f>SUM(T8:U15)</f>
        <v>787500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16080500.199999999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590910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59091</v>
      </c>
      <c r="R31" s="120"/>
      <c r="S31" s="120"/>
      <c r="T31" s="121">
        <f>T8</f>
        <v>650001</v>
      </c>
      <c r="U31" s="122"/>
    </row>
    <row r="32" spans="1:21" ht="15.6" customHeight="1" x14ac:dyDescent="0.3">
      <c r="A32" s="123">
        <f t="shared" ref="A32:A38" si="0">A9</f>
        <v>-1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-1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-1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7500</v>
      </c>
      <c r="R33" s="126"/>
      <c r="S33" s="126"/>
      <c r="T33" s="127">
        <f t="shared" si="5"/>
        <v>82500</v>
      </c>
      <c r="U33" s="128"/>
    </row>
    <row r="34" spans="1:21" ht="15.6" customHeight="1" x14ac:dyDescent="0.3">
      <c r="A34" s="123" t="str">
        <f t="shared" si="0"/>
        <v>0B5_Shaft_Seal</v>
      </c>
      <c r="B34" s="124"/>
      <c r="C34" s="124"/>
      <c r="D34" s="124"/>
      <c r="E34" s="124"/>
      <c r="F34" s="124" t="str">
        <f t="shared" si="1"/>
        <v>19037052B</v>
      </c>
      <c r="G34" s="124"/>
      <c r="H34" s="124"/>
      <c r="I34" s="124"/>
      <c r="J34" s="125">
        <f t="shared" si="2"/>
        <v>10000</v>
      </c>
      <c r="K34" s="125"/>
      <c r="L34" s="125"/>
      <c r="M34" s="125"/>
      <c r="N34" s="125"/>
      <c r="O34" s="125">
        <f t="shared" si="3"/>
        <v>5</v>
      </c>
      <c r="P34" s="125"/>
      <c r="Q34" s="126">
        <f t="shared" si="4"/>
        <v>5000</v>
      </c>
      <c r="R34" s="126"/>
      <c r="S34" s="126"/>
      <c r="T34" s="127">
        <f t="shared" si="5"/>
        <v>55000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15293000.199999999</v>
      </c>
      <c r="G43" s="95"/>
      <c r="H43" s="95"/>
      <c r="I43" s="96"/>
      <c r="J43" s="97">
        <f>J20</f>
        <v>675909</v>
      </c>
      <c r="K43" s="98"/>
      <c r="L43" s="98"/>
      <c r="M43" s="98"/>
      <c r="N43" s="99"/>
      <c r="O43" s="100">
        <f>O20</f>
        <v>8</v>
      </c>
      <c r="P43" s="100"/>
      <c r="Q43" s="101">
        <f>Q20</f>
        <v>71591</v>
      </c>
      <c r="R43" s="95"/>
      <c r="S43" s="95"/>
      <c r="T43" s="95">
        <f>T20</f>
        <v>787500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16080500.199999999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2026-01-07T08:57:22Z</dcterms:created>
  <dcterms:modified xsi:type="dcterms:W3CDTF">2026-01-07T08:57:22Z</dcterms:modified>
</cp:coreProperties>
</file>