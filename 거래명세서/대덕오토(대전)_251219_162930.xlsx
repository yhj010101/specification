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16C0B1A4-C593-4BD6-B964-376D0C6B40FA}" xr6:coauthVersionLast="47" xr6:coauthVersionMax="47" xr10:uidLastSave="{00000000-0000-0000-0000-000000000000}"/>
  <bookViews>
    <workbookView xWindow="-120" yWindow="-120" windowWidth="29040" windowHeight="15840" xr2:uid="{6E75762C-FBAA-404C-93EF-30F30B387E72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T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Q43" i="1" s="1"/>
  <c r="O20" i="1"/>
  <c r="O43" i="1" s="1"/>
  <c r="J20" i="1"/>
</calcChain>
</file>

<file path=xl/sharedStrings.xml><?xml version="1.0" encoding="utf-8"?>
<sst xmlns="http://schemas.openxmlformats.org/spreadsheetml/2006/main" count="76" uniqueCount="40">
  <si>
    <t>거   래   명   세   서</t>
    <phoneticPr fontId="2" type="noConversion"/>
  </si>
  <si>
    <t>VIN:</t>
    <phoneticPr fontId="2" type="noConversion"/>
  </si>
  <si>
    <t>WVWZZZ3CZJE153664</t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</si>
  <si>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</si>
  <si>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</si>
  <si>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</si>
  <si>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</si>
  <si>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</si>
  <si>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</si>
  <si>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대덕오토(대전)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</si>
  <si>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</si>
  <si>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</si>
  <si>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</si>
  <si>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</si>
  <si>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</si>
  <si>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</si>
  <si>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</si>
  <si>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대전광역시 대덕구 신탄진로614</t>
    <phoneticPr fontId="2" type="noConversion"/>
  </si>
  <si>
    <t>대구 달서구 용산로 28(본리동)</t>
    <phoneticPr fontId="2" type="noConversion"/>
  </si>
  <si>
    <t>전화</t>
    <phoneticPr fontId="2" type="noConversion"/>
  </si>
  <si>
    <t>010-5452-4454</t>
    <phoneticPr fontId="2" type="noConversion"/>
  </si>
  <si>
    <t>010-5168-3542</t>
    <phoneticPr fontId="2" type="noConversion"/>
  </si>
  <si>
    <t>배송</t>
    <phoneticPr fontId="2" type="noConversion"/>
  </si>
  <si>
    <t>대신(택배)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</si>
  <si>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</si>
  <si>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</si>
  <si>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</si>
  <si>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</si>
  <si>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</si>
  <si>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</si>
  <si>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0D9_AQ</t>
    <phoneticPr fontId="2" type="noConversion"/>
  </si>
  <si>
    <t>02E927770AQ</t>
    <phoneticPr fontId="2" type="noConversion"/>
  </si>
  <si>
    <t>Note</t>
    <phoneticPr fontId="2" type="noConversion"/>
  </si>
  <si>
    <t>FAZIT-3066</t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</si>
  <si>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</si>
  <si>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</si>
  <si>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</si>
  <si>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</si>
  <si>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미르오토(대구)_251219_162851.xlsx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</si>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</sst>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6848B2BC-4ADC-4941-A383-BFC84CBBFE31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9E902-B55F-4BE8-807F-89B61024B037}">
  <sheetPr codeName="shtOrder_print1"/>
  <dimension ref="A1:U44"/>
  <sheetViews>
    <sheetView tabSelected="1" zoomScaleNormal="100" workbookViewId="0">
      <selection activeCell="AB16" sqref="AB16:AB17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46010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0" t="s">
        <v>23</v>
      </c>
      <c r="U6" s="34"/>
    </row>
    <row r="7" spans="1:21" ht="15.75" customHeight="1" x14ac:dyDescent="0.3">
      <c r="A7" s="37" t="s">
        <v>24</v>
      </c>
      <c r="B7" s="38"/>
      <c r="C7" s="38"/>
      <c r="D7" s="38"/>
      <c r="E7" s="39"/>
      <c r="F7" s="40" t="s">
        <v>25</v>
      </c>
      <c r="G7" s="38"/>
      <c r="H7" s="38"/>
      <c r="I7" s="39"/>
      <c r="J7" s="40" t="s">
        <v>26</v>
      </c>
      <c r="K7" s="38"/>
      <c r="L7" s="38"/>
      <c r="M7" s="38"/>
      <c r="N7" s="39"/>
      <c r="O7" s="38" t="s">
        <v>27</v>
      </c>
      <c r="P7" s="39"/>
      <c r="Q7" s="40" t="s">
        <v>28</v>
      </c>
      <c r="R7" s="38"/>
      <c r="S7" s="39"/>
      <c r="T7" s="40" t="s">
        <v>29</v>
      </c>
      <c r="U7" s="41"/>
    </row>
    <row r="8" spans="1:21" ht="15.6" customHeight="1" x14ac:dyDescent="0.3">
      <c r="A8" s="42" t="s">
        <v>30</v>
      </c>
      <c r="B8" s="43"/>
      <c r="C8" s="43"/>
      <c r="D8" s="43"/>
      <c r="E8" s="44"/>
      <c r="F8" s="45" t="s">
        <v>31</v>
      </c>
      <c r="G8" s="46"/>
      <c r="H8" s="46"/>
      <c r="I8" s="47"/>
      <c r="J8" s="48">
        <v>1700000</v>
      </c>
      <c r="K8" s="48"/>
      <c r="L8" s="48"/>
      <c r="M8" s="48"/>
      <c r="N8" s="48"/>
      <c r="O8" s="49">
        <v>1</v>
      </c>
      <c r="P8" s="49"/>
      <c r="Q8" s="50">
        <v>170000</v>
      </c>
      <c r="R8" s="51"/>
      <c r="S8" s="52"/>
      <c r="T8" s="53">
        <v>1870000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32</v>
      </c>
      <c r="B16" s="78"/>
      <c r="C16" s="78"/>
      <c r="D16" s="78"/>
      <c r="E16" s="79"/>
      <c r="F16" s="80" t="s">
        <v>33</v>
      </c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34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1700000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170000</v>
      </c>
      <c r="R20" s="95"/>
      <c r="S20" s="96"/>
      <c r="T20" s="95">
        <f>SUM(T8:U15)</f>
        <v>1870000</v>
      </c>
      <c r="U20" s="102"/>
    </row>
    <row r="21" spans="1:21" ht="20.100000000000001" customHeight="1" thickBot="1" x14ac:dyDescent="0.35">
      <c r="A21" s="103" t="s">
        <v>35</v>
      </c>
      <c r="B21" s="104"/>
      <c r="C21" s="104"/>
      <c r="D21" s="104"/>
      <c r="E21" s="104"/>
      <c r="F21" s="105">
        <f>F20+T20</f>
        <v>1870000</v>
      </c>
      <c r="G21" s="105"/>
      <c r="H21" s="105"/>
      <c r="I21" s="106"/>
      <c r="J21" s="107" t="s">
        <v>36</v>
      </c>
      <c r="K21" s="104"/>
      <c r="L21" s="108" t="str">
        <f>T4</f>
        <v>장효주</v>
      </c>
      <c r="M21" s="108"/>
      <c r="N21" s="108"/>
      <c r="O21" s="107" t="s">
        <v>37</v>
      </c>
      <c r="P21" s="104"/>
      <c r="Q21" s="108" t="str">
        <f>C3</f>
        <v>대덕오토(대전)</v>
      </c>
      <c r="R21" s="108"/>
      <c r="S21" s="108"/>
      <c r="T21" s="108"/>
      <c r="U21" s="109"/>
    </row>
    <row r="22" spans="1:21" ht="20.100000000000001" customHeight="1" x14ac:dyDescent="0.3">
      <c r="A22" s="110" t="s">
        <v>38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 t="str">
        <f>S1</f>
        <v>WVWZZZ3CZJE153664</v>
      </c>
      <c r="T24" s="112"/>
      <c r="U24" s="113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39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46010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대덕오토(대전)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대전광역시 대덕구 신탄진로614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010-5452-4454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대신(택배)</v>
      </c>
      <c r="U29" s="34"/>
    </row>
    <row r="30" spans="1:21" ht="15.6" customHeight="1" x14ac:dyDescent="0.3">
      <c r="A30" s="37" t="s">
        <v>24</v>
      </c>
      <c r="B30" s="38"/>
      <c r="C30" s="38"/>
      <c r="D30" s="38"/>
      <c r="E30" s="39"/>
      <c r="F30" s="40" t="s">
        <v>25</v>
      </c>
      <c r="G30" s="38"/>
      <c r="H30" s="38"/>
      <c r="I30" s="39"/>
      <c r="J30" s="40" t="s">
        <v>26</v>
      </c>
      <c r="K30" s="38"/>
      <c r="L30" s="38"/>
      <c r="M30" s="38"/>
      <c r="N30" s="39"/>
      <c r="O30" s="38" t="s">
        <v>27</v>
      </c>
      <c r="P30" s="39"/>
      <c r="Q30" s="40" t="s">
        <v>28</v>
      </c>
      <c r="R30" s="38"/>
      <c r="S30" s="39"/>
      <c r="T30" s="40" t="s">
        <v>29</v>
      </c>
      <c r="U30" s="41"/>
    </row>
    <row r="31" spans="1:21" ht="15.6" customHeight="1" x14ac:dyDescent="0.3">
      <c r="A31" s="117" t="str">
        <f>A8</f>
        <v>0D9_AQ</v>
      </c>
      <c r="B31" s="118"/>
      <c r="C31" s="118"/>
      <c r="D31" s="118"/>
      <c r="E31" s="118"/>
      <c r="F31" s="118" t="str">
        <f>F8</f>
        <v>02E927770AQ</v>
      </c>
      <c r="G31" s="118"/>
      <c r="H31" s="118"/>
      <c r="I31" s="118"/>
      <c r="J31" s="119">
        <f>J8</f>
        <v>1700000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170000</v>
      </c>
      <c r="R31" s="120"/>
      <c r="S31" s="120"/>
      <c r="T31" s="121">
        <f>T8</f>
        <v>1870000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32</v>
      </c>
      <c r="B39" s="78"/>
      <c r="C39" s="78"/>
      <c r="D39" s="78"/>
      <c r="E39" s="79"/>
      <c r="F39" s="80" t="str">
        <f>F16</f>
        <v>FAZIT-3066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34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1700000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170000</v>
      </c>
      <c r="R43" s="95"/>
      <c r="S43" s="95"/>
      <c r="T43" s="95">
        <f>T20</f>
        <v>1870000</v>
      </c>
      <c r="U43" s="102"/>
    </row>
    <row r="44" spans="1:21" ht="20.100000000000001" customHeight="1" thickBot="1" x14ac:dyDescent="0.35">
      <c r="A44" s="103" t="s">
        <v>35</v>
      </c>
      <c r="B44" s="104"/>
      <c r="C44" s="104"/>
      <c r="D44" s="104"/>
      <c r="E44" s="104"/>
      <c r="F44" s="105">
        <f>F21</f>
        <v>1870000</v>
      </c>
      <c r="G44" s="105"/>
      <c r="H44" s="105"/>
      <c r="I44" s="106"/>
      <c r="J44" s="107" t="s">
        <v>36</v>
      </c>
      <c r="K44" s="104"/>
      <c r="L44" s="135" t="str">
        <f>T27</f>
        <v>장효주</v>
      </c>
      <c r="M44" s="135"/>
      <c r="N44" s="135"/>
      <c r="O44" s="107" t="s">
        <v>37</v>
      </c>
      <c r="P44" s="136"/>
      <c r="Q44" s="137" t="str">
        <f>Q21</f>
        <v>대덕오토(대전)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2025-12-19T07:29:30Z</dcterms:created>
  <dcterms:modified xsi:type="dcterms:W3CDTF">2025-12-19T07:29:30Z</dcterms:modified>
</cp:coreProperties>
</file>