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F27479E-6850-4CDD-81CE-7DD9244207E3}" xr6:coauthVersionLast="47" xr6:coauthVersionMax="47" xr10:uidLastSave="{00000000-0000-0000-0000-000000000000}"/>
  <bookViews>
    <workbookView xWindow="-120" yWindow="-120" windowWidth="29040" windowHeight="15840" xr2:uid="{920A387B-4164-4221-A9AD-3A1885C65B0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<sst xmlns="http://schemas.openxmlformats.org/spreadsheetml/2006/main" count="79" uniqueCount="43">
  <si>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</si>
  <si>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</si>
  <si>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</si>
  <si>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</si>
  <si>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</si>
  <si>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</si>
  <si>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</si>
  <si>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</si>
  <si>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</si>
  <si>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</si>
  <si>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</si>
  <si>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</si>
  <si>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</si>
  <si>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</si>
  <si>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</si>
  <si>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</si>
  <si>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</si>
  <si>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</si>
  <si>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</si>
  <si>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</si>
  <si>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</si>
  <si>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</si>
  <si>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</si>
  <si>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</si>
  <si>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</si>
  <si>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</si>
  <si>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</si>
  <si>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</si>
  <si>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</si>
  <si>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</si>
  <si>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  <phoneticPr fontId="2" type="noConversion"/>
  </si>
  <si>
    <t>0B5_DISC</t>
  </si>
  <si>
    <t>34265KIT</t>
  </si>
  <si>
    <t>ZF_9G_Oilpan</t>
  </si>
  <si>
    <t>7252703114-1</t>
  </si>
  <si>
    <t>ZF Oilpan 8HP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</si>
  <si>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</si>
  <si>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</si>
  <si>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</si>
  <si>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</si>
  <si>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</si>
  <si>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진홍오토(대구)_260402_174052.xlsx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</si>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</sst>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C6173B-AED0-4425-BC59-4FFBA00EED8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6239-A2B9-4B9C-94FF-46A35FD73B4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620000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1240000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>
        <v>50229</v>
      </c>
      <c r="G9" s="56"/>
      <c r="H9" s="56"/>
      <c r="I9" s="57"/>
      <c r="J9" s="59">
        <v>80000</v>
      </c>
      <c r="K9" s="59"/>
      <c r="L9" s="59"/>
      <c r="M9" s="59"/>
      <c r="N9" s="59"/>
      <c r="O9" s="60">
        <v>2</v>
      </c>
      <c r="P9" s="60"/>
      <c r="Q9" s="61"/>
      <c r="R9" s="62"/>
      <c r="S9" s="63"/>
      <c r="T9" s="64">
        <v>160000</v>
      </c>
      <c r="U9" s="65"/>
    </row>
    <row r="10" spans="1:21" ht="15.6" customHeight="1" x14ac:dyDescent="0.3">
      <c r="A10" s="55" t="s">
        <v>31</v>
      </c>
      <c r="B10" s="56"/>
      <c r="C10" s="56"/>
      <c r="D10" s="56"/>
      <c r="E10" s="57"/>
      <c r="F10" s="58" t="s">
        <v>32</v>
      </c>
      <c r="G10" s="56"/>
      <c r="H10" s="56"/>
      <c r="I10" s="57"/>
      <c r="J10" s="59">
        <v>130000</v>
      </c>
      <c r="K10" s="59"/>
      <c r="L10" s="59"/>
      <c r="M10" s="59"/>
      <c r="N10" s="59"/>
      <c r="O10" s="60">
        <v>2</v>
      </c>
      <c r="P10" s="60"/>
      <c r="Q10" s="61"/>
      <c r="R10" s="62"/>
      <c r="S10" s="63"/>
      <c r="T10" s="64">
        <v>260000</v>
      </c>
      <c r="U10" s="65"/>
    </row>
    <row r="11" spans="1:21" ht="15.6" customHeight="1" x14ac:dyDescent="0.3">
      <c r="A11" s="55" t="s">
        <v>33</v>
      </c>
      <c r="B11" s="56"/>
      <c r="C11" s="56"/>
      <c r="D11" s="56"/>
      <c r="E11" s="57"/>
      <c r="F11" s="58" t="s">
        <v>34</v>
      </c>
      <c r="G11" s="56"/>
      <c r="H11" s="56"/>
      <c r="I11" s="57"/>
      <c r="J11" s="59">
        <v>130000</v>
      </c>
      <c r="K11" s="59"/>
      <c r="L11" s="59"/>
      <c r="M11" s="59"/>
      <c r="N11" s="59"/>
      <c r="O11" s="60">
        <v>2</v>
      </c>
      <c r="P11" s="60"/>
      <c r="Q11" s="61"/>
      <c r="R11" s="62"/>
      <c r="S11" s="63"/>
      <c r="T11" s="64">
        <v>260000</v>
      </c>
      <c r="U11" s="65"/>
    </row>
    <row r="12" spans="1:21" ht="15.6" customHeight="1" x14ac:dyDescent="0.3">
      <c r="A12" s="55" t="s">
        <v>35</v>
      </c>
      <c r="B12" s="56"/>
      <c r="C12" s="56"/>
      <c r="D12" s="56"/>
      <c r="E12" s="57"/>
      <c r="F12" s="58"/>
      <c r="G12" s="56"/>
      <c r="H12" s="56"/>
      <c r="I12" s="57"/>
      <c r="J12" s="59">
        <v>80000</v>
      </c>
      <c r="K12" s="59"/>
      <c r="L12" s="59"/>
      <c r="M12" s="59"/>
      <c r="N12" s="59"/>
      <c r="O12" s="60">
        <v>1</v>
      </c>
      <c r="P12" s="60"/>
      <c r="Q12" s="61"/>
      <c r="R12" s="62"/>
      <c r="S12" s="63"/>
      <c r="T12" s="64">
        <v>80000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36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1040000</v>
      </c>
      <c r="K20" s="98"/>
      <c r="L20" s="98"/>
      <c r="M20" s="98"/>
      <c r="N20" s="99"/>
      <c r="O20" s="100">
        <f>SUM(O8:P19)</f>
        <v>9</v>
      </c>
      <c r="P20" s="100"/>
      <c r="Q20" s="101">
        <f>SUM(Q8:S19)</f>
        <v>0</v>
      </c>
      <c r="R20" s="95"/>
      <c r="S20" s="96"/>
      <c r="T20" s="95">
        <f>SUM(T8:U15)</f>
        <v>2000000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1999999.9000000004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620000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1240000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>
        <f t="shared" ref="F32:F38" si="1">F9</f>
        <v>50229</v>
      </c>
      <c r="G32" s="124"/>
      <c r="H32" s="124"/>
      <c r="I32" s="124"/>
      <c r="J32" s="125">
        <f t="shared" ref="J32:J38" si="2">J9</f>
        <v>80000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160000</v>
      </c>
      <c r="U32" s="128"/>
    </row>
    <row r="33" spans="1:21" ht="15.6" customHeight="1" x14ac:dyDescent="0.3">
      <c r="A33" s="123" t="str">
        <f t="shared" si="0"/>
        <v>0B5_DISC</v>
      </c>
      <c r="B33" s="124"/>
      <c r="C33" s="124"/>
      <c r="D33" s="124"/>
      <c r="E33" s="124"/>
      <c r="F33" s="124" t="str">
        <f t="shared" si="1"/>
        <v>34265KIT</v>
      </c>
      <c r="G33" s="124"/>
      <c r="H33" s="124"/>
      <c r="I33" s="124"/>
      <c r="J33" s="125">
        <f t="shared" si="2"/>
        <v>130000</v>
      </c>
      <c r="K33" s="125"/>
      <c r="L33" s="125"/>
      <c r="M33" s="125"/>
      <c r="N33" s="125"/>
      <c r="O33" s="125">
        <f t="shared" si="3"/>
        <v>2</v>
      </c>
      <c r="P33" s="125"/>
      <c r="Q33" s="126">
        <f t="shared" si="4"/>
        <v>0</v>
      </c>
      <c r="R33" s="126"/>
      <c r="S33" s="126"/>
      <c r="T33" s="127">
        <f t="shared" si="5"/>
        <v>260000</v>
      </c>
      <c r="U33" s="128"/>
    </row>
    <row r="34" spans="1:21" ht="15.6" customHeight="1" x14ac:dyDescent="0.3">
      <c r="A34" s="123" t="str">
        <f t="shared" si="0"/>
        <v>ZF_9G_Oilpan</v>
      </c>
      <c r="B34" s="124"/>
      <c r="C34" s="124"/>
      <c r="D34" s="124"/>
      <c r="E34" s="124"/>
      <c r="F34" s="124" t="str">
        <f t="shared" si="1"/>
        <v>7252703114-1</v>
      </c>
      <c r="G34" s="124"/>
      <c r="H34" s="124"/>
      <c r="I34" s="124"/>
      <c r="J34" s="125">
        <f t="shared" si="2"/>
        <v>130000</v>
      </c>
      <c r="K34" s="125"/>
      <c r="L34" s="125"/>
      <c r="M34" s="125"/>
      <c r="N34" s="125"/>
      <c r="O34" s="125">
        <f t="shared" si="3"/>
        <v>2</v>
      </c>
      <c r="P34" s="125"/>
      <c r="Q34" s="126">
        <f t="shared" si="4"/>
        <v>0</v>
      </c>
      <c r="R34" s="126"/>
      <c r="S34" s="126"/>
      <c r="T34" s="127">
        <f t="shared" si="5"/>
        <v>260000</v>
      </c>
      <c r="U34" s="128"/>
    </row>
    <row r="35" spans="1:21" ht="15.6" customHeight="1" x14ac:dyDescent="0.3">
      <c r="A35" s="123" t="str">
        <f t="shared" si="0"/>
        <v>ZF Oilpan 8HP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80000</v>
      </c>
      <c r="K35" s="125"/>
      <c r="L35" s="125"/>
      <c r="M35" s="125"/>
      <c r="N35" s="125"/>
      <c r="O35" s="125">
        <f t="shared" si="3"/>
        <v>1</v>
      </c>
      <c r="P35" s="125"/>
      <c r="Q35" s="126">
        <f t="shared" si="4"/>
        <v>0</v>
      </c>
      <c r="R35" s="126"/>
      <c r="S35" s="126"/>
      <c r="T35" s="127">
        <f t="shared" si="5"/>
        <v>80000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36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1040000</v>
      </c>
      <c r="K43" s="98"/>
      <c r="L43" s="98"/>
      <c r="M43" s="98"/>
      <c r="N43" s="99"/>
      <c r="O43" s="100">
        <f>O20</f>
        <v>9</v>
      </c>
      <c r="P43" s="100"/>
      <c r="Q43" s="101">
        <f>Q20</f>
        <v>0</v>
      </c>
      <c r="R43" s="95"/>
      <c r="S43" s="95"/>
      <c r="T43" s="95">
        <f>T20</f>
        <v>2000000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1999999.9000000004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2026-04-02T08:42:18Z</dcterms:created>
  <dcterms:modified xsi:type="dcterms:W3CDTF">2026-04-02T08:42:19Z</dcterms:modified>
</cp:coreProperties>
</file>