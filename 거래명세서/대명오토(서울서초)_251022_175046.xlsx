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38EC9550-665C-483A-B5CC-439411CE2760}" xr6:coauthVersionLast="47" xr6:coauthVersionMax="47" xr10:uidLastSave="{00000000-0000-0000-0000-000000000000}"/>
  <bookViews>
    <workbookView xWindow="-120" yWindow="-120" windowWidth="29040" windowHeight="15840" xr2:uid="{BADBE9C3-E302-4386-A87B-0657858D5697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F21" i="1"/>
  <c r="F44" i="1" s="1"/>
  <c r="T20" i="1"/>
  <c r="T43" i="1" s="1"/>
  <c r="Q20" i="1"/>
  <c r="Q43" i="1" s="1"/>
  <c r="O20" i="1"/>
  <c r="J20" i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<sst xmlns="http://schemas.openxmlformats.org/spreadsheetml/2006/main" count="74" uniqueCount="38">
  <si>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</si>
  <si>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</si>
  <si>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</si>
  <si>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</si>
  <si>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</si>
  <si>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</si>
  <si>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</si>
  <si>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</si>
  <si>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대명오토(서울서초)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</si>
  <si>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</si>
  <si>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</si>
  <si>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</si>
  <si>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</si>
  <si>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</si>
  <si>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</si>
  <si>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</si>
  <si>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서울 서초구 마방로2길 20</t>
    <phoneticPr fontId="2" type="noConversion"/>
  </si>
  <si>
    <t>대구 달서구 용산로 28(본리동)</t>
    <phoneticPr fontId="2" type="noConversion"/>
  </si>
  <si>
    <t>전화</t>
    <phoneticPr fontId="2" type="noConversion"/>
  </si>
  <si>
    <t>010-3218-6031</t>
    <phoneticPr fontId="2" type="noConversion"/>
  </si>
  <si>
    <t>010-5168-3542</t>
    <phoneticPr fontId="2" type="noConversion"/>
  </si>
  <si>
    <t>배송</t>
    <phoneticPr fontId="2" type="noConversion"/>
  </si>
  <si>
    <t>경동(화물)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</si>
  <si>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</si>
  <si>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</si>
  <si>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</si>
  <si>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</si>
  <si>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</si>
  <si>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</si>
  <si>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PANAMERA4</t>
    <phoneticPr fontId="2" type="noConversion"/>
  </si>
  <si>
    <t>9A7906206A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</si>
  <si>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</si>
  <si>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</si>
  <si>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</si>
  <si>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</si>
  <si>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</si>
  <si>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엠모터스(구미)_251022_174827.xlsx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</si>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</sst>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DBBA93DD-07EC-4E8F-9A19-18797197E057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266B5-2FAC-4311-AF21-9EC5D53D0309}">
  <sheetPr codeName="shtOrder_print1"/>
  <dimension ref="A1:U44"/>
  <sheetViews>
    <sheetView tabSelected="1" zoomScaleNormal="100" workbookViewId="0">
      <selection activeCell="Z22" sqref="Z22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45952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1300000</v>
      </c>
      <c r="K8" s="48"/>
      <c r="L8" s="48"/>
      <c r="M8" s="48"/>
      <c r="N8" s="48"/>
      <c r="O8" s="49">
        <v>1</v>
      </c>
      <c r="P8" s="49"/>
      <c r="Q8" s="50">
        <v>130000</v>
      </c>
      <c r="R8" s="51"/>
      <c r="S8" s="52"/>
      <c r="T8" s="53">
        <v>1430000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32</v>
      </c>
      <c r="B20" s="38"/>
      <c r="C20" s="38"/>
      <c r="D20" s="38"/>
      <c r="E20" s="38"/>
      <c r="F20" s="95">
        <v>2644999.7000000002</v>
      </c>
      <c r="G20" s="95"/>
      <c r="H20" s="95"/>
      <c r="I20" s="96"/>
      <c r="J20" s="97">
        <f>SUM(J8:N19)</f>
        <v>1300000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130000</v>
      </c>
      <c r="R20" s="95"/>
      <c r="S20" s="96"/>
      <c r="T20" s="95">
        <f>SUM(T8:U15)</f>
        <v>1430000</v>
      </c>
      <c r="U20" s="102"/>
    </row>
    <row r="21" spans="1:21" ht="20.100000000000001" customHeight="1" thickBot="1" x14ac:dyDescent="0.35">
      <c r="A21" s="103" t="s">
        <v>33</v>
      </c>
      <c r="B21" s="104"/>
      <c r="C21" s="104"/>
      <c r="D21" s="104"/>
      <c r="E21" s="104"/>
      <c r="F21" s="105">
        <f>F20+T20</f>
        <v>4074999.7</v>
      </c>
      <c r="G21" s="105"/>
      <c r="H21" s="105"/>
      <c r="I21" s="106"/>
      <c r="J21" s="107" t="s">
        <v>34</v>
      </c>
      <c r="K21" s="104"/>
      <c r="L21" s="108" t="str">
        <f>T4</f>
        <v>장효주</v>
      </c>
      <c r="M21" s="108"/>
      <c r="N21" s="108"/>
      <c r="O21" s="107" t="s">
        <v>35</v>
      </c>
      <c r="P21" s="104"/>
      <c r="Q21" s="108" t="str">
        <f>C3</f>
        <v>대명오토(서울서초)</v>
      </c>
      <c r="R21" s="108"/>
      <c r="S21" s="108"/>
      <c r="T21" s="108"/>
      <c r="U21" s="109"/>
    </row>
    <row r="22" spans="1:21" ht="20.100000000000001" customHeight="1" x14ac:dyDescent="0.3">
      <c r="A22" s="110" t="s">
        <v>36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45952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대명오토(서울서초)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서울 서초구 마방로2길 20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010-3218-6031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경동(화물)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PANAMERA4</v>
      </c>
      <c r="B31" s="118"/>
      <c r="C31" s="118"/>
      <c r="D31" s="118"/>
      <c r="E31" s="118"/>
      <c r="F31" s="118" t="str">
        <f>F8</f>
        <v>9A7906206A</v>
      </c>
      <c r="G31" s="118"/>
      <c r="H31" s="118"/>
      <c r="I31" s="118"/>
      <c r="J31" s="119">
        <f>J8</f>
        <v>1300000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130000</v>
      </c>
      <c r="R31" s="120"/>
      <c r="S31" s="120"/>
      <c r="T31" s="121">
        <f>T8</f>
        <v>1430000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32</v>
      </c>
      <c r="B43" s="38"/>
      <c r="C43" s="38"/>
      <c r="D43" s="38"/>
      <c r="E43" s="38"/>
      <c r="F43" s="95">
        <f>F20</f>
        <v>2644999.7000000002</v>
      </c>
      <c r="G43" s="95"/>
      <c r="H43" s="95"/>
      <c r="I43" s="96"/>
      <c r="J43" s="97">
        <f>J20</f>
        <v>1300000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130000</v>
      </c>
      <c r="R43" s="95"/>
      <c r="S43" s="95"/>
      <c r="T43" s="95">
        <f>T20</f>
        <v>1430000</v>
      </c>
      <c r="U43" s="102"/>
    </row>
    <row r="44" spans="1:21" ht="20.100000000000001" customHeight="1" thickBot="1" x14ac:dyDescent="0.35">
      <c r="A44" s="103" t="s">
        <v>33</v>
      </c>
      <c r="B44" s="104"/>
      <c r="C44" s="104"/>
      <c r="D44" s="104"/>
      <c r="E44" s="104"/>
      <c r="F44" s="105">
        <f>F21</f>
        <v>4074999.7</v>
      </c>
      <c r="G44" s="105"/>
      <c r="H44" s="105"/>
      <c r="I44" s="106"/>
      <c r="J44" s="107" t="s">
        <v>34</v>
      </c>
      <c r="K44" s="104"/>
      <c r="L44" s="135" t="str">
        <f>T27</f>
        <v>장효주</v>
      </c>
      <c r="M44" s="135"/>
      <c r="N44" s="135"/>
      <c r="O44" s="107" t="s">
        <v>35</v>
      </c>
      <c r="P44" s="136"/>
      <c r="Q44" s="137" t="str">
        <f>Q21</f>
        <v>대명오토(서울서초)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2025-10-22T08:50:46Z</dcterms:created>
  <dcterms:modified xsi:type="dcterms:W3CDTF">2025-10-22T08:50:46Z</dcterms:modified>
</cp:coreProperties>
</file>