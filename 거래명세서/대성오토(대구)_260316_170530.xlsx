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A6FC82F-CF09-46B6-A6A2-91D72DE0FC19}" xr6:coauthVersionLast="47" xr6:coauthVersionMax="47" xr10:uidLastSave="{00000000-0000-0000-0000-000000000000}"/>
  <bookViews>
    <workbookView xWindow="-120" yWindow="-120" windowWidth="29040" windowHeight="15840" xr2:uid="{38809418-2009-4A60-A256-5C655C79BA73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<sst xmlns="http://schemas.openxmlformats.org/spreadsheetml/2006/main" count="75" uniqueCount="39">
  <si>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</si>
  <si>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</si>
  <si>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</si>
  <si>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</si>
  <si>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</si>
  <si>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</si>
  <si>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</si>
  <si>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</si>
  <si>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대성오토(대구)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</si>
  <si>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</si>
  <si>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</si>
  <si>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</si>
  <si>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</si>
  <si>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</si>
  <si>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</si>
  <si>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</si>
  <si>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남구 대명복개로 51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</si>
  <si>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</si>
  <si>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</si>
  <si>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010-7519-0971</t>
    <phoneticPr fontId="2" type="noConversion"/>
  </si>
  <si>
    <t>010-5168-3542</t>
    <phoneticPr fontId="2" type="noConversion"/>
  </si>
  <si>
    <t>배송</t>
    <phoneticPr fontId="2" type="noConversion"/>
  </si>
  <si>
    <t>대구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</si>
  <si>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</si>
  <si>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</si>
  <si>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</si>
  <si>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</si>
  <si>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</si>
  <si>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</si>
  <si>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0HK_TCU</t>
    <phoneticPr fontId="2" type="noConversion"/>
  </si>
  <si>
    <t>0HK927156B</t>
    <phoneticPr fontId="2" type="noConversion"/>
  </si>
  <si>
    <t>0HK_ONLINE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</si>
  <si>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</si>
  <si>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</si>
  <si>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</si>
  <si>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</si>
  <si>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</si>
  <si>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모토렌(경산)_260316_170452.xlsx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</si>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</sst>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F2DA32DC-2B02-44A5-A9E5-0E8CED2529B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90387-4B19-4274-BF98-9A401EE201C5}">
  <sheetPr codeName="shtOrder_print1"/>
  <dimension ref="A1:U44"/>
  <sheetViews>
    <sheetView tabSelected="1" zoomScaleNormal="100" workbookViewId="0">
      <selection activeCell="AD19" sqref="AD1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46097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2000000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2000000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/>
      <c r="G9" s="56"/>
      <c r="H9" s="56"/>
      <c r="I9" s="57"/>
      <c r="J9" s="59">
        <v>300000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300000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32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33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2300000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2300000</v>
      </c>
      <c r="U20" s="102"/>
    </row>
    <row r="21" spans="1:21" ht="20.100000000000001" customHeight="1" thickBot="1" x14ac:dyDescent="0.35">
      <c r="A21" s="103" t="s">
        <v>34</v>
      </c>
      <c r="B21" s="104"/>
      <c r="C21" s="104"/>
      <c r="D21" s="104"/>
      <c r="E21" s="104"/>
      <c r="F21" s="105">
        <f>F20+T20</f>
        <v>2300000</v>
      </c>
      <c r="G21" s="105"/>
      <c r="H21" s="105"/>
      <c r="I21" s="106"/>
      <c r="J21" s="107" t="s">
        <v>35</v>
      </c>
      <c r="K21" s="104"/>
      <c r="L21" s="108" t="str">
        <f>T4</f>
        <v>장효주</v>
      </c>
      <c r="M21" s="108"/>
      <c r="N21" s="108"/>
      <c r="O21" s="107" t="s">
        <v>36</v>
      </c>
      <c r="P21" s="104"/>
      <c r="Q21" s="108" t="str">
        <f>C3</f>
        <v>대성오토(대구)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37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46097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대성오토(대구)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대구광역시 남구 대명복개로 51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010-7519-0971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대구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0HK_TCU</v>
      </c>
      <c r="B31" s="118"/>
      <c r="C31" s="118"/>
      <c r="D31" s="118"/>
      <c r="E31" s="118"/>
      <c r="F31" s="118" t="str">
        <f>F8</f>
        <v>0HK927156B</v>
      </c>
      <c r="G31" s="118"/>
      <c r="H31" s="118"/>
      <c r="I31" s="118"/>
      <c r="J31" s="119">
        <f>J8</f>
        <v>2000000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2000000</v>
      </c>
      <c r="U31" s="122"/>
    </row>
    <row r="32" spans="1:21" ht="15.6" customHeight="1" x14ac:dyDescent="0.3">
      <c r="A32" s="123" t="str">
        <f t="shared" ref="A32:A38" si="0">A9</f>
        <v>0HK_ONLINE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300000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300000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32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33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2300000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2300000</v>
      </c>
      <c r="U43" s="102"/>
    </row>
    <row r="44" spans="1:21" ht="20.100000000000001" customHeight="1" thickBot="1" x14ac:dyDescent="0.35">
      <c r="A44" s="103" t="s">
        <v>34</v>
      </c>
      <c r="B44" s="104"/>
      <c r="C44" s="104"/>
      <c r="D44" s="104"/>
      <c r="E44" s="104"/>
      <c r="F44" s="105">
        <f>F21</f>
        <v>2300000</v>
      </c>
      <c r="G44" s="105"/>
      <c r="H44" s="105"/>
      <c r="I44" s="106"/>
      <c r="J44" s="107" t="s">
        <v>35</v>
      </c>
      <c r="K44" s="104"/>
      <c r="L44" s="135" t="str">
        <f>T27</f>
        <v>장효주</v>
      </c>
      <c r="M44" s="135"/>
      <c r="N44" s="135"/>
      <c r="O44" s="107" t="s">
        <v>36</v>
      </c>
      <c r="P44" s="136"/>
      <c r="Q44" s="137" t="str">
        <f>Q21</f>
        <v>대성오토(대구)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2026-03-16T08:05:30Z</dcterms:created>
  <dcterms:modified xsi:type="dcterms:W3CDTF">2026-03-16T08:05:31Z</dcterms:modified>
</cp:coreProperties>
</file>