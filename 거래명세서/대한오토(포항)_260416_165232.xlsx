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8442FDA6-3FBC-4477-B6C3-94025B1CF829}" xr6:coauthVersionLast="47" xr6:coauthVersionMax="47" xr10:uidLastSave="{00000000-0000-0000-0000-000000000000}"/>
  <bookViews>
    <workbookView xWindow="-120" yWindow="-120" windowWidth="29040" windowHeight="15840" xr2:uid="{B212D02A-121D-4241-B52C-1898A212158D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O43" i="1" s="1"/>
  <c r="J20" i="1"/>
  <c r="J43" i="1" s="1"/>
  <c r="T43" i="1" l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<sst xmlns="http://schemas.openxmlformats.org/spreadsheetml/2006/main" count="76" uniqueCount="40">
  <si>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</si>
  <si>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</si>
  <si>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WAUZZZ4G8GN021407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</si>
  <si>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</si>
  <si>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</si>
  <si>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</si>
  <si>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</si>
  <si>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</si>
  <si>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</si>
  <si>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대한오토(포항)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</si>
  <si>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</si>
  <si>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</si>
  <si>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</si>
  <si>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</si>
  <si>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</si>
  <si>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</si>
  <si>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</si>
  <si>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경상북도 포항시 북구 새천년대로 631번길 29</t>
    <phoneticPr fontId="2" type="noConversion"/>
  </si>
  <si>
    <t>대구 달서구 용산로 28(본리동)</t>
    <phoneticPr fontId="2" type="noConversion"/>
  </si>
  <si>
    <t>전화</t>
    <phoneticPr fontId="2" type="noConversion"/>
  </si>
  <si>
    <t>010-2708-7122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</si>
  <si>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</si>
  <si>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</si>
  <si>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</si>
  <si>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</si>
  <si>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</si>
  <si>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</si>
  <si>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</si>
  <si>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</si>
  <si>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0CK_TCU</t>
    <phoneticPr fontId="2" type="noConversion"/>
  </si>
  <si>
    <t>927156AA</t>
  </si>
  <si>
    <t>0CK_Filter</t>
  </si>
  <si>
    <t>0DN325421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</si>
  <si>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</si>
  <si>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</si>
  <si>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</si>
  <si>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</si>
  <si>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</si>
  <si>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모토렌(경산)_260415_181137.xlsx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</si>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</sst>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401F4DAD-3272-48D2-8D74-EBCC4B6C3347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685EC-92EB-44E0-86C1-9F392FCAED5F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46128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/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1500000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1500000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100000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100000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33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34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1600000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0</v>
      </c>
      <c r="R20" s="95"/>
      <c r="S20" s="96"/>
      <c r="T20" s="95">
        <f>SUM(T8:U15)</f>
        <v>1600000</v>
      </c>
      <c r="U20" s="102"/>
    </row>
    <row r="21" spans="1:21" ht="20.100000000000001" customHeight="1" thickBot="1" x14ac:dyDescent="0.35">
      <c r="A21" s="103" t="s">
        <v>35</v>
      </c>
      <c r="B21" s="104"/>
      <c r="C21" s="104"/>
      <c r="D21" s="104"/>
      <c r="E21" s="104"/>
      <c r="F21" s="105">
        <f>F20+T20</f>
        <v>1599999.9000000004</v>
      </c>
      <c r="G21" s="105"/>
      <c r="H21" s="105"/>
      <c r="I21" s="106"/>
      <c r="J21" s="107" t="s">
        <v>36</v>
      </c>
      <c r="K21" s="104"/>
      <c r="L21" s="108" t="str">
        <f>T4</f>
        <v>장효주</v>
      </c>
      <c r="M21" s="108"/>
      <c r="N21" s="108"/>
      <c r="O21" s="107" t="s">
        <v>37</v>
      </c>
      <c r="P21" s="104"/>
      <c r="Q21" s="108" t="str">
        <f>C3</f>
        <v>대한오토(포항)</v>
      </c>
      <c r="R21" s="108"/>
      <c r="S21" s="108"/>
      <c r="T21" s="108"/>
      <c r="U21" s="109"/>
    </row>
    <row r="22" spans="1:21" ht="20.100000000000001" customHeight="1" x14ac:dyDescent="0.3">
      <c r="A22" s="110" t="s">
        <v>38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WAUZZZ4G8GN021407</v>
      </c>
      <c r="T24" s="112"/>
      <c r="U24" s="113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46128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대한오토(포항)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경상북도 포항시 북구 새천년대로 631번길 29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010-2708-7122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0CK_TCU</v>
      </c>
      <c r="B31" s="118"/>
      <c r="C31" s="118"/>
      <c r="D31" s="118"/>
      <c r="E31" s="118"/>
      <c r="F31" s="118" t="str">
        <f>F8</f>
        <v>927156AA</v>
      </c>
      <c r="G31" s="118"/>
      <c r="H31" s="118"/>
      <c r="I31" s="118"/>
      <c r="J31" s="119">
        <f>J8</f>
        <v>1500000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1500000</v>
      </c>
      <c r="U31" s="122"/>
    </row>
    <row r="32" spans="1:21" ht="15.6" customHeight="1" x14ac:dyDescent="0.3">
      <c r="A32" s="123" t="str">
        <f t="shared" ref="A32:A38" si="0">A9</f>
        <v>0CK_Filter</v>
      </c>
      <c r="B32" s="124"/>
      <c r="C32" s="124"/>
      <c r="D32" s="124"/>
      <c r="E32" s="124"/>
      <c r="F32" s="124" t="str">
        <f t="shared" ref="F32:F38" si="1">F9</f>
        <v>0DN325421</v>
      </c>
      <c r="G32" s="124"/>
      <c r="H32" s="124"/>
      <c r="I32" s="124"/>
      <c r="J32" s="125">
        <f t="shared" ref="J32:J38" si="2">J9</f>
        <v>100000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100000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33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34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1600000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0</v>
      </c>
      <c r="R43" s="95"/>
      <c r="S43" s="95"/>
      <c r="T43" s="95">
        <f>T20</f>
        <v>1600000</v>
      </c>
      <c r="U43" s="102"/>
    </row>
    <row r="44" spans="1:21" ht="20.100000000000001" customHeight="1" thickBot="1" x14ac:dyDescent="0.35">
      <c r="A44" s="103" t="s">
        <v>35</v>
      </c>
      <c r="B44" s="104"/>
      <c r="C44" s="104"/>
      <c r="D44" s="104"/>
      <c r="E44" s="104"/>
      <c r="F44" s="105">
        <f>F21</f>
        <v>1599999.9000000004</v>
      </c>
      <c r="G44" s="105"/>
      <c r="H44" s="105"/>
      <c r="I44" s="106"/>
      <c r="J44" s="107" t="s">
        <v>36</v>
      </c>
      <c r="K44" s="104"/>
      <c r="L44" s="135" t="str">
        <f>T27</f>
        <v>장효주</v>
      </c>
      <c r="M44" s="135"/>
      <c r="N44" s="135"/>
      <c r="O44" s="107" t="s">
        <v>37</v>
      </c>
      <c r="P44" s="136"/>
      <c r="Q44" s="137" t="str">
        <f>Q21</f>
        <v>대한오토(포항)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2026-04-16T07:52:32Z</dcterms:created>
  <dcterms:modified xsi:type="dcterms:W3CDTF">2026-04-16T07:52:32Z</dcterms:modified>
</cp:coreProperties>
</file>