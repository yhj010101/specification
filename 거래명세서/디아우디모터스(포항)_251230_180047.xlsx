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EF6FE707-E129-4AFA-A9EA-30118D24617A}" xr6:coauthVersionLast="47" xr6:coauthVersionMax="47" xr10:uidLastSave="{00000000-0000-0000-0000-000000000000}"/>
  <bookViews>
    <workbookView xWindow="-120" yWindow="-120" windowWidth="29040" windowHeight="15840" xr2:uid="{8029F208-EC55-4E8D-BA45-60D5ECEAF431}"/>
  </bookViews>
  <sheets>
    <sheet name="거래명세서" sheetId="1" r:id="rId1"/>
  </sheets>
  <definedNames>
    <definedName name="_xlnm.Print_Area" localSheetId="0">거래명세서!$A$1:$U$44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L44" i="1" l="1"/>
  <c r="O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Q44" i="1" s="1"/>
  <c r="L21" i="1"/>
  <c r="T20" i="1"/>
  <c r="T43" i="1" s="1"/>
  <c r="Q20" i="1"/>
  <c r="Q43" i="1" s="1"/>
  <c r="O20" i="1"/>
  <c r="J20" i="1"/>
  <c r="J43" i="1" s="1"/>
  <c r="F21" i="1" l="1"/>
  <c r="F44" i="1" s="1"/>
</calcChain>
</file>

<file path=xl/sharedStrings.xml><?xml version="1.0" encoding="utf-8"?>
<sst xmlns="http://schemas.openxmlformats.org/spreadsheetml/2006/main" count="74" uniqueCount="38">
  <si>
    <t>거   래   명   세   서</t>
    <phoneticPr fontId="2" type="noConversion"/>
  </si>
  <si>
    <t>VIN:</t>
    <phoneticPr fontId="2" type="noConversion"/>
  </si>
  <si>
    <t>계좌:</t>
    <phoneticPr fontId="2" type="noConversion"/>
  </si>
  <si>
    <t>카카오뱅크 3333181865047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</si>
  <si>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</si>
  <si>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</si>
  <si>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</si>
  <si>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</si>
  <si>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디아우디모터스(포항)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</si>
  <si>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</si>
  <si>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</si>
  <si>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</si>
  <si>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</si>
  <si>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</si>
  <si>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</si>
  <si>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</si>
  <si>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경상북도 포항시 북구 법원로 111번길 30</t>
    <phoneticPr fontId="2" type="noConversion"/>
  </si>
  <si>
    <t>대구 달서구 용산로 28(본리동)</t>
    <phoneticPr fontId="2" type="noConversion"/>
  </si>
  <si>
    <t>전화</t>
    <phoneticPr fontId="2" type="noConversion"/>
  </si>
  <si>
    <t>010-3055-0055</t>
    <phoneticPr fontId="2" type="noConversion"/>
  </si>
  <si>
    <t>010-5168-3542</t>
    <phoneticPr fontId="2" type="noConversion"/>
  </si>
  <si>
    <t>배송</t>
    <phoneticPr fontId="2" type="noConversion"/>
  </si>
  <si>
    <t>경동(택배)</t>
    <phoneticPr fontId="2" type="noConversion"/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</si>
  <si>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</si>
  <si>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</si>
  <si>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</si>
  <si>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</si>
  <si>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</si>
  <si>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</si>
  <si>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0B5_Repair_Kit(RE)</t>
    <phoneticPr fontId="2" type="noConversion"/>
  </si>
  <si>
    <t>0B5398048D</t>
    <phoneticPr fontId="2" type="noConversion"/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</si>
  <si>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</si>
  <si>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</si>
  <si>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</si>
  <si>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</si>
  <si>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</si>
  <si>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현대오토(전주)_251230_180016.xlsx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</si>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</sst>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0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41" fontId="6" fillId="0" borderId="24" xfId="1" applyFont="1" applyBorder="1" applyAlignment="1">
      <alignment vertical="center"/>
    </xf>
    <xf numFmtId="41" fontId="6" fillId="0" borderId="22" xfId="1" applyFont="1" applyBorder="1" applyAlignment="1">
      <alignment vertical="center"/>
    </xf>
    <xf numFmtId="41" fontId="6" fillId="0" borderId="23" xfId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41" fontId="6" fillId="0" borderId="30" xfId="1" applyFont="1" applyBorder="1" applyAlignment="1">
      <alignment vertical="center"/>
    </xf>
    <xf numFmtId="41" fontId="6" fillId="0" borderId="28" xfId="1" applyFont="1" applyBorder="1" applyAlignment="1">
      <alignment vertical="center"/>
    </xf>
    <xf numFmtId="41" fontId="6" fillId="0" borderId="29" xfId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41" fontId="6" fillId="0" borderId="36" xfId="1" applyFont="1" applyBorder="1" applyAlignment="1">
      <alignment horizontal="center" vertical="center"/>
    </xf>
    <xf numFmtId="41" fontId="6" fillId="0" borderId="34" xfId="1" applyFont="1" applyBorder="1" applyAlignment="1">
      <alignment horizontal="center" vertical="center"/>
    </xf>
    <xf numFmtId="41" fontId="6" fillId="0" borderId="35" xfId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04259A02-A106-4B1E-AC15-712710B5719F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92EF4D-F433-4C81-BBEA-636EB0B76F56}">
  <sheetPr codeName="shtOrder_print1"/>
  <dimension ref="A1:U44"/>
  <sheetViews>
    <sheetView tabSelected="1" zoomScaleNormal="100" workbookViewId="0">
      <selection activeCell="AB16" sqref="AB16:AB17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/>
      <c r="T1" s="5"/>
      <c r="U1" s="6"/>
    </row>
    <row r="2" spans="1:21" x14ac:dyDescent="0.3">
      <c r="A2" s="7" t="s">
        <v>2</v>
      </c>
      <c r="B2" s="8"/>
      <c r="C2" s="9" t="s">
        <v>3</v>
      </c>
      <c r="D2" s="10"/>
      <c r="E2" s="10"/>
      <c r="F2" s="10"/>
      <c r="G2" s="11"/>
      <c r="H2" s="9" t="s">
        <v>4</v>
      </c>
      <c r="I2" s="10"/>
      <c r="J2" s="10"/>
      <c r="K2" s="10"/>
      <c r="L2" s="10"/>
      <c r="M2" s="10"/>
      <c r="N2" s="10"/>
      <c r="O2" s="11"/>
      <c r="P2" s="12" t="s">
        <v>5</v>
      </c>
      <c r="Q2" s="13"/>
      <c r="R2" s="13"/>
      <c r="S2" s="8"/>
      <c r="T2" s="14">
        <v>46021</v>
      </c>
      <c r="U2" s="15"/>
    </row>
    <row r="3" spans="1:21" ht="24.95" customHeight="1" x14ac:dyDescent="0.3">
      <c r="A3" s="16" t="s">
        <v>6</v>
      </c>
      <c r="B3" s="17" t="s">
        <v>7</v>
      </c>
      <c r="C3" s="18" t="s">
        <v>8</v>
      </c>
      <c r="D3" s="19"/>
      <c r="E3" s="19"/>
      <c r="F3" s="19"/>
      <c r="G3" s="19"/>
      <c r="H3" s="19"/>
      <c r="I3" s="19"/>
      <c r="J3" s="20"/>
      <c r="K3" s="21" t="s">
        <v>9</v>
      </c>
      <c r="L3" s="17" t="s">
        <v>7</v>
      </c>
      <c r="M3" s="22" t="s">
        <v>10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11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11</v>
      </c>
      <c r="M4" s="30" t="s">
        <v>12</v>
      </c>
      <c r="N4" s="31"/>
      <c r="O4" s="31"/>
      <c r="P4" s="31"/>
      <c r="Q4" s="31"/>
      <c r="R4" s="32"/>
      <c r="S4" s="33" t="s">
        <v>13</v>
      </c>
      <c r="T4" s="30" t="s">
        <v>14</v>
      </c>
      <c r="U4" s="34"/>
    </row>
    <row r="5" spans="1:21" ht="24.95" customHeight="1" x14ac:dyDescent="0.3">
      <c r="A5" s="25"/>
      <c r="B5" s="33" t="s">
        <v>15</v>
      </c>
      <c r="C5" s="30" t="s">
        <v>16</v>
      </c>
      <c r="D5" s="31"/>
      <c r="E5" s="31"/>
      <c r="F5" s="31"/>
      <c r="G5" s="31"/>
      <c r="H5" s="31"/>
      <c r="I5" s="31"/>
      <c r="J5" s="32"/>
      <c r="K5" s="29"/>
      <c r="L5" s="33" t="s">
        <v>15</v>
      </c>
      <c r="M5" s="30" t="s">
        <v>17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18</v>
      </c>
      <c r="C6" s="30" t="s">
        <v>19</v>
      </c>
      <c r="D6" s="31"/>
      <c r="E6" s="31"/>
      <c r="F6" s="31"/>
      <c r="G6" s="31"/>
      <c r="H6" s="31"/>
      <c r="I6" s="31"/>
      <c r="J6" s="32"/>
      <c r="K6" s="36"/>
      <c r="L6" s="33" t="s">
        <v>18</v>
      </c>
      <c r="M6" s="30" t="s">
        <v>20</v>
      </c>
      <c r="N6" s="31"/>
      <c r="O6" s="31"/>
      <c r="P6" s="31"/>
      <c r="Q6" s="31"/>
      <c r="R6" s="32"/>
      <c r="S6" s="33" t="s">
        <v>21</v>
      </c>
      <c r="T6" s="30" t="s">
        <v>22</v>
      </c>
      <c r="U6" s="34"/>
    </row>
    <row r="7" spans="1:21" ht="15.75" customHeight="1" x14ac:dyDescent="0.3">
      <c r="A7" s="37" t="s">
        <v>23</v>
      </c>
      <c r="B7" s="38"/>
      <c r="C7" s="38"/>
      <c r="D7" s="38"/>
      <c r="E7" s="39"/>
      <c r="F7" s="40" t="s">
        <v>24</v>
      </c>
      <c r="G7" s="38"/>
      <c r="H7" s="38"/>
      <c r="I7" s="39"/>
      <c r="J7" s="40" t="s">
        <v>25</v>
      </c>
      <c r="K7" s="38"/>
      <c r="L7" s="38"/>
      <c r="M7" s="38"/>
      <c r="N7" s="39"/>
      <c r="O7" s="38" t="s">
        <v>26</v>
      </c>
      <c r="P7" s="39"/>
      <c r="Q7" s="40" t="s">
        <v>27</v>
      </c>
      <c r="R7" s="38"/>
      <c r="S7" s="39"/>
      <c r="T7" s="40" t="s">
        <v>28</v>
      </c>
      <c r="U7" s="41"/>
    </row>
    <row r="8" spans="1:21" ht="15.6" customHeight="1" x14ac:dyDescent="0.3">
      <c r="A8" s="42" t="s">
        <v>29</v>
      </c>
      <c r="B8" s="43"/>
      <c r="C8" s="43"/>
      <c r="D8" s="43"/>
      <c r="E8" s="44"/>
      <c r="F8" s="45" t="s">
        <v>30</v>
      </c>
      <c r="G8" s="46"/>
      <c r="H8" s="46"/>
      <c r="I8" s="47"/>
      <c r="J8" s="48">
        <v>450000</v>
      </c>
      <c r="K8" s="48"/>
      <c r="L8" s="48"/>
      <c r="M8" s="48"/>
      <c r="N8" s="48"/>
      <c r="O8" s="49">
        <v>1</v>
      </c>
      <c r="P8" s="49"/>
      <c r="Q8" s="50"/>
      <c r="R8" s="51"/>
      <c r="S8" s="52"/>
      <c r="T8" s="53">
        <v>450000</v>
      </c>
      <c r="U8" s="54"/>
    </row>
    <row r="9" spans="1:21" ht="15.6" customHeight="1" x14ac:dyDescent="0.3">
      <c r="A9" s="55"/>
      <c r="B9" s="56"/>
      <c r="C9" s="56"/>
      <c r="D9" s="56"/>
      <c r="E9" s="57"/>
      <c r="F9" s="58"/>
      <c r="G9" s="56"/>
      <c r="H9" s="56"/>
      <c r="I9" s="57"/>
      <c r="J9" s="59"/>
      <c r="K9" s="59"/>
      <c r="L9" s="59"/>
      <c r="M9" s="59"/>
      <c r="N9" s="59"/>
      <c r="O9" s="60"/>
      <c r="P9" s="60"/>
      <c r="Q9" s="61"/>
      <c r="R9" s="62"/>
      <c r="S9" s="63"/>
      <c r="T9" s="64"/>
      <c r="U9" s="65"/>
    </row>
    <row r="10" spans="1:21" ht="15.6" customHeight="1" x14ac:dyDescent="0.3">
      <c r="A10" s="55"/>
      <c r="B10" s="56"/>
      <c r="C10" s="56"/>
      <c r="D10" s="56"/>
      <c r="E10" s="57"/>
      <c r="F10" s="58"/>
      <c r="G10" s="56"/>
      <c r="H10" s="56"/>
      <c r="I10" s="57"/>
      <c r="J10" s="59"/>
      <c r="K10" s="59"/>
      <c r="L10" s="59"/>
      <c r="M10" s="59"/>
      <c r="N10" s="59"/>
      <c r="O10" s="60"/>
      <c r="P10" s="60"/>
      <c r="Q10" s="61"/>
      <c r="R10" s="62"/>
      <c r="S10" s="63"/>
      <c r="T10" s="64"/>
      <c r="U10" s="65"/>
    </row>
    <row r="11" spans="1:21" ht="15.6" customHeight="1" x14ac:dyDescent="0.3">
      <c r="A11" s="55"/>
      <c r="B11" s="56"/>
      <c r="C11" s="56"/>
      <c r="D11" s="56"/>
      <c r="E11" s="57"/>
      <c r="F11" s="58"/>
      <c r="G11" s="56"/>
      <c r="H11" s="56"/>
      <c r="I11" s="57"/>
      <c r="J11" s="59"/>
      <c r="K11" s="59"/>
      <c r="L11" s="59"/>
      <c r="M11" s="59"/>
      <c r="N11" s="59"/>
      <c r="O11" s="60"/>
      <c r="P11" s="60"/>
      <c r="Q11" s="61"/>
      <c r="R11" s="62"/>
      <c r="S11" s="63"/>
      <c r="T11" s="64"/>
      <c r="U11" s="65"/>
    </row>
    <row r="12" spans="1:21" ht="15.6" customHeight="1" x14ac:dyDescent="0.3">
      <c r="A12" s="55"/>
      <c r="B12" s="56"/>
      <c r="C12" s="56"/>
      <c r="D12" s="56"/>
      <c r="E12" s="57"/>
      <c r="F12" s="58"/>
      <c r="G12" s="56"/>
      <c r="H12" s="56"/>
      <c r="I12" s="57"/>
      <c r="J12" s="59"/>
      <c r="K12" s="59"/>
      <c r="L12" s="59"/>
      <c r="M12" s="59"/>
      <c r="N12" s="59"/>
      <c r="O12" s="60"/>
      <c r="P12" s="60"/>
      <c r="Q12" s="61"/>
      <c r="R12" s="62"/>
      <c r="S12" s="63"/>
      <c r="T12" s="64"/>
      <c r="U12" s="65"/>
    </row>
    <row r="13" spans="1:21" ht="15.6" customHeight="1" x14ac:dyDescent="0.3">
      <c r="A13" s="55"/>
      <c r="B13" s="56"/>
      <c r="C13" s="56"/>
      <c r="D13" s="56"/>
      <c r="E13" s="57"/>
      <c r="F13" s="58"/>
      <c r="G13" s="56"/>
      <c r="H13" s="56"/>
      <c r="I13" s="57"/>
      <c r="J13" s="59"/>
      <c r="K13" s="59"/>
      <c r="L13" s="59"/>
      <c r="M13" s="59"/>
      <c r="N13" s="59"/>
      <c r="O13" s="60"/>
      <c r="P13" s="60"/>
      <c r="Q13" s="61"/>
      <c r="R13" s="62"/>
      <c r="S13" s="63"/>
      <c r="T13" s="64"/>
      <c r="U13" s="65"/>
    </row>
    <row r="14" spans="1:21" ht="15.6" customHeight="1" x14ac:dyDescent="0.3">
      <c r="A14" s="55"/>
      <c r="B14" s="56"/>
      <c r="C14" s="56"/>
      <c r="D14" s="56"/>
      <c r="E14" s="57"/>
      <c r="F14" s="58"/>
      <c r="G14" s="56"/>
      <c r="H14" s="56"/>
      <c r="I14" s="57"/>
      <c r="J14" s="59"/>
      <c r="K14" s="59"/>
      <c r="L14" s="59"/>
      <c r="M14" s="59"/>
      <c r="N14" s="59"/>
      <c r="O14" s="60"/>
      <c r="P14" s="60"/>
      <c r="Q14" s="61"/>
      <c r="R14" s="62"/>
      <c r="S14" s="63"/>
      <c r="T14" s="64"/>
      <c r="U14" s="65"/>
    </row>
    <row r="15" spans="1:21" ht="15.6" customHeight="1" thickBot="1" x14ac:dyDescent="0.35">
      <c r="A15" s="66"/>
      <c r="B15" s="67"/>
      <c r="C15" s="67"/>
      <c r="D15" s="67"/>
      <c r="E15" s="68"/>
      <c r="F15" s="69"/>
      <c r="G15" s="67"/>
      <c r="H15" s="67"/>
      <c r="I15" s="68"/>
      <c r="J15" s="70"/>
      <c r="K15" s="70"/>
      <c r="L15" s="70"/>
      <c r="M15" s="70"/>
      <c r="N15" s="70"/>
      <c r="O15" s="71"/>
      <c r="P15" s="71"/>
      <c r="Q15" s="72"/>
      <c r="R15" s="73"/>
      <c r="S15" s="74"/>
      <c r="T15" s="75"/>
      <c r="U15" s="76"/>
    </row>
    <row r="16" spans="1:21" ht="15" customHeight="1" thickTop="1" x14ac:dyDescent="0.3">
      <c r="A16" s="77" t="s">
        <v>31</v>
      </c>
      <c r="B16" s="78"/>
      <c r="C16" s="78"/>
      <c r="D16" s="78"/>
      <c r="E16" s="79"/>
      <c r="F16" s="80"/>
      <c r="G16" s="81"/>
      <c r="H16" s="81"/>
      <c r="I16" s="81"/>
      <c r="J16" s="81"/>
      <c r="K16" s="81"/>
      <c r="L16" s="81"/>
      <c r="M16" s="81"/>
      <c r="N16" s="81"/>
      <c r="O16" s="81"/>
      <c r="P16" s="81"/>
      <c r="Q16" s="81"/>
      <c r="R16" s="81"/>
      <c r="S16" s="81"/>
      <c r="T16" s="81"/>
      <c r="U16" s="82"/>
    </row>
    <row r="17" spans="1:21" ht="15" customHeight="1" x14ac:dyDescent="0.3">
      <c r="A17" s="83"/>
      <c r="B17" s="84"/>
      <c r="C17" s="84"/>
      <c r="D17" s="84"/>
      <c r="E17" s="85"/>
      <c r="F17" s="86"/>
      <c r="G17" s="87"/>
      <c r="H17" s="87"/>
      <c r="I17" s="87"/>
      <c r="J17" s="87"/>
      <c r="K17" s="87"/>
      <c r="L17" s="87"/>
      <c r="M17" s="87"/>
      <c r="N17" s="87"/>
      <c r="O17" s="87"/>
      <c r="P17" s="87"/>
      <c r="Q17" s="87"/>
      <c r="R17" s="87"/>
      <c r="S17" s="87"/>
      <c r="T17" s="87"/>
      <c r="U17" s="88"/>
    </row>
    <row r="18" spans="1:21" ht="15" customHeight="1" x14ac:dyDescent="0.3">
      <c r="A18" s="83"/>
      <c r="B18" s="84"/>
      <c r="C18" s="84"/>
      <c r="D18" s="84"/>
      <c r="E18" s="85"/>
      <c r="F18" s="86"/>
      <c r="G18" s="87"/>
      <c r="H18" s="87"/>
      <c r="I18" s="87"/>
      <c r="J18" s="87"/>
      <c r="K18" s="87"/>
      <c r="L18" s="87"/>
      <c r="M18" s="87"/>
      <c r="N18" s="87"/>
      <c r="O18" s="87"/>
      <c r="P18" s="87"/>
      <c r="Q18" s="87"/>
      <c r="R18" s="87"/>
      <c r="S18" s="87"/>
      <c r="T18" s="87"/>
      <c r="U18" s="88"/>
    </row>
    <row r="19" spans="1:21" ht="15" customHeight="1" x14ac:dyDescent="0.3">
      <c r="A19" s="89"/>
      <c r="B19" s="90"/>
      <c r="C19" s="90"/>
      <c r="D19" s="90"/>
      <c r="E19" s="91"/>
      <c r="F19" s="92"/>
      <c r="G19" s="93"/>
      <c r="H19" s="93"/>
      <c r="I19" s="93"/>
      <c r="J19" s="93"/>
      <c r="K19" s="93"/>
      <c r="L19" s="93"/>
      <c r="M19" s="93"/>
      <c r="N19" s="93"/>
      <c r="O19" s="93"/>
      <c r="P19" s="93"/>
      <c r="Q19" s="93"/>
      <c r="R19" s="93"/>
      <c r="S19" s="93"/>
      <c r="T19" s="93"/>
      <c r="U19" s="94"/>
    </row>
    <row r="20" spans="1:21" ht="20.100000000000001" customHeight="1" x14ac:dyDescent="0.3">
      <c r="A20" s="37" t="s">
        <v>32</v>
      </c>
      <c r="B20" s="38"/>
      <c r="C20" s="38"/>
      <c r="D20" s="38"/>
      <c r="E20" s="38"/>
      <c r="F20" s="95">
        <v>0</v>
      </c>
      <c r="G20" s="95"/>
      <c r="H20" s="95"/>
      <c r="I20" s="96"/>
      <c r="J20" s="97">
        <f>SUM(J8:N19)</f>
        <v>450000</v>
      </c>
      <c r="K20" s="98"/>
      <c r="L20" s="98"/>
      <c r="M20" s="98"/>
      <c r="N20" s="99"/>
      <c r="O20" s="100">
        <f>SUM(O8:P19)</f>
        <v>1</v>
      </c>
      <c r="P20" s="100"/>
      <c r="Q20" s="101">
        <f>SUM(Q8:S19)</f>
        <v>0</v>
      </c>
      <c r="R20" s="95"/>
      <c r="S20" s="96"/>
      <c r="T20" s="95">
        <f>SUM(T8:U15)</f>
        <v>450000</v>
      </c>
      <c r="U20" s="102"/>
    </row>
    <row r="21" spans="1:21" ht="20.100000000000001" customHeight="1" thickBot="1" x14ac:dyDescent="0.35">
      <c r="A21" s="103" t="s">
        <v>33</v>
      </c>
      <c r="B21" s="104"/>
      <c r="C21" s="104"/>
      <c r="D21" s="104"/>
      <c r="E21" s="104"/>
      <c r="F21" s="105">
        <f>F20+T20</f>
        <v>450000</v>
      </c>
      <c r="G21" s="105"/>
      <c r="H21" s="105"/>
      <c r="I21" s="106"/>
      <c r="J21" s="107" t="s">
        <v>34</v>
      </c>
      <c r="K21" s="104"/>
      <c r="L21" s="108" t="str">
        <f>T4</f>
        <v>장효주</v>
      </c>
      <c r="M21" s="108"/>
      <c r="N21" s="108"/>
      <c r="O21" s="107" t="s">
        <v>35</v>
      </c>
      <c r="P21" s="104"/>
      <c r="Q21" s="108" t="str">
        <f>C3</f>
        <v>디아우디모터스(포항)</v>
      </c>
      <c r="R21" s="108"/>
      <c r="S21" s="108"/>
      <c r="T21" s="108"/>
      <c r="U21" s="109"/>
    </row>
    <row r="22" spans="1:21" ht="20.100000000000001" customHeight="1" x14ac:dyDescent="0.3">
      <c r="A22" s="110" t="s">
        <v>36</v>
      </c>
      <c r="B22" s="110"/>
      <c r="C22" s="110"/>
      <c r="D22" s="110"/>
      <c r="E22" s="110"/>
      <c r="F22" s="110"/>
      <c r="G22" s="110"/>
      <c r="H22" s="110"/>
      <c r="I22" s="110"/>
      <c r="J22" s="110"/>
      <c r="K22" s="110"/>
      <c r="L22" s="110"/>
      <c r="M22" s="110"/>
      <c r="N22" s="110"/>
      <c r="O22" s="110"/>
      <c r="P22" s="110"/>
      <c r="Q22" s="110"/>
      <c r="R22" s="110"/>
      <c r="S22" s="110"/>
      <c r="T22" s="110"/>
      <c r="U22" s="110"/>
    </row>
    <row r="23" spans="1:21" ht="20.100000000000001" customHeight="1" thickBot="1" x14ac:dyDescent="0.35">
      <c r="A23" s="111"/>
      <c r="B23" s="111"/>
      <c r="C23" s="111"/>
      <c r="D23" s="111"/>
      <c r="E23" s="111"/>
      <c r="F23" s="111"/>
      <c r="G23" s="111"/>
      <c r="H23" s="111"/>
      <c r="I23" s="111"/>
      <c r="J23" s="111"/>
      <c r="K23" s="111"/>
      <c r="L23" s="111"/>
      <c r="M23" s="111"/>
      <c r="N23" s="111"/>
      <c r="O23" s="111"/>
      <c r="P23" s="111"/>
      <c r="Q23" s="111"/>
      <c r="R23" s="111"/>
      <c r="S23" s="111"/>
      <c r="T23" s="111"/>
      <c r="U23" s="111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2">
        <f>S1</f>
        <v>0</v>
      </c>
      <c r="T24" s="112"/>
      <c r="U24" s="113"/>
    </row>
    <row r="25" spans="1:21" x14ac:dyDescent="0.3">
      <c r="A25" s="7" t="s">
        <v>2</v>
      </c>
      <c r="B25" s="8"/>
      <c r="C25" s="9" t="str">
        <f>C2</f>
        <v>카카오뱅크 3333181865047</v>
      </c>
      <c r="D25" s="10"/>
      <c r="E25" s="10"/>
      <c r="F25" s="10"/>
      <c r="G25" s="11"/>
      <c r="H25" s="9" t="s">
        <v>37</v>
      </c>
      <c r="I25" s="10"/>
      <c r="J25" s="10"/>
      <c r="K25" s="10"/>
      <c r="L25" s="10"/>
      <c r="M25" s="10"/>
      <c r="N25" s="10"/>
      <c r="O25" s="11"/>
      <c r="P25" s="12" t="s">
        <v>5</v>
      </c>
      <c r="Q25" s="13"/>
      <c r="R25" s="13"/>
      <c r="S25" s="8"/>
      <c r="T25" s="14">
        <f>T2</f>
        <v>46021</v>
      </c>
      <c r="U25" s="15"/>
    </row>
    <row r="26" spans="1:21" ht="24.95" customHeight="1" x14ac:dyDescent="0.3">
      <c r="A26" s="16" t="s">
        <v>6</v>
      </c>
      <c r="B26" s="17" t="s">
        <v>7</v>
      </c>
      <c r="C26" s="18" t="str">
        <f>C3</f>
        <v>디아우디모터스(포항)</v>
      </c>
      <c r="D26" s="19"/>
      <c r="E26" s="19"/>
      <c r="F26" s="19"/>
      <c r="G26" s="19"/>
      <c r="H26" s="19"/>
      <c r="I26" s="19"/>
      <c r="J26" s="20"/>
      <c r="K26" s="21" t="s">
        <v>9</v>
      </c>
      <c r="L26" s="17" t="s">
        <v>7</v>
      </c>
      <c r="M26" s="22" t="s">
        <v>10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11</v>
      </c>
      <c r="C27" s="114">
        <f>C4</f>
        <v>0</v>
      </c>
      <c r="D27" s="115"/>
      <c r="E27" s="115"/>
      <c r="F27" s="115"/>
      <c r="G27" s="115"/>
      <c r="H27" s="115"/>
      <c r="I27" s="115"/>
      <c r="J27" s="116"/>
      <c r="K27" s="29"/>
      <c r="L27" s="17" t="s">
        <v>11</v>
      </c>
      <c r="M27" s="30" t="s">
        <v>12</v>
      </c>
      <c r="N27" s="31"/>
      <c r="O27" s="31"/>
      <c r="P27" s="31"/>
      <c r="Q27" s="31"/>
      <c r="R27" s="32"/>
      <c r="S27" s="33" t="s">
        <v>13</v>
      </c>
      <c r="T27" s="30" t="s">
        <v>14</v>
      </c>
      <c r="U27" s="34"/>
    </row>
    <row r="28" spans="1:21" ht="24.95" customHeight="1" x14ac:dyDescent="0.3">
      <c r="A28" s="25"/>
      <c r="B28" s="33" t="s">
        <v>15</v>
      </c>
      <c r="C28" s="30" t="str">
        <f>C5</f>
        <v>경상북도 포항시 북구 법원로 111번길 30</v>
      </c>
      <c r="D28" s="31"/>
      <c r="E28" s="31"/>
      <c r="F28" s="31"/>
      <c r="G28" s="31"/>
      <c r="H28" s="31"/>
      <c r="I28" s="31"/>
      <c r="J28" s="32"/>
      <c r="K28" s="29"/>
      <c r="L28" s="33" t="s">
        <v>15</v>
      </c>
      <c r="M28" s="30" t="s">
        <v>17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18</v>
      </c>
      <c r="C29" s="30" t="str">
        <f>C6</f>
        <v>010-3055-0055</v>
      </c>
      <c r="D29" s="31"/>
      <c r="E29" s="31"/>
      <c r="F29" s="31"/>
      <c r="G29" s="31"/>
      <c r="H29" s="31"/>
      <c r="I29" s="31"/>
      <c r="J29" s="32"/>
      <c r="K29" s="36"/>
      <c r="L29" s="33" t="s">
        <v>18</v>
      </c>
      <c r="M29" s="30" t="s">
        <v>20</v>
      </c>
      <c r="N29" s="31"/>
      <c r="O29" s="31"/>
      <c r="P29" s="31"/>
      <c r="Q29" s="31"/>
      <c r="R29" s="32"/>
      <c r="S29" s="33" t="s">
        <v>21</v>
      </c>
      <c r="T29" s="30" t="str">
        <f>T6</f>
        <v>경동(택배)</v>
      </c>
      <c r="U29" s="34"/>
    </row>
    <row r="30" spans="1:21" ht="15.6" customHeight="1" x14ac:dyDescent="0.3">
      <c r="A30" s="37" t="s">
        <v>23</v>
      </c>
      <c r="B30" s="38"/>
      <c r="C30" s="38"/>
      <c r="D30" s="38"/>
      <c r="E30" s="39"/>
      <c r="F30" s="40" t="s">
        <v>24</v>
      </c>
      <c r="G30" s="38"/>
      <c r="H30" s="38"/>
      <c r="I30" s="39"/>
      <c r="J30" s="40" t="s">
        <v>25</v>
      </c>
      <c r="K30" s="38"/>
      <c r="L30" s="38"/>
      <c r="M30" s="38"/>
      <c r="N30" s="39"/>
      <c r="O30" s="38" t="s">
        <v>26</v>
      </c>
      <c r="P30" s="39"/>
      <c r="Q30" s="40" t="s">
        <v>27</v>
      </c>
      <c r="R30" s="38"/>
      <c r="S30" s="39"/>
      <c r="T30" s="40" t="s">
        <v>28</v>
      </c>
      <c r="U30" s="41"/>
    </row>
    <row r="31" spans="1:21" ht="15.6" customHeight="1" x14ac:dyDescent="0.3">
      <c r="A31" s="117" t="str">
        <f>A8</f>
        <v>0B5_Repair_Kit(RE)</v>
      </c>
      <c r="B31" s="118"/>
      <c r="C31" s="118"/>
      <c r="D31" s="118"/>
      <c r="E31" s="118"/>
      <c r="F31" s="118" t="str">
        <f>F8</f>
        <v>0B5398048D</v>
      </c>
      <c r="G31" s="118"/>
      <c r="H31" s="118"/>
      <c r="I31" s="118"/>
      <c r="J31" s="119">
        <f>J8</f>
        <v>450000</v>
      </c>
      <c r="K31" s="119"/>
      <c r="L31" s="119"/>
      <c r="M31" s="119"/>
      <c r="N31" s="119"/>
      <c r="O31" s="119">
        <f>O8</f>
        <v>1</v>
      </c>
      <c r="P31" s="119"/>
      <c r="Q31" s="120">
        <f>Q8</f>
        <v>0</v>
      </c>
      <c r="R31" s="120"/>
      <c r="S31" s="120"/>
      <c r="T31" s="121">
        <f>T8</f>
        <v>450000</v>
      </c>
      <c r="U31" s="122"/>
    </row>
    <row r="32" spans="1:21" ht="15.6" customHeight="1" x14ac:dyDescent="0.3">
      <c r="A32" s="123">
        <f t="shared" ref="A32:A38" si="0">A9</f>
        <v>0</v>
      </c>
      <c r="B32" s="124"/>
      <c r="C32" s="124"/>
      <c r="D32" s="124"/>
      <c r="E32" s="124"/>
      <c r="F32" s="124">
        <f t="shared" ref="F32:F38" si="1">F9</f>
        <v>0</v>
      </c>
      <c r="G32" s="124"/>
      <c r="H32" s="124"/>
      <c r="I32" s="124"/>
      <c r="J32" s="125">
        <f t="shared" ref="J32:J38" si="2">J9</f>
        <v>0</v>
      </c>
      <c r="K32" s="125"/>
      <c r="L32" s="125"/>
      <c r="M32" s="125"/>
      <c r="N32" s="125"/>
      <c r="O32" s="125">
        <f t="shared" ref="O32:O38" si="3">O9</f>
        <v>0</v>
      </c>
      <c r="P32" s="125"/>
      <c r="Q32" s="126">
        <f t="shared" ref="Q32:Q38" si="4">Q9</f>
        <v>0</v>
      </c>
      <c r="R32" s="126"/>
      <c r="S32" s="126"/>
      <c r="T32" s="127">
        <f t="shared" ref="T32:T38" si="5">T9</f>
        <v>0</v>
      </c>
      <c r="U32" s="128"/>
    </row>
    <row r="33" spans="1:21" ht="15.6" customHeight="1" x14ac:dyDescent="0.3">
      <c r="A33" s="123">
        <f t="shared" si="0"/>
        <v>0</v>
      </c>
      <c r="B33" s="124"/>
      <c r="C33" s="124"/>
      <c r="D33" s="124"/>
      <c r="E33" s="124"/>
      <c r="F33" s="124">
        <f t="shared" si="1"/>
        <v>0</v>
      </c>
      <c r="G33" s="124"/>
      <c r="H33" s="124"/>
      <c r="I33" s="124"/>
      <c r="J33" s="125">
        <f t="shared" si="2"/>
        <v>0</v>
      </c>
      <c r="K33" s="125"/>
      <c r="L33" s="125"/>
      <c r="M33" s="125"/>
      <c r="N33" s="125"/>
      <c r="O33" s="125">
        <f t="shared" si="3"/>
        <v>0</v>
      </c>
      <c r="P33" s="125"/>
      <c r="Q33" s="126">
        <f t="shared" si="4"/>
        <v>0</v>
      </c>
      <c r="R33" s="126"/>
      <c r="S33" s="126"/>
      <c r="T33" s="127">
        <f t="shared" si="5"/>
        <v>0</v>
      </c>
      <c r="U33" s="128"/>
    </row>
    <row r="34" spans="1:21" ht="15.6" customHeight="1" x14ac:dyDescent="0.3">
      <c r="A34" s="123">
        <f t="shared" si="0"/>
        <v>0</v>
      </c>
      <c r="B34" s="124"/>
      <c r="C34" s="124"/>
      <c r="D34" s="124"/>
      <c r="E34" s="124"/>
      <c r="F34" s="124">
        <f t="shared" si="1"/>
        <v>0</v>
      </c>
      <c r="G34" s="124"/>
      <c r="H34" s="124"/>
      <c r="I34" s="124"/>
      <c r="J34" s="125">
        <f t="shared" si="2"/>
        <v>0</v>
      </c>
      <c r="K34" s="125"/>
      <c r="L34" s="125"/>
      <c r="M34" s="125"/>
      <c r="N34" s="125"/>
      <c r="O34" s="125">
        <f t="shared" si="3"/>
        <v>0</v>
      </c>
      <c r="P34" s="125"/>
      <c r="Q34" s="126">
        <f t="shared" si="4"/>
        <v>0</v>
      </c>
      <c r="R34" s="126"/>
      <c r="S34" s="126"/>
      <c r="T34" s="127">
        <f t="shared" si="5"/>
        <v>0</v>
      </c>
      <c r="U34" s="128"/>
    </row>
    <row r="35" spans="1:21" ht="15.6" customHeight="1" x14ac:dyDescent="0.3">
      <c r="A35" s="123">
        <f t="shared" si="0"/>
        <v>0</v>
      </c>
      <c r="B35" s="124"/>
      <c r="C35" s="124"/>
      <c r="D35" s="124"/>
      <c r="E35" s="124"/>
      <c r="F35" s="124">
        <f t="shared" si="1"/>
        <v>0</v>
      </c>
      <c r="G35" s="124"/>
      <c r="H35" s="124"/>
      <c r="I35" s="124"/>
      <c r="J35" s="125">
        <f t="shared" si="2"/>
        <v>0</v>
      </c>
      <c r="K35" s="125"/>
      <c r="L35" s="125"/>
      <c r="M35" s="125"/>
      <c r="N35" s="125"/>
      <c r="O35" s="125">
        <f t="shared" si="3"/>
        <v>0</v>
      </c>
      <c r="P35" s="125"/>
      <c r="Q35" s="126">
        <f t="shared" si="4"/>
        <v>0</v>
      </c>
      <c r="R35" s="126"/>
      <c r="S35" s="126"/>
      <c r="T35" s="127">
        <f t="shared" si="5"/>
        <v>0</v>
      </c>
      <c r="U35" s="128"/>
    </row>
    <row r="36" spans="1:21" ht="15.6" customHeight="1" x14ac:dyDescent="0.3">
      <c r="A36" s="123">
        <f t="shared" si="0"/>
        <v>0</v>
      </c>
      <c r="B36" s="124"/>
      <c r="C36" s="124"/>
      <c r="D36" s="124"/>
      <c r="E36" s="124"/>
      <c r="F36" s="124">
        <f t="shared" si="1"/>
        <v>0</v>
      </c>
      <c r="G36" s="124"/>
      <c r="H36" s="124"/>
      <c r="I36" s="124"/>
      <c r="J36" s="125">
        <f t="shared" si="2"/>
        <v>0</v>
      </c>
      <c r="K36" s="125"/>
      <c r="L36" s="125"/>
      <c r="M36" s="125"/>
      <c r="N36" s="125"/>
      <c r="O36" s="125">
        <f t="shared" si="3"/>
        <v>0</v>
      </c>
      <c r="P36" s="125"/>
      <c r="Q36" s="126">
        <f t="shared" si="4"/>
        <v>0</v>
      </c>
      <c r="R36" s="126"/>
      <c r="S36" s="126"/>
      <c r="T36" s="127">
        <f t="shared" si="5"/>
        <v>0</v>
      </c>
      <c r="U36" s="128"/>
    </row>
    <row r="37" spans="1:21" ht="15.6" customHeight="1" x14ac:dyDescent="0.3">
      <c r="A37" s="123">
        <f t="shared" si="0"/>
        <v>0</v>
      </c>
      <c r="B37" s="124"/>
      <c r="C37" s="124"/>
      <c r="D37" s="124"/>
      <c r="E37" s="124"/>
      <c r="F37" s="124">
        <f t="shared" si="1"/>
        <v>0</v>
      </c>
      <c r="G37" s="124"/>
      <c r="H37" s="124"/>
      <c r="I37" s="124"/>
      <c r="J37" s="125">
        <f t="shared" si="2"/>
        <v>0</v>
      </c>
      <c r="K37" s="125"/>
      <c r="L37" s="125"/>
      <c r="M37" s="125"/>
      <c r="N37" s="125"/>
      <c r="O37" s="125">
        <f t="shared" si="3"/>
        <v>0</v>
      </c>
      <c r="P37" s="125"/>
      <c r="Q37" s="126">
        <f t="shared" si="4"/>
        <v>0</v>
      </c>
      <c r="R37" s="126"/>
      <c r="S37" s="126"/>
      <c r="T37" s="127">
        <f t="shared" si="5"/>
        <v>0</v>
      </c>
      <c r="U37" s="128"/>
    </row>
    <row r="38" spans="1:21" ht="15.6" customHeight="1" thickBot="1" x14ac:dyDescent="0.35">
      <c r="A38" s="129">
        <f t="shared" si="0"/>
        <v>0</v>
      </c>
      <c r="B38" s="130"/>
      <c r="C38" s="130"/>
      <c r="D38" s="130"/>
      <c r="E38" s="130"/>
      <c r="F38" s="130">
        <f t="shared" si="1"/>
        <v>0</v>
      </c>
      <c r="G38" s="130"/>
      <c r="H38" s="130"/>
      <c r="I38" s="130"/>
      <c r="J38" s="131">
        <f t="shared" si="2"/>
        <v>0</v>
      </c>
      <c r="K38" s="131"/>
      <c r="L38" s="131"/>
      <c r="M38" s="131"/>
      <c r="N38" s="131"/>
      <c r="O38" s="131">
        <f t="shared" si="3"/>
        <v>0</v>
      </c>
      <c r="P38" s="131"/>
      <c r="Q38" s="132">
        <f t="shared" si="4"/>
        <v>0</v>
      </c>
      <c r="R38" s="132"/>
      <c r="S38" s="132"/>
      <c r="T38" s="133">
        <f t="shared" si="5"/>
        <v>0</v>
      </c>
      <c r="U38" s="134"/>
    </row>
    <row r="39" spans="1:21" ht="15" customHeight="1" thickTop="1" x14ac:dyDescent="0.3">
      <c r="A39" s="77" t="s">
        <v>31</v>
      </c>
      <c r="B39" s="78"/>
      <c r="C39" s="78"/>
      <c r="D39" s="78"/>
      <c r="E39" s="79"/>
      <c r="F39" s="80">
        <f>F16</f>
        <v>0</v>
      </c>
      <c r="G39" s="81"/>
      <c r="H39" s="81"/>
      <c r="I39" s="81"/>
      <c r="J39" s="81"/>
      <c r="K39" s="81"/>
      <c r="L39" s="81"/>
      <c r="M39" s="81"/>
      <c r="N39" s="81"/>
      <c r="O39" s="81"/>
      <c r="P39" s="81"/>
      <c r="Q39" s="81"/>
      <c r="R39" s="81"/>
      <c r="S39" s="81"/>
      <c r="T39" s="81"/>
      <c r="U39" s="82"/>
    </row>
    <row r="40" spans="1:21" ht="15" customHeight="1" x14ac:dyDescent="0.3">
      <c r="A40" s="83"/>
      <c r="B40" s="84"/>
      <c r="C40" s="84"/>
      <c r="D40" s="84"/>
      <c r="E40" s="85"/>
      <c r="F40" s="86"/>
      <c r="G40" s="87"/>
      <c r="H40" s="87"/>
      <c r="I40" s="87"/>
      <c r="J40" s="87"/>
      <c r="K40" s="87"/>
      <c r="L40" s="87"/>
      <c r="M40" s="87"/>
      <c r="N40" s="87"/>
      <c r="O40" s="87"/>
      <c r="P40" s="87"/>
      <c r="Q40" s="87"/>
      <c r="R40" s="87"/>
      <c r="S40" s="87"/>
      <c r="T40" s="87"/>
      <c r="U40" s="88"/>
    </row>
    <row r="41" spans="1:21" ht="15" customHeight="1" x14ac:dyDescent="0.3">
      <c r="A41" s="83"/>
      <c r="B41" s="84"/>
      <c r="C41" s="84"/>
      <c r="D41" s="84"/>
      <c r="E41" s="85"/>
      <c r="F41" s="86"/>
      <c r="G41" s="87"/>
      <c r="H41" s="87"/>
      <c r="I41" s="87"/>
      <c r="J41" s="87"/>
      <c r="K41" s="87"/>
      <c r="L41" s="87"/>
      <c r="M41" s="87"/>
      <c r="N41" s="87"/>
      <c r="O41" s="87"/>
      <c r="P41" s="87"/>
      <c r="Q41" s="87"/>
      <c r="R41" s="87"/>
      <c r="S41" s="87"/>
      <c r="T41" s="87"/>
      <c r="U41" s="88"/>
    </row>
    <row r="42" spans="1:21" ht="15" customHeight="1" x14ac:dyDescent="0.3">
      <c r="A42" s="89"/>
      <c r="B42" s="90"/>
      <c r="C42" s="90"/>
      <c r="D42" s="90"/>
      <c r="E42" s="91"/>
      <c r="F42" s="92"/>
      <c r="G42" s="93"/>
      <c r="H42" s="93"/>
      <c r="I42" s="93"/>
      <c r="J42" s="93"/>
      <c r="K42" s="93"/>
      <c r="L42" s="93"/>
      <c r="M42" s="93"/>
      <c r="N42" s="93"/>
      <c r="O42" s="93"/>
      <c r="P42" s="93"/>
      <c r="Q42" s="93"/>
      <c r="R42" s="93"/>
      <c r="S42" s="93"/>
      <c r="T42" s="93"/>
      <c r="U42" s="94"/>
    </row>
    <row r="43" spans="1:21" ht="20.100000000000001" customHeight="1" x14ac:dyDescent="0.3">
      <c r="A43" s="37" t="s">
        <v>32</v>
      </c>
      <c r="B43" s="38"/>
      <c r="C43" s="38"/>
      <c r="D43" s="38"/>
      <c r="E43" s="38"/>
      <c r="F43" s="95">
        <f>F20</f>
        <v>0</v>
      </c>
      <c r="G43" s="95"/>
      <c r="H43" s="95"/>
      <c r="I43" s="96"/>
      <c r="J43" s="97">
        <f>J20</f>
        <v>450000</v>
      </c>
      <c r="K43" s="98"/>
      <c r="L43" s="98"/>
      <c r="M43" s="98"/>
      <c r="N43" s="99"/>
      <c r="O43" s="100">
        <f>O20</f>
        <v>1</v>
      </c>
      <c r="P43" s="100"/>
      <c r="Q43" s="101">
        <f>Q20</f>
        <v>0</v>
      </c>
      <c r="R43" s="95"/>
      <c r="S43" s="95"/>
      <c r="T43" s="95">
        <f>T20</f>
        <v>450000</v>
      </c>
      <c r="U43" s="102"/>
    </row>
    <row r="44" spans="1:21" ht="20.100000000000001" customHeight="1" thickBot="1" x14ac:dyDescent="0.35">
      <c r="A44" s="103" t="s">
        <v>33</v>
      </c>
      <c r="B44" s="104"/>
      <c r="C44" s="104"/>
      <c r="D44" s="104"/>
      <c r="E44" s="104"/>
      <c r="F44" s="105">
        <f>F21</f>
        <v>450000</v>
      </c>
      <c r="G44" s="105"/>
      <c r="H44" s="105"/>
      <c r="I44" s="106"/>
      <c r="J44" s="107" t="s">
        <v>34</v>
      </c>
      <c r="K44" s="104"/>
      <c r="L44" s="135" t="str">
        <f>T27</f>
        <v>장효주</v>
      </c>
      <c r="M44" s="135"/>
      <c r="N44" s="135"/>
      <c r="O44" s="107" t="s">
        <v>35</v>
      </c>
      <c r="P44" s="136"/>
      <c r="Q44" s="137" t="str">
        <f>Q21</f>
        <v>디아우디모터스(포항)</v>
      </c>
      <c r="R44" s="138"/>
      <c r="S44" s="138"/>
      <c r="T44" s="138"/>
      <c r="U44" s="139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거래명세서</vt:lpstr>
      <vt:lpstr>거래명세서!Print_Area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BTS 메인</dc:creator>
  <cp:lastModifiedBy>BTS 메인</cp:lastModifiedBy>
  <dcterms:created xsi:type="dcterms:W3CDTF">2025-12-30T09:00:47Z</dcterms:created>
  <dcterms:modified xsi:type="dcterms:W3CDTF">2025-12-30T09:00:47Z</dcterms:modified>
</cp:coreProperties>
</file>