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09926AA-CB92-436C-B11E-186DDE4EB07B}" xr6:coauthVersionLast="47" xr6:coauthVersionMax="47" xr10:uidLastSave="{00000000-0000-0000-0000-000000000000}"/>
  <bookViews>
    <workbookView xWindow="-120" yWindow="-120" windowWidth="29040" windowHeight="15840" xr2:uid="{149C8992-4471-4EE5-B9C0-76F21F956BB4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Q43" i="1" s="1"/>
  <c r="O20" i="1"/>
  <c r="J20" i="1"/>
  <c r="J43" i="1" s="1"/>
</calcChain>
</file>

<file path=xl/sharedStrings.xml><?xml version="1.0" encoding="utf-8"?>
<sst xmlns="http://schemas.openxmlformats.org/spreadsheetml/2006/main" count="78" uniqueCount="42">
  <si>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</si>
  <si>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</si>
  <si>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</si>
  <si>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</si>
  <si>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</si>
  <si>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</si>
  <si>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</si>
  <si>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</si>
  <si>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로얄오토(대구)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</si>
  <si>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</si>
  <si>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</si>
  <si>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</si>
  <si>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</si>
  <si>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</si>
  <si>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</si>
  <si>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</si>
  <si>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문화회관5길 63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</si>
  <si>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</si>
  <si>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</si>
  <si>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010-3547-4485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</si>
  <si>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</si>
  <si>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</si>
  <si>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</si>
  <si>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</si>
  <si>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</si>
  <si>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</si>
  <si>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</si>
  <si>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</si>
  <si>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</si>
  <si>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</si>
  <si>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</si>
  <si>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PARK_PAWL</t>
  </si>
  <si>
    <t>A7259820003</t>
  </si>
  <si>
    <t>ZF_9G_Oilpan</t>
  </si>
  <si>
    <t>5961308248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</si>
  <si>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</si>
  <si>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</si>
  <si>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</si>
  <si>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</si>
  <si>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</si>
  <si>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성민오토(대전)_260202_181413.xlsx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</si>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</sst>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E634A5A-98AD-4CF8-8172-FE3B7F89EF0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3D543-B626-4488-B093-089DF1BEA054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46055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350000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350000</v>
      </c>
      <c r="U9" s="65"/>
    </row>
    <row r="10" spans="1:21" ht="15.6" customHeight="1" x14ac:dyDescent="0.3">
      <c r="A10" s="55" t="s">
        <v>33</v>
      </c>
      <c r="B10" s="56"/>
      <c r="C10" s="56"/>
      <c r="D10" s="56"/>
      <c r="E10" s="57"/>
      <c r="F10" s="58" t="s">
        <v>34</v>
      </c>
      <c r="G10" s="56"/>
      <c r="H10" s="56"/>
      <c r="I10" s="57"/>
      <c r="J10" s="59">
        <v>130000</v>
      </c>
      <c r="K10" s="59"/>
      <c r="L10" s="59"/>
      <c r="M10" s="59"/>
      <c r="N10" s="59"/>
      <c r="O10" s="60">
        <v>1</v>
      </c>
      <c r="P10" s="60"/>
      <c r="Q10" s="61"/>
      <c r="R10" s="62"/>
      <c r="S10" s="63"/>
      <c r="T10" s="64">
        <v>130000</v>
      </c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35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36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1680000</v>
      </c>
      <c r="K20" s="98"/>
      <c r="L20" s="98"/>
      <c r="M20" s="98"/>
      <c r="N20" s="99"/>
      <c r="O20" s="100">
        <f>SUM(O8:P19)</f>
        <v>3</v>
      </c>
      <c r="P20" s="100"/>
      <c r="Q20" s="101">
        <f>SUM(Q8:S19)</f>
        <v>0</v>
      </c>
      <c r="R20" s="95"/>
      <c r="S20" s="96"/>
      <c r="T20" s="95">
        <f>SUM(T8:U15)</f>
        <v>1680000</v>
      </c>
      <c r="U20" s="102"/>
    </row>
    <row r="21" spans="1:21" ht="20.100000000000001" customHeight="1" thickBot="1" x14ac:dyDescent="0.35">
      <c r="A21" s="103" t="s">
        <v>37</v>
      </c>
      <c r="B21" s="104"/>
      <c r="C21" s="104"/>
      <c r="D21" s="104"/>
      <c r="E21" s="104"/>
      <c r="F21" s="105">
        <f>F20+T20</f>
        <v>1680000</v>
      </c>
      <c r="G21" s="105"/>
      <c r="H21" s="105"/>
      <c r="I21" s="106"/>
      <c r="J21" s="107" t="s">
        <v>38</v>
      </c>
      <c r="K21" s="104"/>
      <c r="L21" s="108" t="str">
        <f>T4</f>
        <v>장효주</v>
      </c>
      <c r="M21" s="108"/>
      <c r="N21" s="108"/>
      <c r="O21" s="107" t="s">
        <v>39</v>
      </c>
      <c r="P21" s="104"/>
      <c r="Q21" s="108" t="str">
        <f>C3</f>
        <v>로얄오토(대구)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40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41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46055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로얄오토(대구)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문화회관5길 63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010-3547-4485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 t="str">
        <f t="shared" ref="A32:A38" si="0">A9</f>
        <v>PARK_PAWL</v>
      </c>
      <c r="B32" s="124"/>
      <c r="C32" s="124"/>
      <c r="D32" s="124"/>
      <c r="E32" s="124"/>
      <c r="F32" s="124" t="str">
        <f t="shared" ref="F32:F38" si="1">F9</f>
        <v>A7259820003</v>
      </c>
      <c r="G32" s="124"/>
      <c r="H32" s="124"/>
      <c r="I32" s="124"/>
      <c r="J32" s="125">
        <f t="shared" ref="J32:J38" si="2">J9</f>
        <v>350000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350000</v>
      </c>
      <c r="U32" s="128"/>
    </row>
    <row r="33" spans="1:21" ht="15.6" customHeight="1" x14ac:dyDescent="0.3">
      <c r="A33" s="123" t="str">
        <f t="shared" si="0"/>
        <v>ZF_9G_Oilpan</v>
      </c>
      <c r="B33" s="124"/>
      <c r="C33" s="124"/>
      <c r="D33" s="124"/>
      <c r="E33" s="124"/>
      <c r="F33" s="124" t="str">
        <f t="shared" si="1"/>
        <v>5961308248</v>
      </c>
      <c r="G33" s="124"/>
      <c r="H33" s="124"/>
      <c r="I33" s="124"/>
      <c r="J33" s="125">
        <f t="shared" si="2"/>
        <v>130000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0</v>
      </c>
      <c r="R33" s="126"/>
      <c r="S33" s="126"/>
      <c r="T33" s="127">
        <f t="shared" si="5"/>
        <v>130000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35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36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1680000</v>
      </c>
      <c r="K43" s="98"/>
      <c r="L43" s="98"/>
      <c r="M43" s="98"/>
      <c r="N43" s="99"/>
      <c r="O43" s="100">
        <f>O20</f>
        <v>3</v>
      </c>
      <c r="P43" s="100"/>
      <c r="Q43" s="101">
        <f>Q20</f>
        <v>0</v>
      </c>
      <c r="R43" s="95"/>
      <c r="S43" s="95"/>
      <c r="T43" s="95">
        <f>T20</f>
        <v>1680000</v>
      </c>
      <c r="U43" s="102"/>
    </row>
    <row r="44" spans="1:21" ht="20.100000000000001" customHeight="1" thickBot="1" x14ac:dyDescent="0.35">
      <c r="A44" s="103" t="s">
        <v>37</v>
      </c>
      <c r="B44" s="104"/>
      <c r="C44" s="104"/>
      <c r="D44" s="104"/>
      <c r="E44" s="104"/>
      <c r="F44" s="105">
        <f>F21</f>
        <v>1680000</v>
      </c>
      <c r="G44" s="105"/>
      <c r="H44" s="105"/>
      <c r="I44" s="106"/>
      <c r="J44" s="107" t="s">
        <v>38</v>
      </c>
      <c r="K44" s="104"/>
      <c r="L44" s="135" t="str">
        <f>T27</f>
        <v>장효주</v>
      </c>
      <c r="M44" s="135"/>
      <c r="N44" s="135"/>
      <c r="O44" s="107" t="s">
        <v>39</v>
      </c>
      <c r="P44" s="136"/>
      <c r="Q44" s="137" t="str">
        <f>Q21</f>
        <v>로얄오토(대구)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2026-02-02T09:14:54Z</dcterms:created>
  <dcterms:modified xsi:type="dcterms:W3CDTF">2026-02-02T09:14:54Z</dcterms:modified>
</cp:coreProperties>
</file>